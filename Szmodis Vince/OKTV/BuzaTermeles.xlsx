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5_Vince\Iskola\OKTV\"/>
    </mc:Choice>
  </mc:AlternateContent>
  <xr:revisionPtr revIDLastSave="0" documentId="13_ncr:1_{85A65EE9-7A73-4531-B1D0-8F5D6959933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agyarországi adatok" sheetId="1" r:id="rId1"/>
    <sheet name="EU-s adato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AG3" i="2"/>
  <c r="AF6" i="2"/>
  <c r="X6" i="2"/>
  <c r="N11" i="1"/>
  <c r="N10" i="1"/>
  <c r="C26" i="1"/>
  <c r="D26" i="1"/>
  <c r="E26" i="1"/>
  <c r="F26" i="1"/>
  <c r="B26" i="1"/>
  <c r="C25" i="1"/>
  <c r="D25" i="1"/>
  <c r="E25" i="1"/>
  <c r="F25" i="1"/>
  <c r="B25" i="1"/>
  <c r="C17" i="1"/>
  <c r="D17" i="1"/>
  <c r="E17" i="1"/>
  <c r="F17" i="1"/>
  <c r="B17" i="1"/>
  <c r="C8" i="1"/>
  <c r="D8" i="1"/>
  <c r="E8" i="1"/>
  <c r="F8" i="1"/>
  <c r="B8" i="1"/>
</calcChain>
</file>

<file path=xl/sharedStrings.xml><?xml version="1.0" encoding="utf-8"?>
<sst xmlns="http://schemas.openxmlformats.org/spreadsheetml/2006/main" count="145" uniqueCount="77">
  <si>
    <t>Búza felhasználási adatok</t>
  </si>
  <si>
    <t>Megnevezés / Év</t>
  </si>
  <si>
    <t>Összevont mérleg, tonna</t>
  </si>
  <si>
    <t>Nyitókészlet</t>
  </si>
  <si>
    <t>Betakarított összes termés</t>
  </si>
  <si>
    <t>Behozatal</t>
  </si>
  <si>
    <t>Egyéb forrás</t>
  </si>
  <si>
    <t>–</t>
  </si>
  <si>
    <t>Forrás összesen</t>
  </si>
  <si>
    <t>Lakosság</t>
  </si>
  <si>
    <t>Ipari feldolgozás</t>
  </si>
  <si>
    <t>Takarmányfelhasználás</t>
  </si>
  <si>
    <t>Vetőmag-felhasználás</t>
  </si>
  <si>
    <t>Kivitel</t>
  </si>
  <si>
    <t>Egyéb felhasználás</t>
  </si>
  <si>
    <t>Veszteség</t>
  </si>
  <si>
    <t>Záró készlet</t>
  </si>
  <si>
    <t>Felhasználás összesen</t>
  </si>
  <si>
    <t>Külkereskedelem</t>
  </si>
  <si>
    <t>tonna</t>
  </si>
  <si>
    <t>millió Ft</t>
  </si>
  <si>
    <t xml:space="preserve"> tonna</t>
  </si>
  <si>
    <t>Kereskedelmi mérleg (súly)</t>
  </si>
  <si>
    <t>Kereskedelmi mérleg (ár)</t>
  </si>
  <si>
    <t>Ipari feldolgozásra szánt búzamenniség évente:</t>
  </si>
  <si>
    <t>A legnagyobb és legkisebb nyitóösszeg közötti különbség:</t>
  </si>
  <si>
    <t>Búza és tönkölybúza termelési adatok, Európai Unió</t>
  </si>
  <si>
    <t>EU (27 ország - 2020-tól)</t>
  </si>
  <si>
    <t>:</t>
  </si>
  <si>
    <t>EU (28 ország)</t>
  </si>
  <si>
    <t>Belgium</t>
  </si>
  <si>
    <t>Bulgária</t>
  </si>
  <si>
    <t>Csehország</t>
  </si>
  <si>
    <t>Dánia</t>
  </si>
  <si>
    <t>Németország</t>
  </si>
  <si>
    <t>Észtország</t>
  </si>
  <si>
    <t>Írország</t>
  </si>
  <si>
    <t>Görögország</t>
  </si>
  <si>
    <t>Spanyolország</t>
  </si>
  <si>
    <t>Franciaország</t>
  </si>
  <si>
    <t>Horvátország</t>
  </si>
  <si>
    <t>Olaszország</t>
  </si>
  <si>
    <t>Ciprus</t>
  </si>
  <si>
    <t>Lettország</t>
  </si>
  <si>
    <t>Litvánia</t>
  </si>
  <si>
    <t>Luxemburg</t>
  </si>
  <si>
    <t>Magyarország</t>
  </si>
  <si>
    <t>Málta</t>
  </si>
  <si>
    <t>Hollandia</t>
  </si>
  <si>
    <t>Ausztria</t>
  </si>
  <si>
    <t>Lengyelország</t>
  </si>
  <si>
    <t>Portugália</t>
  </si>
  <si>
    <t>Románia</t>
  </si>
  <si>
    <t>Szlovénia</t>
  </si>
  <si>
    <t>Szlovákia</t>
  </si>
  <si>
    <t>Finnország</t>
  </si>
  <si>
    <t>Svédország</t>
  </si>
  <si>
    <t>Egyesült Királyság</t>
  </si>
  <si>
    <t>Izland</t>
  </si>
  <si>
    <t>Liechtenstein</t>
  </si>
  <si>
    <t>Norvégia</t>
  </si>
  <si>
    <t>Svájc</t>
  </si>
  <si>
    <t>Montenegro</t>
  </si>
  <si>
    <t>Észak Macedónia</t>
  </si>
  <si>
    <t>Albánia</t>
  </si>
  <si>
    <t>Szerbia</t>
  </si>
  <si>
    <t>Törökország</t>
  </si>
  <si>
    <t>Bosznia-Hercegovina</t>
  </si>
  <si>
    <t>Koszovó</t>
  </si>
  <si>
    <t>Kategória</t>
  </si>
  <si>
    <t>Legtöbb búzát termelő ország 2019-ben:</t>
  </si>
  <si>
    <t>Törpe</t>
  </si>
  <si>
    <t>Elégséges</t>
  </si>
  <si>
    <t>Közepes</t>
  </si>
  <si>
    <t>Jó</t>
  </si>
  <si>
    <t>Kiváló</t>
  </si>
  <si>
    <t>Hány ország adatait tartalmazza a táblázat: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</si>
</sst>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General&quot; t&quot;"/>
    <numFmt numFmtId="166" formatCode="General&quot; MFt&quot;"/>
    <numFmt numFmtId="168" formatCode="0.00&quot; ezer t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166" fontId="0" fillId="2" borderId="1" xfId="0" applyNumberFormat="1" applyFill="1" applyBorder="1"/>
    <xf numFmtId="166" fontId="0" fillId="3" borderId="1" xfId="0" applyNumberFormat="1" applyFill="1" applyBorder="1"/>
    <xf numFmtId="0" fontId="0" fillId="4" borderId="1" xfId="0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/>
    <xf numFmtId="168" fontId="0" fillId="4" borderId="1" xfId="0" applyNumberFormat="1" applyFill="1" applyBorder="1"/>
    <xf numFmtId="168" fontId="0" fillId="0" borderId="0" xfId="0" applyNumberFormat="1"/>
  </cellXfs>
  <cellStyles count="1">
    <cellStyle name="Normál" xfId="0" builtinId="0"/>
  </cellStyles>
  <dxfs count="7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DBDBDB"/>
      <color rgb="FFFFD966"/>
      <color rgb="FFFFF2CC"/>
      <color rgb="FF92D050"/>
      <color rgb="FFB4C6E7"/>
      <color rgb="FFDB8181"/>
      <color rgb="FF818181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Balti államok búzatermelési</a:t>
            </a:r>
            <a:r>
              <a:rPr lang="hu-HU" baseline="0"/>
              <a:t> adatai 2009-1019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'EU-s adatok'!$A$10:$M$10</c:f>
              <c:numCache>
                <c:formatCode>0.00" ezer t"</c:formatCode>
                <c:ptCount val="13"/>
                <c:pt idx="0" formatCode="General">
                  <c:v>0</c:v>
                </c:pt>
                <c:pt idx="1">
                  <c:v>342.5</c:v>
                </c:pt>
                <c:pt idx="2">
                  <c:v>327.60000000000002</c:v>
                </c:pt>
                <c:pt idx="3">
                  <c:v>360.2</c:v>
                </c:pt>
                <c:pt idx="4">
                  <c:v>484.7</c:v>
                </c:pt>
                <c:pt idx="5">
                  <c:v>406.8</c:v>
                </c:pt>
                <c:pt idx="6">
                  <c:v>615.5</c:v>
                </c:pt>
                <c:pt idx="7">
                  <c:v>812.6</c:v>
                </c:pt>
                <c:pt idx="8">
                  <c:v>455.5</c:v>
                </c:pt>
                <c:pt idx="9">
                  <c:v>713.26</c:v>
                </c:pt>
                <c:pt idx="10">
                  <c:v>450.27</c:v>
                </c:pt>
                <c:pt idx="11">
                  <c:v>846.58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36-4CDB-8204-9C0E02C0CB8F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'EU-s adatok'!$A$18:$M$18</c:f>
              <c:numCache>
                <c:formatCode>0.00" ezer t"</c:formatCode>
                <c:ptCount val="13"/>
                <c:pt idx="0" formatCode="General">
                  <c:v>0</c:v>
                </c:pt>
                <c:pt idx="1">
                  <c:v>1036.4000000000001</c:v>
                </c:pt>
                <c:pt idx="2">
                  <c:v>989.4</c:v>
                </c:pt>
                <c:pt idx="3">
                  <c:v>939.5</c:v>
                </c:pt>
                <c:pt idx="4">
                  <c:v>1539.8</c:v>
                </c:pt>
                <c:pt idx="5">
                  <c:v>1435</c:v>
                </c:pt>
                <c:pt idx="6">
                  <c:v>1467.5</c:v>
                </c:pt>
                <c:pt idx="7">
                  <c:v>2250.1</c:v>
                </c:pt>
                <c:pt idx="8">
                  <c:v>2062.3000000000002</c:v>
                </c:pt>
                <c:pt idx="9">
                  <c:v>2138.8000000000002</c:v>
                </c:pt>
                <c:pt idx="10">
                  <c:v>1431.6</c:v>
                </c:pt>
                <c:pt idx="11">
                  <c:v>2371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36-4CDB-8204-9C0E02C0CB8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'EU-s adatok'!$A$19:$M$19</c:f>
              <c:numCache>
                <c:formatCode>0.00" ezer t"</c:formatCode>
                <c:ptCount val="13"/>
                <c:pt idx="0" formatCode="General">
                  <c:v>0</c:v>
                </c:pt>
                <c:pt idx="1">
                  <c:v>2100.1999999999998</c:v>
                </c:pt>
                <c:pt idx="2">
                  <c:v>1710.4</c:v>
                </c:pt>
                <c:pt idx="3">
                  <c:v>1869.3</c:v>
                </c:pt>
                <c:pt idx="4">
                  <c:v>2998.9</c:v>
                </c:pt>
                <c:pt idx="5">
                  <c:v>2871.3</c:v>
                </c:pt>
                <c:pt idx="6">
                  <c:v>3230.6</c:v>
                </c:pt>
                <c:pt idx="7">
                  <c:v>4394.08</c:v>
                </c:pt>
                <c:pt idx="8">
                  <c:v>3844.49</c:v>
                </c:pt>
                <c:pt idx="9">
                  <c:v>3917.37</c:v>
                </c:pt>
                <c:pt idx="10">
                  <c:v>2838.9</c:v>
                </c:pt>
                <c:pt idx="11">
                  <c:v>3843.85</c:v>
                </c:pt>
                <c:pt idx="12">
                  <c:v>4461.8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36-4CDB-8204-9C0E02C0C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743647"/>
        <c:axId val="1745677839"/>
      </c:lineChart>
      <c:dateAx>
        <c:axId val="1865743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45677839"/>
        <c:crosses val="autoZero"/>
        <c:auto val="0"/>
        <c:lblOffset val="100"/>
        <c:baseTimeUnit val="days"/>
      </c:dateAx>
      <c:valAx>
        <c:axId val="1745677839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rgbClr val="DBDBDB"/>
              </a:solidFill>
              <a:prstDash val="solid"/>
              <a:round/>
              <a:headEnd type="none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65743647"/>
        <c:crosses val="autoZero"/>
        <c:crossBetween val="between"/>
      </c:valAx>
      <c:spPr>
        <a:gradFill>
          <a:gsLst>
            <a:gs pos="72000">
              <a:srgbClr val="FFD966"/>
            </a:gs>
            <a:gs pos="100000">
              <a:schemeClr val="bg1"/>
            </a:gs>
            <a:gs pos="100000">
              <a:schemeClr val="bg1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19056</xdr:colOff>
      <xdr:row>15</xdr:row>
      <xdr:rowOff>14287</xdr:rowOff>
    </xdr:from>
    <xdr:to>
      <xdr:col>22</xdr:col>
      <xdr:colOff>323856</xdr:colOff>
      <xdr:row>29</xdr:row>
      <xdr:rowOff>90487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98AF81A3-611D-4DFB-BF0D-9523B7416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25" sqref="M25"/>
    </sheetView>
  </sheetViews>
  <sheetFormatPr defaultRowHeight="15" x14ac:dyDescent="0.25"/>
  <cols>
    <col min="1" max="1" width="24.7109375" bestFit="1" customWidth="1"/>
    <col min="2" max="6" width="11" customWidth="1"/>
    <col min="14" max="14" width="14" customWidth="1"/>
  </cols>
  <sheetData>
    <row r="1" spans="1:14" x14ac:dyDescent="0.25">
      <c r="A1" s="3" t="s">
        <v>0</v>
      </c>
      <c r="B1" s="3"/>
      <c r="C1" s="3"/>
      <c r="D1" s="3"/>
      <c r="E1" s="3"/>
      <c r="F1" s="3"/>
    </row>
    <row r="2" spans="1:14" x14ac:dyDescent="0.25">
      <c r="A2" s="4" t="s">
        <v>1</v>
      </c>
      <c r="B2" s="5">
        <v>2014</v>
      </c>
      <c r="C2" s="5">
        <v>2015</v>
      </c>
      <c r="D2" s="5">
        <v>2016</v>
      </c>
      <c r="E2" s="5">
        <v>2017</v>
      </c>
      <c r="F2" s="5">
        <v>2018</v>
      </c>
    </row>
    <row r="3" spans="1:14" x14ac:dyDescent="0.25">
      <c r="A3" s="6" t="s">
        <v>2</v>
      </c>
      <c r="B3" s="6"/>
      <c r="C3" s="6"/>
      <c r="D3" s="6"/>
      <c r="E3" s="6"/>
      <c r="F3" s="6"/>
    </row>
    <row r="4" spans="1:14" x14ac:dyDescent="0.25">
      <c r="A4" s="4" t="s">
        <v>3</v>
      </c>
      <c r="B4" s="7">
        <v>2171034</v>
      </c>
      <c r="C4" s="7">
        <v>2488179.0460000001</v>
      </c>
      <c r="D4" s="7">
        <v>3422125.5</v>
      </c>
      <c r="E4" s="7">
        <v>3887866.5</v>
      </c>
      <c r="F4" s="7">
        <v>3254666.4</v>
      </c>
    </row>
    <row r="5" spans="1:14" x14ac:dyDescent="0.25">
      <c r="A5" s="4" t="s">
        <v>4</v>
      </c>
      <c r="B5" s="7">
        <v>5261890.0999999996</v>
      </c>
      <c r="C5" s="7">
        <v>5331425.9000000004</v>
      </c>
      <c r="D5" s="7">
        <v>5603183.5</v>
      </c>
      <c r="E5" s="7">
        <v>5246258.3</v>
      </c>
      <c r="F5" s="7">
        <v>5258432.0999999996</v>
      </c>
    </row>
    <row r="6" spans="1:14" x14ac:dyDescent="0.25">
      <c r="A6" s="4" t="s">
        <v>5</v>
      </c>
      <c r="B6" s="7">
        <v>169977.70499999999</v>
      </c>
      <c r="C6" s="7">
        <v>213779</v>
      </c>
      <c r="D6" s="7">
        <v>273088</v>
      </c>
      <c r="E6" s="7">
        <v>167952</v>
      </c>
      <c r="F6" s="7">
        <v>194787</v>
      </c>
    </row>
    <row r="7" spans="1:14" x14ac:dyDescent="0.25">
      <c r="A7" s="4" t="s">
        <v>6</v>
      </c>
      <c r="B7" s="5" t="s">
        <v>7</v>
      </c>
      <c r="C7" s="5" t="s">
        <v>7</v>
      </c>
      <c r="D7" s="5" t="s">
        <v>7</v>
      </c>
      <c r="E7" s="5" t="s">
        <v>7</v>
      </c>
      <c r="F7" s="5" t="s">
        <v>7</v>
      </c>
    </row>
    <row r="8" spans="1:14" x14ac:dyDescent="0.25">
      <c r="A8" s="4" t="s">
        <v>8</v>
      </c>
      <c r="B8" s="8">
        <f>ROUNDUP(SUM(B4:B6),2)</f>
        <v>7602901.8099999996</v>
      </c>
      <c r="C8" s="8">
        <f t="shared" ref="C8:F8" si="0">ROUNDUP(SUM(C4:C6),2)</f>
        <v>8033383.9500000002</v>
      </c>
      <c r="D8" s="8">
        <f t="shared" si="0"/>
        <v>9298397</v>
      </c>
      <c r="E8" s="8">
        <f t="shared" si="0"/>
        <v>9302076.8000000007</v>
      </c>
      <c r="F8" s="8">
        <f t="shared" si="0"/>
        <v>8707885.5</v>
      </c>
    </row>
    <row r="9" spans="1:14" x14ac:dyDescent="0.25">
      <c r="A9" s="4" t="s">
        <v>9</v>
      </c>
      <c r="B9" s="5" t="s">
        <v>7</v>
      </c>
      <c r="C9" s="5" t="s">
        <v>7</v>
      </c>
      <c r="D9" s="5" t="s">
        <v>7</v>
      </c>
      <c r="E9" s="5" t="s">
        <v>7</v>
      </c>
      <c r="F9" s="5" t="s">
        <v>7</v>
      </c>
    </row>
    <row r="10" spans="1:14" x14ac:dyDescent="0.25">
      <c r="A10" s="4" t="s">
        <v>10</v>
      </c>
      <c r="B10" s="7">
        <v>1145007.8</v>
      </c>
      <c r="C10" s="7">
        <v>1172413.3999999999</v>
      </c>
      <c r="D10" s="7">
        <v>1216967.6000000001</v>
      </c>
      <c r="E10" s="7">
        <v>1222330.5</v>
      </c>
      <c r="F10" s="7">
        <v>1237697.3</v>
      </c>
      <c r="H10" s="1" t="s">
        <v>25</v>
      </c>
      <c r="N10" s="2">
        <f>MAX(B4:F4)-MIN(B4:F4)</f>
        <v>1716832.5</v>
      </c>
    </row>
    <row r="11" spans="1:14" x14ac:dyDescent="0.25">
      <c r="A11" s="4" t="s">
        <v>11</v>
      </c>
      <c r="B11" s="7">
        <v>1150817.125</v>
      </c>
      <c r="C11" s="7">
        <v>1187686.3959999999</v>
      </c>
      <c r="D11" s="7">
        <v>1163076.3</v>
      </c>
      <c r="E11" s="7">
        <v>1104085.25</v>
      </c>
      <c r="F11" s="7">
        <v>1183083.6000000001</v>
      </c>
      <c r="H11" s="1" t="s">
        <v>24</v>
      </c>
      <c r="N11" s="2">
        <f>ROUNDUP(AVERAGE(B10:F10),-3)</f>
        <v>1199000</v>
      </c>
    </row>
    <row r="12" spans="1:14" x14ac:dyDescent="0.25">
      <c r="A12" s="4" t="s">
        <v>12</v>
      </c>
      <c r="B12" s="7">
        <v>258240.25</v>
      </c>
      <c r="C12" s="7">
        <v>262548.25</v>
      </c>
      <c r="D12" s="7">
        <v>241665</v>
      </c>
      <c r="E12" s="7">
        <v>258916.25</v>
      </c>
      <c r="F12" s="7">
        <v>259157</v>
      </c>
    </row>
    <row r="13" spans="1:14" x14ac:dyDescent="0.25">
      <c r="A13" s="4" t="s">
        <v>13</v>
      </c>
      <c r="B13" s="7">
        <v>2483430.8840000001</v>
      </c>
      <c r="C13" s="7">
        <v>1962562</v>
      </c>
      <c r="D13" s="7">
        <v>2764795</v>
      </c>
      <c r="E13" s="7">
        <v>3446372</v>
      </c>
      <c r="F13" s="7">
        <v>2359588</v>
      </c>
    </row>
    <row r="14" spans="1:14" x14ac:dyDescent="0.25">
      <c r="A14" s="4" t="s">
        <v>14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</row>
    <row r="15" spans="1:14" x14ac:dyDescent="0.25">
      <c r="A15" s="4" t="s">
        <v>15</v>
      </c>
      <c r="B15" s="7">
        <v>77226.7</v>
      </c>
      <c r="C15" s="7">
        <v>26048.400000000001</v>
      </c>
      <c r="D15" s="7">
        <v>24026.6</v>
      </c>
      <c r="E15" s="7">
        <v>15706.4</v>
      </c>
      <c r="F15" s="7">
        <v>17204.099999999999</v>
      </c>
    </row>
    <row r="16" spans="1:14" x14ac:dyDescent="0.25">
      <c r="A16" s="4" t="s">
        <v>16</v>
      </c>
      <c r="B16" s="7">
        <v>2488179.0460000001</v>
      </c>
      <c r="C16" s="7">
        <v>3422125.5</v>
      </c>
      <c r="D16" s="7">
        <v>3887866.5</v>
      </c>
      <c r="E16" s="7">
        <v>3254666.4</v>
      </c>
      <c r="F16" s="7">
        <v>3651155.5</v>
      </c>
    </row>
    <row r="17" spans="1:6" x14ac:dyDescent="0.25">
      <c r="A17" s="4" t="s">
        <v>17</v>
      </c>
      <c r="B17" s="9">
        <f>ROUNDUP(SUM(B10:B16),2)</f>
        <v>7602901.8099999996</v>
      </c>
      <c r="C17" s="9">
        <f t="shared" ref="C17:F17" si="1">ROUNDUP(SUM(C10:C16),2)</f>
        <v>8033383.9500000002</v>
      </c>
      <c r="D17" s="9">
        <f t="shared" si="1"/>
        <v>9298397</v>
      </c>
      <c r="E17" s="9">
        <f t="shared" si="1"/>
        <v>9302076.8000000007</v>
      </c>
      <c r="F17" s="9">
        <f t="shared" si="1"/>
        <v>8707885.5</v>
      </c>
    </row>
    <row r="18" spans="1:6" x14ac:dyDescent="0.25">
      <c r="A18" s="6" t="s">
        <v>18</v>
      </c>
      <c r="B18" s="6"/>
      <c r="C18" s="6"/>
      <c r="D18" s="6"/>
      <c r="E18" s="6"/>
      <c r="F18" s="6"/>
    </row>
    <row r="19" spans="1:6" x14ac:dyDescent="0.25">
      <c r="A19" s="6" t="s">
        <v>5</v>
      </c>
      <c r="B19" s="6"/>
      <c r="C19" s="6"/>
      <c r="D19" s="6"/>
      <c r="E19" s="6"/>
      <c r="F19" s="6"/>
    </row>
    <row r="20" spans="1:6" x14ac:dyDescent="0.25">
      <c r="A20" s="4" t="s">
        <v>19</v>
      </c>
      <c r="B20" s="7">
        <v>169978</v>
      </c>
      <c r="C20" s="7">
        <v>213779</v>
      </c>
      <c r="D20" s="7">
        <v>273088</v>
      </c>
      <c r="E20" s="7">
        <v>167952</v>
      </c>
      <c r="F20" s="7">
        <v>194787</v>
      </c>
    </row>
    <row r="21" spans="1:6" x14ac:dyDescent="0.25">
      <c r="A21" s="4" t="s">
        <v>20</v>
      </c>
      <c r="B21" s="10">
        <v>9298</v>
      </c>
      <c r="C21" s="10">
        <v>13308</v>
      </c>
      <c r="D21" s="10">
        <v>13146</v>
      </c>
      <c r="E21" s="10">
        <v>8826</v>
      </c>
      <c r="F21" s="10">
        <v>11036</v>
      </c>
    </row>
    <row r="22" spans="1:6" x14ac:dyDescent="0.25">
      <c r="A22" s="4" t="s">
        <v>13</v>
      </c>
      <c r="B22" s="5"/>
      <c r="C22" s="5"/>
      <c r="D22" s="5"/>
      <c r="E22" s="5"/>
      <c r="F22" s="5"/>
    </row>
    <row r="23" spans="1:6" x14ac:dyDescent="0.25">
      <c r="A23" s="4" t="s">
        <v>21</v>
      </c>
      <c r="B23" s="7">
        <v>2483431</v>
      </c>
      <c r="C23" s="7">
        <v>1962562</v>
      </c>
      <c r="D23" s="7">
        <v>2764795</v>
      </c>
      <c r="E23" s="7">
        <v>3446372</v>
      </c>
      <c r="F23" s="7">
        <v>2359588</v>
      </c>
    </row>
    <row r="24" spans="1:6" x14ac:dyDescent="0.25">
      <c r="A24" s="4" t="s">
        <v>20</v>
      </c>
      <c r="B24" s="10">
        <v>145748</v>
      </c>
      <c r="C24" s="10">
        <v>114033</v>
      </c>
      <c r="D24" s="10">
        <v>134860</v>
      </c>
      <c r="E24" s="10">
        <v>173678</v>
      </c>
      <c r="F24" s="10">
        <v>131250</v>
      </c>
    </row>
    <row r="25" spans="1:6" x14ac:dyDescent="0.25">
      <c r="A25" s="4" t="s">
        <v>22</v>
      </c>
      <c r="B25" s="9">
        <f>B23-B20</f>
        <v>2313453</v>
      </c>
      <c r="C25" s="9">
        <f t="shared" ref="C25:F25" si="2">C23-C20</f>
        <v>1748783</v>
      </c>
      <c r="D25" s="9">
        <f t="shared" si="2"/>
        <v>2491707</v>
      </c>
      <c r="E25" s="9">
        <f t="shared" si="2"/>
        <v>3278420</v>
      </c>
      <c r="F25" s="9">
        <f t="shared" si="2"/>
        <v>2164801</v>
      </c>
    </row>
    <row r="26" spans="1:6" x14ac:dyDescent="0.25">
      <c r="A26" s="4" t="s">
        <v>23</v>
      </c>
      <c r="B26" s="11">
        <f>B24-B21</f>
        <v>136450</v>
      </c>
      <c r="C26" s="11">
        <f t="shared" ref="C26:F26" si="3">C24-C21</f>
        <v>100725</v>
      </c>
      <c r="D26" s="11">
        <f t="shared" si="3"/>
        <v>121714</v>
      </c>
      <c r="E26" s="11">
        <f t="shared" si="3"/>
        <v>164852</v>
      </c>
      <c r="F26" s="11">
        <f t="shared" si="3"/>
        <v>120214</v>
      </c>
    </row>
  </sheetData>
  <mergeCells count="4">
    <mergeCell ref="A1:F1"/>
    <mergeCell ref="A3:F3"/>
    <mergeCell ref="A18:F18"/>
    <mergeCell ref="A19:F19"/>
  </mergeCells>
  <conditionalFormatting sqref="B2">
    <cfRule type="expression" dxfId="5" priority="5">
      <formula>MAX($B$15:$F$15)=$B$15</formula>
    </cfRule>
  </conditionalFormatting>
  <conditionalFormatting sqref="C2">
    <cfRule type="expression" dxfId="4" priority="4">
      <formula>MAX($B$15:$F$15)=$C$2</formula>
    </cfRule>
  </conditionalFormatting>
  <conditionalFormatting sqref="D2">
    <cfRule type="expression" dxfId="3" priority="3">
      <formula>MAX($B$15:$F$15)=$D$2</formula>
    </cfRule>
  </conditionalFormatting>
  <conditionalFormatting sqref="E2">
    <cfRule type="expression" dxfId="2" priority="2">
      <formula>MAX($B$15:$F$15)=$E$2</formula>
    </cfRule>
  </conditionalFormatting>
  <conditionalFormatting sqref="F2">
    <cfRule type="expression" dxfId="1" priority="1">
      <formula>MAX($B$15:$F$15)=$F$2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0F52-A9E2-4131-8AAB-553C826C89B4}">
  <dimension ref="A1:AG43"/>
  <sheetViews>
    <sheetView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AG3" sqref="AG3"/>
    </sheetView>
  </sheetViews>
  <sheetFormatPr defaultRowHeight="15" x14ac:dyDescent="0.25"/>
  <cols>
    <col min="1" max="1" width="47.85546875" bestFit="1" customWidth="1"/>
    <col min="2" max="2" width="14.140625" bestFit="1" customWidth="1"/>
    <col min="3" max="7" width="15.140625" bestFit="1" customWidth="1"/>
    <col min="8" max="9" width="14.140625" bestFit="1" customWidth="1"/>
    <col min="10" max="12" width="15.140625" bestFit="1" customWidth="1"/>
    <col min="13" max="13" width="14.140625" bestFit="1" customWidth="1"/>
    <col min="14" max="14" width="9.42578125" bestFit="1" customWidth="1"/>
  </cols>
  <sheetData>
    <row r="1" spans="1:33" x14ac:dyDescent="0.25">
      <c r="A1" s="13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33" x14ac:dyDescent="0.25">
      <c r="A2" s="12"/>
      <c r="B2" s="17">
        <v>2009</v>
      </c>
      <c r="C2" s="17">
        <v>2010</v>
      </c>
      <c r="D2" s="17">
        <v>2011</v>
      </c>
      <c r="E2" s="17">
        <v>2012</v>
      </c>
      <c r="F2" s="17">
        <v>2013</v>
      </c>
      <c r="G2" s="17">
        <v>2014</v>
      </c>
      <c r="H2" s="17">
        <v>2015</v>
      </c>
      <c r="I2" s="17">
        <v>2016</v>
      </c>
      <c r="J2" s="17">
        <v>2017</v>
      </c>
      <c r="K2" s="17">
        <v>2018</v>
      </c>
      <c r="L2" s="17">
        <v>2019</v>
      </c>
      <c r="M2" s="17">
        <v>2020</v>
      </c>
      <c r="N2" s="17" t="s">
        <v>69</v>
      </c>
    </row>
    <row r="3" spans="1:33" x14ac:dyDescent="0.25">
      <c r="A3" s="12" t="s">
        <v>27</v>
      </c>
      <c r="B3" s="18" t="s">
        <v>28</v>
      </c>
      <c r="C3" s="18">
        <v>121956.34</v>
      </c>
      <c r="D3" s="18">
        <v>124096.55</v>
      </c>
      <c r="E3" s="18">
        <v>120652.71</v>
      </c>
      <c r="F3" s="18">
        <v>132270.22</v>
      </c>
      <c r="G3" s="18">
        <v>140561.88</v>
      </c>
      <c r="H3" s="18" t="s">
        <v>28</v>
      </c>
      <c r="I3" s="18" t="s">
        <v>28</v>
      </c>
      <c r="J3" s="18">
        <v>136885.41</v>
      </c>
      <c r="K3" s="18">
        <v>124510.72</v>
      </c>
      <c r="L3" s="18">
        <v>139275.04999999999</v>
      </c>
      <c r="M3" s="18" t="s">
        <v>28</v>
      </c>
      <c r="N3" s="12" t="str">
        <f>VLOOKUP(AG3,S10:T14,2)</f>
        <v>Törpe</v>
      </c>
      <c r="AG3">
        <f>L3/$AF$6</f>
        <v>0.89675000273644667</v>
      </c>
    </row>
    <row r="4" spans="1:33" x14ac:dyDescent="0.25">
      <c r="A4" s="12" t="s">
        <v>29</v>
      </c>
      <c r="B4" s="18" t="s">
        <v>28</v>
      </c>
      <c r="C4" s="18">
        <v>136747.84</v>
      </c>
      <c r="D4" s="18">
        <v>139264.85</v>
      </c>
      <c r="E4" s="18">
        <v>133836.60999999999</v>
      </c>
      <c r="F4" s="18">
        <v>144121.91</v>
      </c>
      <c r="G4" s="18">
        <v>157071.34</v>
      </c>
      <c r="H4" s="18" t="s">
        <v>28</v>
      </c>
      <c r="I4" s="18" t="s">
        <v>28</v>
      </c>
      <c r="J4" s="18">
        <v>151549.89000000001</v>
      </c>
      <c r="K4" s="18">
        <v>137908.10999999999</v>
      </c>
      <c r="L4" s="18">
        <v>155310.9</v>
      </c>
      <c r="M4" s="18" t="s">
        <v>28</v>
      </c>
      <c r="N4" s="12"/>
    </row>
    <row r="5" spans="1:33" x14ac:dyDescent="0.25">
      <c r="A5" s="12" t="s">
        <v>30</v>
      </c>
      <c r="B5" s="18">
        <v>1975.8</v>
      </c>
      <c r="C5" s="18">
        <v>1886.11</v>
      </c>
      <c r="D5" s="18">
        <v>1677.92</v>
      </c>
      <c r="E5" s="18">
        <v>1821.8</v>
      </c>
      <c r="F5" s="18">
        <v>1847.89</v>
      </c>
      <c r="G5" s="18">
        <v>1892.2</v>
      </c>
      <c r="H5" s="18">
        <v>2069.02</v>
      </c>
      <c r="I5" s="18">
        <v>1431.44</v>
      </c>
      <c r="J5" s="18">
        <v>1690.84</v>
      </c>
      <c r="K5" s="18">
        <v>1661.86</v>
      </c>
      <c r="L5" s="18">
        <v>1902.38</v>
      </c>
      <c r="M5" s="18" t="s">
        <v>28</v>
      </c>
      <c r="N5" s="12"/>
    </row>
    <row r="6" spans="1:33" x14ac:dyDescent="0.25">
      <c r="A6" s="12" t="s">
        <v>31</v>
      </c>
      <c r="B6" s="18">
        <v>4092.4</v>
      </c>
      <c r="C6" s="18">
        <v>4194.57</v>
      </c>
      <c r="D6" s="18">
        <v>4588.1000000000004</v>
      </c>
      <c r="E6" s="18">
        <v>4600.1499999999996</v>
      </c>
      <c r="F6" s="18">
        <v>5652.17</v>
      </c>
      <c r="G6" s="18">
        <v>5458.99</v>
      </c>
      <c r="H6" s="18">
        <v>5140.1400000000003</v>
      </c>
      <c r="I6" s="18">
        <v>5942.78</v>
      </c>
      <c r="J6" s="18">
        <v>6318.08</v>
      </c>
      <c r="K6" s="18">
        <v>5954.52</v>
      </c>
      <c r="L6" s="18">
        <v>6319.63</v>
      </c>
      <c r="M6" s="18" t="s">
        <v>28</v>
      </c>
      <c r="N6" s="12"/>
      <c r="S6" s="1" t="s">
        <v>70</v>
      </c>
      <c r="X6" t="str">
        <f>INDEX(A3:A43,MATCH(MAX(L3:L43),L3:L43,1),1)</f>
        <v>Koszovó</v>
      </c>
      <c r="AF6">
        <f>MAX(L3:L43)</f>
        <v>155310.9</v>
      </c>
    </row>
    <row r="7" spans="1:33" x14ac:dyDescent="0.25">
      <c r="A7" s="12" t="s">
        <v>32</v>
      </c>
      <c r="B7" s="18">
        <v>4358.1000000000004</v>
      </c>
      <c r="C7" s="18">
        <v>4161.55</v>
      </c>
      <c r="D7" s="18">
        <v>4913.05</v>
      </c>
      <c r="E7" s="18">
        <v>3518.9</v>
      </c>
      <c r="F7" s="18">
        <v>4700.7</v>
      </c>
      <c r="G7" s="18">
        <v>5442.35</v>
      </c>
      <c r="H7" s="18">
        <v>5274.27</v>
      </c>
      <c r="I7" s="18">
        <v>5454.66</v>
      </c>
      <c r="J7" s="18">
        <v>4718.21</v>
      </c>
      <c r="K7" s="18">
        <v>4417.84</v>
      </c>
      <c r="L7" s="18">
        <v>4812.16</v>
      </c>
      <c r="M7" s="18">
        <v>4919.04</v>
      </c>
      <c r="N7" s="12"/>
      <c r="X7" s="19"/>
    </row>
    <row r="8" spans="1:33" x14ac:dyDescent="0.25">
      <c r="A8" s="12" t="s">
        <v>33</v>
      </c>
      <c r="B8" s="18">
        <v>5871.33</v>
      </c>
      <c r="C8" s="18">
        <v>5001.0600000000004</v>
      </c>
      <c r="D8" s="18">
        <v>4775.22</v>
      </c>
      <c r="E8" s="18">
        <v>4472.4799999999996</v>
      </c>
      <c r="F8" s="18">
        <v>4097</v>
      </c>
      <c r="G8" s="18">
        <v>5093.38</v>
      </c>
      <c r="H8" s="18">
        <v>4971.51</v>
      </c>
      <c r="I8" s="18">
        <v>4152.6499999999996</v>
      </c>
      <c r="J8" s="18">
        <v>4777.8900000000003</v>
      </c>
      <c r="K8" s="18">
        <v>2623.93</v>
      </c>
      <c r="L8" s="18">
        <v>4642.09</v>
      </c>
      <c r="M8" s="18">
        <v>3889.85</v>
      </c>
      <c r="N8" s="12"/>
      <c r="S8" s="1" t="s">
        <v>76</v>
      </c>
      <c r="X8" s="19"/>
    </row>
    <row r="9" spans="1:33" x14ac:dyDescent="0.25">
      <c r="A9" s="12" t="s">
        <v>34</v>
      </c>
      <c r="B9" s="18">
        <v>25190.3</v>
      </c>
      <c r="C9" s="18">
        <v>23782.959999999999</v>
      </c>
      <c r="D9" s="18">
        <v>22782.7</v>
      </c>
      <c r="E9" s="18">
        <v>22409.3</v>
      </c>
      <c r="F9" s="18">
        <v>25019.1</v>
      </c>
      <c r="G9" s="18">
        <v>27784.799999999999</v>
      </c>
      <c r="H9" s="18">
        <v>26549.5</v>
      </c>
      <c r="I9" s="18">
        <v>24463.8</v>
      </c>
      <c r="J9" s="18">
        <v>24481.599999999999</v>
      </c>
      <c r="K9" s="18">
        <v>20263.5</v>
      </c>
      <c r="L9" s="18">
        <v>23062.6</v>
      </c>
      <c r="M9" s="18">
        <v>22170.5</v>
      </c>
      <c r="N9" s="12"/>
    </row>
    <row r="10" spans="1:33" x14ac:dyDescent="0.25">
      <c r="A10" s="12" t="s">
        <v>35</v>
      </c>
      <c r="B10" s="18">
        <v>342.5</v>
      </c>
      <c r="C10" s="18">
        <v>327.60000000000002</v>
      </c>
      <c r="D10" s="18">
        <v>360.2</v>
      </c>
      <c r="E10" s="18">
        <v>484.7</v>
      </c>
      <c r="F10" s="18">
        <v>406.8</v>
      </c>
      <c r="G10" s="18">
        <v>615.5</v>
      </c>
      <c r="H10" s="18">
        <v>812.6</v>
      </c>
      <c r="I10" s="18">
        <v>455.5</v>
      </c>
      <c r="J10" s="18">
        <v>713.26</v>
      </c>
      <c r="K10" s="18">
        <v>450.27</v>
      </c>
      <c r="L10" s="18">
        <v>846.58</v>
      </c>
      <c r="M10" s="18" t="s">
        <v>28</v>
      </c>
      <c r="N10" s="12"/>
      <c r="S10" s="16">
        <v>0</v>
      </c>
      <c r="T10" s="16" t="s">
        <v>71</v>
      </c>
    </row>
    <row r="11" spans="1:33" x14ac:dyDescent="0.25">
      <c r="A11" s="12" t="s">
        <v>36</v>
      </c>
      <c r="B11" s="18">
        <v>646.39</v>
      </c>
      <c r="C11" s="18">
        <v>640.42999999999995</v>
      </c>
      <c r="D11" s="18">
        <v>872.06</v>
      </c>
      <c r="E11" s="18">
        <v>656.22</v>
      </c>
      <c r="F11" s="18">
        <v>524.84</v>
      </c>
      <c r="G11" s="18">
        <v>678.55</v>
      </c>
      <c r="H11" s="18">
        <v>653.41</v>
      </c>
      <c r="I11" s="18">
        <v>610.24</v>
      </c>
      <c r="J11" s="18">
        <v>634.4</v>
      </c>
      <c r="K11" s="18">
        <v>485.48</v>
      </c>
      <c r="L11" s="18">
        <v>595.36</v>
      </c>
      <c r="M11" s="18">
        <v>362.7</v>
      </c>
      <c r="N11" s="12"/>
      <c r="S11" s="16">
        <v>25</v>
      </c>
      <c r="T11" s="16" t="s">
        <v>72</v>
      </c>
    </row>
    <row r="12" spans="1:33" x14ac:dyDescent="0.25">
      <c r="A12" s="12" t="s">
        <v>37</v>
      </c>
      <c r="B12" s="18">
        <v>2235.06</v>
      </c>
      <c r="C12" s="18">
        <v>2114.7600000000002</v>
      </c>
      <c r="D12" s="18">
        <v>1931.81</v>
      </c>
      <c r="E12" s="18">
        <v>1636.83</v>
      </c>
      <c r="F12" s="18">
        <v>1716.05</v>
      </c>
      <c r="G12" s="18">
        <v>1737.3</v>
      </c>
      <c r="H12" s="18">
        <v>1190.1099999999999</v>
      </c>
      <c r="I12" s="18">
        <v>1665.35</v>
      </c>
      <c r="J12" s="18">
        <v>1023.9</v>
      </c>
      <c r="K12" s="18">
        <v>1072.94</v>
      </c>
      <c r="L12" s="18">
        <v>1066.49</v>
      </c>
      <c r="M12" s="18">
        <v>1071.7</v>
      </c>
      <c r="N12" s="12"/>
      <c r="S12" s="16">
        <v>50</v>
      </c>
      <c r="T12" s="16" t="s">
        <v>73</v>
      </c>
    </row>
    <row r="13" spans="1:33" x14ac:dyDescent="0.25">
      <c r="A13" s="12" t="s">
        <v>38</v>
      </c>
      <c r="B13" s="18">
        <v>4883.6899999999996</v>
      </c>
      <c r="C13" s="18">
        <v>6079.36</v>
      </c>
      <c r="D13" s="18">
        <v>7957.86</v>
      </c>
      <c r="E13" s="18">
        <v>5310.52</v>
      </c>
      <c r="F13" s="18">
        <v>7924.91</v>
      </c>
      <c r="G13" s="18">
        <v>6621.89</v>
      </c>
      <c r="H13" s="18">
        <v>6627.04</v>
      </c>
      <c r="I13" s="18">
        <v>8199.69</v>
      </c>
      <c r="J13" s="18">
        <v>5033.04</v>
      </c>
      <c r="K13" s="18">
        <v>8322.51</v>
      </c>
      <c r="L13" s="18">
        <v>6041.17</v>
      </c>
      <c r="M13" s="18">
        <v>8261.8700000000008</v>
      </c>
      <c r="N13" s="12"/>
      <c r="S13" s="16">
        <v>75</v>
      </c>
      <c r="T13" s="16" t="s">
        <v>74</v>
      </c>
    </row>
    <row r="14" spans="1:33" x14ac:dyDescent="0.25">
      <c r="A14" s="12" t="s">
        <v>39</v>
      </c>
      <c r="B14" s="18">
        <v>37878.97</v>
      </c>
      <c r="C14" s="18">
        <v>37593.230000000003</v>
      </c>
      <c r="D14" s="18">
        <v>35574.269999999997</v>
      </c>
      <c r="E14" s="18">
        <v>37479.86</v>
      </c>
      <c r="F14" s="18">
        <v>38188.22</v>
      </c>
      <c r="G14" s="18">
        <v>38538.230000000003</v>
      </c>
      <c r="H14" s="18">
        <v>42219.23</v>
      </c>
      <c r="I14" s="18">
        <v>28913.58</v>
      </c>
      <c r="J14" s="18">
        <v>38228.15</v>
      </c>
      <c r="K14" s="18">
        <v>35424.14</v>
      </c>
      <c r="L14" s="18">
        <v>40639.08</v>
      </c>
      <c r="M14" s="18" t="s">
        <v>28</v>
      </c>
      <c r="N14" s="12"/>
      <c r="S14" s="16">
        <v>90</v>
      </c>
      <c r="T14" s="16" t="s">
        <v>75</v>
      </c>
    </row>
    <row r="15" spans="1:33" x14ac:dyDescent="0.25">
      <c r="A15" s="12" t="s">
        <v>40</v>
      </c>
      <c r="B15" s="18">
        <v>946.96</v>
      </c>
      <c r="C15" s="18">
        <v>688.94</v>
      </c>
      <c r="D15" s="18">
        <v>791.6</v>
      </c>
      <c r="E15" s="18">
        <v>1011.31</v>
      </c>
      <c r="F15" s="18">
        <v>1010.56</v>
      </c>
      <c r="G15" s="18">
        <v>658.37</v>
      </c>
      <c r="H15" s="18">
        <v>771.85</v>
      </c>
      <c r="I15" s="18">
        <v>969.05</v>
      </c>
      <c r="J15" s="18">
        <v>695.59</v>
      </c>
      <c r="K15" s="18">
        <v>753.06</v>
      </c>
      <c r="L15" s="18">
        <v>803.27</v>
      </c>
      <c r="M15" s="18">
        <v>822.15</v>
      </c>
      <c r="N15" s="12"/>
    </row>
    <row r="16" spans="1:33" x14ac:dyDescent="0.25">
      <c r="A16" s="12" t="s">
        <v>41</v>
      </c>
      <c r="B16" s="18">
        <v>6267.27</v>
      </c>
      <c r="C16" s="18">
        <v>6698.46</v>
      </c>
      <c r="D16" s="18">
        <v>6545</v>
      </c>
      <c r="E16" s="18">
        <v>7565.24</v>
      </c>
      <c r="F16" s="18">
        <v>7510.13</v>
      </c>
      <c r="G16" s="18">
        <v>7317.15</v>
      </c>
      <c r="H16" s="18" t="s">
        <v>28</v>
      </c>
      <c r="I16" s="18">
        <v>8236.9500000000007</v>
      </c>
      <c r="J16" s="18">
        <v>7139.01</v>
      </c>
      <c r="K16" s="18">
        <v>7104.65</v>
      </c>
      <c r="L16" s="18">
        <v>6739.47</v>
      </c>
      <c r="M16" s="18">
        <v>6648.07</v>
      </c>
      <c r="N16" s="12"/>
    </row>
    <row r="17" spans="1:14" x14ac:dyDescent="0.25">
      <c r="A17" s="12" t="s">
        <v>42</v>
      </c>
      <c r="B17" s="18">
        <v>15.34</v>
      </c>
      <c r="C17" s="18">
        <v>19.440000000000001</v>
      </c>
      <c r="D17" s="18">
        <v>24.46</v>
      </c>
      <c r="E17" s="18">
        <v>23.51</v>
      </c>
      <c r="F17" s="18">
        <v>15.66</v>
      </c>
      <c r="G17" s="18">
        <v>4.53</v>
      </c>
      <c r="H17" s="18">
        <v>36.06</v>
      </c>
      <c r="I17" s="18">
        <v>7.1</v>
      </c>
      <c r="J17" s="18">
        <v>17.11</v>
      </c>
      <c r="K17" s="18">
        <v>15.33</v>
      </c>
      <c r="L17" s="18">
        <v>28.45</v>
      </c>
      <c r="M17" s="18">
        <v>27.88</v>
      </c>
      <c r="N17" s="12"/>
    </row>
    <row r="18" spans="1:14" x14ac:dyDescent="0.25">
      <c r="A18" s="12" t="s">
        <v>43</v>
      </c>
      <c r="B18" s="18">
        <v>1036.4000000000001</v>
      </c>
      <c r="C18" s="18">
        <v>989.4</v>
      </c>
      <c r="D18" s="18">
        <v>939.5</v>
      </c>
      <c r="E18" s="18">
        <v>1539.8</v>
      </c>
      <c r="F18" s="18">
        <v>1435</v>
      </c>
      <c r="G18" s="18">
        <v>1467.5</v>
      </c>
      <c r="H18" s="18">
        <v>2250.1</v>
      </c>
      <c r="I18" s="18">
        <v>2062.3000000000002</v>
      </c>
      <c r="J18" s="18">
        <v>2138.8000000000002</v>
      </c>
      <c r="K18" s="18">
        <v>1431.6</v>
      </c>
      <c r="L18" s="18">
        <v>2371</v>
      </c>
      <c r="M18" s="18" t="s">
        <v>28</v>
      </c>
      <c r="N18" s="12"/>
    </row>
    <row r="19" spans="1:14" x14ac:dyDescent="0.25">
      <c r="A19" s="12" t="s">
        <v>44</v>
      </c>
      <c r="B19" s="18">
        <v>2100.1999999999998</v>
      </c>
      <c r="C19" s="18">
        <v>1710.4</v>
      </c>
      <c r="D19" s="18">
        <v>1869.3</v>
      </c>
      <c r="E19" s="18">
        <v>2998.9</v>
      </c>
      <c r="F19" s="18">
        <v>2871.3</v>
      </c>
      <c r="G19" s="18">
        <v>3230.6</v>
      </c>
      <c r="H19" s="18">
        <v>4394.08</v>
      </c>
      <c r="I19" s="18">
        <v>3844.49</v>
      </c>
      <c r="J19" s="18">
        <v>3917.37</v>
      </c>
      <c r="K19" s="18">
        <v>2838.9</v>
      </c>
      <c r="L19" s="18">
        <v>3843.85</v>
      </c>
      <c r="M19" s="18">
        <v>4461.8</v>
      </c>
      <c r="N19" s="12"/>
    </row>
    <row r="20" spans="1:14" x14ac:dyDescent="0.25">
      <c r="A20" s="12" t="s">
        <v>45</v>
      </c>
      <c r="B20" s="18">
        <v>89.84</v>
      </c>
      <c r="C20" s="18">
        <v>82.5</v>
      </c>
      <c r="D20" s="18">
        <v>75.95</v>
      </c>
      <c r="E20" s="18">
        <v>78.28</v>
      </c>
      <c r="F20" s="18">
        <v>90</v>
      </c>
      <c r="G20" s="18">
        <v>77.040000000000006</v>
      </c>
      <c r="H20" s="18">
        <v>92.01</v>
      </c>
      <c r="I20" s="18">
        <v>70.150000000000006</v>
      </c>
      <c r="J20" s="18">
        <v>77.55</v>
      </c>
      <c r="K20" s="18">
        <v>79.650000000000006</v>
      </c>
      <c r="L20" s="18">
        <v>82.26</v>
      </c>
      <c r="M20" s="18" t="s">
        <v>28</v>
      </c>
      <c r="N20" s="12"/>
    </row>
    <row r="21" spans="1:14" x14ac:dyDescent="0.25">
      <c r="A21" s="12" t="s">
        <v>46</v>
      </c>
      <c r="B21" s="18">
        <v>4393.41</v>
      </c>
      <c r="C21" s="18">
        <v>3723.41</v>
      </c>
      <c r="D21" s="18">
        <v>4082.76</v>
      </c>
      <c r="E21" s="18">
        <v>3987.67</v>
      </c>
      <c r="F21" s="18">
        <v>5028.8900000000003</v>
      </c>
      <c r="G21" s="18">
        <v>5261.89</v>
      </c>
      <c r="H21" s="18">
        <v>5331.43</v>
      </c>
      <c r="I21" s="18">
        <v>5603.18</v>
      </c>
      <c r="J21" s="18">
        <v>5246.26</v>
      </c>
      <c r="K21" s="18">
        <v>5258.43</v>
      </c>
      <c r="L21" s="18">
        <v>5369.68</v>
      </c>
      <c r="M21" s="18">
        <v>5010.03</v>
      </c>
      <c r="N21" s="12"/>
    </row>
    <row r="22" spans="1:14" x14ac:dyDescent="0.25">
      <c r="A22" s="12" t="s">
        <v>47</v>
      </c>
      <c r="B22" s="18" t="s">
        <v>28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2"/>
    </row>
    <row r="23" spans="1:14" x14ac:dyDescent="0.25">
      <c r="A23" s="12" t="s">
        <v>48</v>
      </c>
      <c r="B23" s="18">
        <v>1369.4</v>
      </c>
      <c r="C23" s="18">
        <v>1338.14</v>
      </c>
      <c r="D23" s="18">
        <v>1147.67</v>
      </c>
      <c r="E23" s="18">
        <v>1271.72</v>
      </c>
      <c r="F23" s="18">
        <v>1303.95</v>
      </c>
      <c r="G23" s="18">
        <v>1273.67</v>
      </c>
      <c r="H23" s="18">
        <v>1269.81</v>
      </c>
      <c r="I23" s="18">
        <v>995.2</v>
      </c>
      <c r="J23" s="18">
        <v>1032.21</v>
      </c>
      <c r="K23" s="18">
        <v>961.92</v>
      </c>
      <c r="L23" s="18">
        <v>1130.53</v>
      </c>
      <c r="M23" s="18" t="s">
        <v>28</v>
      </c>
      <c r="N23" s="12"/>
    </row>
    <row r="24" spans="1:14" x14ac:dyDescent="0.25">
      <c r="A24" s="12" t="s">
        <v>49</v>
      </c>
      <c r="B24" s="18">
        <v>1523.4</v>
      </c>
      <c r="C24" s="18">
        <v>1517.81</v>
      </c>
      <c r="D24" s="18">
        <v>1781.84</v>
      </c>
      <c r="E24" s="18">
        <v>1275.5</v>
      </c>
      <c r="F24" s="18">
        <v>1597.71</v>
      </c>
      <c r="G24" s="18">
        <v>1804.02</v>
      </c>
      <c r="H24" s="18">
        <v>1715.7</v>
      </c>
      <c r="I24" s="18">
        <v>1965.54</v>
      </c>
      <c r="J24" s="18">
        <v>1434.38</v>
      </c>
      <c r="K24" s="18">
        <v>1367.06</v>
      </c>
      <c r="L24" s="18">
        <v>1596.88</v>
      </c>
      <c r="M24" s="18">
        <v>1571.36</v>
      </c>
      <c r="N24" s="12"/>
    </row>
    <row r="25" spans="1:14" x14ac:dyDescent="0.25">
      <c r="A25" s="12" t="s">
        <v>50</v>
      </c>
      <c r="B25" s="18">
        <v>9676.06</v>
      </c>
      <c r="C25" s="18">
        <v>9298.7000000000007</v>
      </c>
      <c r="D25" s="18">
        <v>9230.6</v>
      </c>
      <c r="E25" s="18">
        <v>8507.51</v>
      </c>
      <c r="F25" s="18">
        <v>9374.91</v>
      </c>
      <c r="G25" s="18">
        <v>11493.48</v>
      </c>
      <c r="H25" s="18">
        <v>10753.93</v>
      </c>
      <c r="I25" s="18">
        <v>10626.45</v>
      </c>
      <c r="J25" s="18">
        <v>11448.66</v>
      </c>
      <c r="K25" s="18">
        <v>9637.6200000000008</v>
      </c>
      <c r="L25" s="18">
        <v>10807.49</v>
      </c>
      <c r="M25" s="18">
        <v>11351.31</v>
      </c>
      <c r="N25" s="12"/>
    </row>
    <row r="26" spans="1:14" x14ac:dyDescent="0.25">
      <c r="A26" s="12" t="s">
        <v>51</v>
      </c>
      <c r="B26" s="18">
        <v>128.47999999999999</v>
      </c>
      <c r="C26" s="18">
        <v>85.46</v>
      </c>
      <c r="D26" s="18">
        <v>52.78</v>
      </c>
      <c r="E26" s="18">
        <v>61.05</v>
      </c>
      <c r="F26" s="18">
        <v>95.22</v>
      </c>
      <c r="G26" s="18">
        <v>102.24</v>
      </c>
      <c r="H26" s="18">
        <v>83.2</v>
      </c>
      <c r="I26" s="18">
        <v>93.16</v>
      </c>
      <c r="J26" s="18">
        <v>61.69</v>
      </c>
      <c r="K26" s="18">
        <v>70.11</v>
      </c>
      <c r="L26" s="18">
        <v>61.6</v>
      </c>
      <c r="M26" s="18">
        <v>58.53</v>
      </c>
      <c r="N26" s="12"/>
    </row>
    <row r="27" spans="1:14" x14ac:dyDescent="0.25">
      <c r="A27" s="12" t="s">
        <v>52</v>
      </c>
      <c r="B27" s="18">
        <v>5202.53</v>
      </c>
      <c r="C27" s="18">
        <v>5811.81</v>
      </c>
      <c r="D27" s="18">
        <v>7131.59</v>
      </c>
      <c r="E27" s="18">
        <v>5297.75</v>
      </c>
      <c r="F27" s="18">
        <v>7296.37</v>
      </c>
      <c r="G27" s="18">
        <v>7584.81</v>
      </c>
      <c r="H27" s="18">
        <v>7962.42</v>
      </c>
      <c r="I27" s="18">
        <v>8431.1299999999992</v>
      </c>
      <c r="J27" s="18">
        <v>10034.959999999999</v>
      </c>
      <c r="K27" s="18">
        <v>10143.67</v>
      </c>
      <c r="L27" s="18">
        <v>10019.82</v>
      </c>
      <c r="M27" s="18">
        <v>6064.55</v>
      </c>
      <c r="N27" s="12"/>
    </row>
    <row r="28" spans="1:14" x14ac:dyDescent="0.25">
      <c r="A28" s="12" t="s">
        <v>53</v>
      </c>
      <c r="B28" s="18">
        <v>136.9</v>
      </c>
      <c r="C28" s="18">
        <v>153.47999999999999</v>
      </c>
      <c r="D28" s="18">
        <v>153.58000000000001</v>
      </c>
      <c r="E28" s="18">
        <v>188.07</v>
      </c>
      <c r="F28" s="18">
        <v>138.24</v>
      </c>
      <c r="G28" s="18">
        <v>173.24</v>
      </c>
      <c r="H28" s="18">
        <v>157.06</v>
      </c>
      <c r="I28" s="18">
        <v>163.16999999999999</v>
      </c>
      <c r="J28" s="18">
        <v>140.96</v>
      </c>
      <c r="K28" s="18">
        <v>121.9</v>
      </c>
      <c r="L28" s="18">
        <v>139.81</v>
      </c>
      <c r="M28" s="18">
        <v>158.05000000000001</v>
      </c>
      <c r="N28" s="12"/>
    </row>
    <row r="29" spans="1:14" x14ac:dyDescent="0.25">
      <c r="A29" s="12" t="s">
        <v>54</v>
      </c>
      <c r="B29" s="18">
        <v>1528.96</v>
      </c>
      <c r="C29" s="18">
        <v>1178.4000000000001</v>
      </c>
      <c r="D29" s="18">
        <v>1621.62</v>
      </c>
      <c r="E29" s="18">
        <v>1267.8900000000001</v>
      </c>
      <c r="F29" s="18">
        <v>1674.48</v>
      </c>
      <c r="G29" s="18">
        <v>2060.36</v>
      </c>
      <c r="H29" s="18">
        <v>2082.13</v>
      </c>
      <c r="I29" s="18" t="s">
        <v>28</v>
      </c>
      <c r="J29" s="18">
        <v>1770.66</v>
      </c>
      <c r="K29" s="18">
        <v>1927.93</v>
      </c>
      <c r="L29" s="18">
        <v>1959.94</v>
      </c>
      <c r="M29" s="18">
        <v>2100</v>
      </c>
      <c r="N29" s="12"/>
    </row>
    <row r="30" spans="1:14" x14ac:dyDescent="0.25">
      <c r="A30" s="12" t="s">
        <v>55</v>
      </c>
      <c r="B30" s="18">
        <v>899.38</v>
      </c>
      <c r="C30" s="18">
        <v>735.35</v>
      </c>
      <c r="D30" s="18">
        <v>988.4</v>
      </c>
      <c r="E30" s="18">
        <v>898.45</v>
      </c>
      <c r="F30" s="18">
        <v>881.53</v>
      </c>
      <c r="G30" s="18">
        <v>1103.3800000000001</v>
      </c>
      <c r="H30" s="18">
        <v>1005.94</v>
      </c>
      <c r="I30" s="18">
        <v>834.44</v>
      </c>
      <c r="J30" s="18">
        <v>812.24</v>
      </c>
      <c r="K30" s="18">
        <v>501.6</v>
      </c>
      <c r="L30" s="18">
        <v>914.18</v>
      </c>
      <c r="M30" s="18">
        <v>753.3</v>
      </c>
      <c r="N30" s="12"/>
    </row>
    <row r="31" spans="1:14" x14ac:dyDescent="0.25">
      <c r="A31" s="12" t="s">
        <v>56</v>
      </c>
      <c r="B31" s="18">
        <v>2277.9</v>
      </c>
      <c r="C31" s="18">
        <v>2143</v>
      </c>
      <c r="D31" s="18">
        <v>2226.6999999999998</v>
      </c>
      <c r="E31" s="18">
        <v>2289.3000000000002</v>
      </c>
      <c r="F31" s="18">
        <v>1868.6</v>
      </c>
      <c r="G31" s="18">
        <v>3086.4</v>
      </c>
      <c r="H31" s="18">
        <v>3300.4</v>
      </c>
      <c r="I31" s="18">
        <v>2841.6</v>
      </c>
      <c r="J31" s="18">
        <v>3298.6</v>
      </c>
      <c r="K31" s="18">
        <v>1620.3</v>
      </c>
      <c r="L31" s="18">
        <v>3476.8</v>
      </c>
      <c r="M31" s="18">
        <v>3113</v>
      </c>
      <c r="N31" s="12"/>
    </row>
    <row r="32" spans="1:14" x14ac:dyDescent="0.25">
      <c r="A32" s="12" t="s">
        <v>57</v>
      </c>
      <c r="B32" s="18">
        <v>13994.16</v>
      </c>
      <c r="C32" s="18">
        <v>14791.5</v>
      </c>
      <c r="D32" s="18">
        <v>15168.3</v>
      </c>
      <c r="E32" s="18">
        <v>13183.9</v>
      </c>
      <c r="F32" s="18">
        <v>11851.69</v>
      </c>
      <c r="G32" s="18">
        <v>16509.45</v>
      </c>
      <c r="H32" s="18">
        <v>16348.4</v>
      </c>
      <c r="I32" s="18">
        <v>14215.76</v>
      </c>
      <c r="J32" s="18">
        <v>14664.48</v>
      </c>
      <c r="K32" s="18">
        <v>13397.38</v>
      </c>
      <c r="L32" s="18">
        <v>16035.84</v>
      </c>
      <c r="M32" s="18">
        <v>9962.7900000000009</v>
      </c>
      <c r="N32" s="12"/>
    </row>
    <row r="33" spans="1:14" x14ac:dyDescent="0.25">
      <c r="A33" s="12" t="s">
        <v>58</v>
      </c>
      <c r="B33" s="18" t="s">
        <v>28</v>
      </c>
      <c r="C33" s="18" t="s">
        <v>28</v>
      </c>
      <c r="D33" s="18">
        <v>0.1</v>
      </c>
      <c r="E33" s="18" t="s">
        <v>28</v>
      </c>
      <c r="F33" s="18" t="s">
        <v>28</v>
      </c>
      <c r="G33" s="18" t="s">
        <v>28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 t="s">
        <v>28</v>
      </c>
      <c r="N33" s="12"/>
    </row>
    <row r="34" spans="1:14" x14ac:dyDescent="0.25">
      <c r="A34" s="12" t="s">
        <v>59</v>
      </c>
      <c r="B34" s="18" t="s">
        <v>28</v>
      </c>
      <c r="C34" s="18" t="s">
        <v>28</v>
      </c>
      <c r="D34" s="18" t="s">
        <v>28</v>
      </c>
      <c r="E34" s="18" t="s">
        <v>28</v>
      </c>
      <c r="F34" s="18" t="s">
        <v>28</v>
      </c>
      <c r="G34" s="18" t="s">
        <v>28</v>
      </c>
      <c r="H34" s="18" t="s">
        <v>28</v>
      </c>
      <c r="I34" s="18" t="s">
        <v>28</v>
      </c>
      <c r="J34" s="18" t="s">
        <v>28</v>
      </c>
      <c r="K34" s="18" t="s">
        <v>28</v>
      </c>
      <c r="L34" s="18" t="s">
        <v>28</v>
      </c>
      <c r="M34" s="18" t="s">
        <v>28</v>
      </c>
      <c r="N34" s="12"/>
    </row>
    <row r="35" spans="1:14" x14ac:dyDescent="0.25">
      <c r="A35" s="12" t="s">
        <v>60</v>
      </c>
      <c r="B35" s="18" t="s">
        <v>28</v>
      </c>
      <c r="C35" s="18">
        <v>327.14999999999998</v>
      </c>
      <c r="D35" s="18">
        <v>281.69</v>
      </c>
      <c r="E35" s="18">
        <v>271.8</v>
      </c>
      <c r="F35" s="18">
        <v>210.52</v>
      </c>
      <c r="G35" s="18">
        <v>385.07</v>
      </c>
      <c r="H35" s="18">
        <v>489.44</v>
      </c>
      <c r="I35" s="18">
        <v>305.8</v>
      </c>
      <c r="J35" s="18" t="s">
        <v>28</v>
      </c>
      <c r="K35" s="18" t="s">
        <v>28</v>
      </c>
      <c r="L35" s="18" t="s">
        <v>28</v>
      </c>
      <c r="M35" s="18" t="s">
        <v>28</v>
      </c>
      <c r="N35" s="12"/>
    </row>
    <row r="36" spans="1:14" x14ac:dyDescent="0.25">
      <c r="A36" s="12" t="s">
        <v>61</v>
      </c>
      <c r="B36" s="18">
        <v>557.37</v>
      </c>
      <c r="C36" s="18">
        <v>531.19000000000005</v>
      </c>
      <c r="D36" s="18">
        <v>560.67999999999995</v>
      </c>
      <c r="E36" s="18">
        <v>519.30999999999995</v>
      </c>
      <c r="F36" s="18">
        <v>488.36</v>
      </c>
      <c r="G36" s="18">
        <v>557.07000000000005</v>
      </c>
      <c r="H36" s="18">
        <v>533.21</v>
      </c>
      <c r="I36" s="18">
        <v>391.11</v>
      </c>
      <c r="J36" s="18">
        <v>536.65</v>
      </c>
      <c r="K36" s="18">
        <v>502.85</v>
      </c>
      <c r="L36" s="18">
        <v>518.1</v>
      </c>
      <c r="M36" s="18" t="s">
        <v>28</v>
      </c>
      <c r="N36" s="12"/>
    </row>
    <row r="37" spans="1:14" x14ac:dyDescent="0.25">
      <c r="A37" s="12" t="s">
        <v>62</v>
      </c>
      <c r="B37" s="18">
        <v>1.17</v>
      </c>
      <c r="C37" s="18">
        <v>0.96</v>
      </c>
      <c r="D37" s="18">
        <v>1.63</v>
      </c>
      <c r="E37" s="18">
        <v>1.46</v>
      </c>
      <c r="F37" s="18">
        <v>2.33</v>
      </c>
      <c r="G37" s="18">
        <v>2.1800000000000002</v>
      </c>
      <c r="H37" s="18">
        <v>2.13</v>
      </c>
      <c r="I37" s="18">
        <v>2.38</v>
      </c>
      <c r="J37" s="18">
        <v>2.4900000000000002</v>
      </c>
      <c r="K37" s="18">
        <v>2.5</v>
      </c>
      <c r="L37" s="18" t="s">
        <v>28</v>
      </c>
      <c r="M37" s="18" t="s">
        <v>28</v>
      </c>
      <c r="N37" s="12"/>
    </row>
    <row r="38" spans="1:14" x14ac:dyDescent="0.25">
      <c r="A38" s="12" t="s">
        <v>63</v>
      </c>
      <c r="B38" s="18">
        <v>274.27</v>
      </c>
      <c r="C38" s="18">
        <v>245.96</v>
      </c>
      <c r="D38" s="18">
        <v>259.08</v>
      </c>
      <c r="E38" s="18">
        <v>217.46</v>
      </c>
      <c r="F38" s="18">
        <v>261.97000000000003</v>
      </c>
      <c r="G38" s="18">
        <v>291.3</v>
      </c>
      <c r="H38" s="18">
        <v>203.56</v>
      </c>
      <c r="I38" s="18">
        <v>310</v>
      </c>
      <c r="J38" s="18">
        <v>202.44</v>
      </c>
      <c r="K38" s="18">
        <v>243.91</v>
      </c>
      <c r="L38" s="18">
        <v>242.71</v>
      </c>
      <c r="M38" s="18">
        <v>240.46</v>
      </c>
      <c r="N38" s="12"/>
    </row>
    <row r="39" spans="1:14" x14ac:dyDescent="0.25">
      <c r="A39" s="12" t="s">
        <v>64</v>
      </c>
      <c r="B39" s="18">
        <v>329.23</v>
      </c>
      <c r="C39" s="18">
        <v>291.47000000000003</v>
      </c>
      <c r="D39" s="18">
        <v>289.39999999999998</v>
      </c>
      <c r="E39" s="18">
        <v>296.51</v>
      </c>
      <c r="F39" s="18" t="s">
        <v>28</v>
      </c>
      <c r="G39" s="18">
        <v>276.74</v>
      </c>
      <c r="H39" s="18">
        <v>271.8</v>
      </c>
      <c r="I39" s="18">
        <v>271.8</v>
      </c>
      <c r="J39" s="18" t="s">
        <v>28</v>
      </c>
      <c r="K39" s="18">
        <v>237.51</v>
      </c>
      <c r="L39" s="18" t="s">
        <v>28</v>
      </c>
      <c r="M39" s="18" t="s">
        <v>28</v>
      </c>
      <c r="N39" s="12"/>
    </row>
    <row r="40" spans="1:14" x14ac:dyDescent="0.25">
      <c r="A40" s="12" t="s">
        <v>65</v>
      </c>
      <c r="B40" s="18">
        <v>2598.1799999999998</v>
      </c>
      <c r="C40" s="18">
        <v>2085.5300000000002</v>
      </c>
      <c r="D40" s="18">
        <v>2609.19</v>
      </c>
      <c r="E40" s="18">
        <v>2399.2199999999998</v>
      </c>
      <c r="F40" s="18">
        <v>2690.27</v>
      </c>
      <c r="G40" s="18">
        <v>2387.1999999999998</v>
      </c>
      <c r="H40" s="18">
        <v>2428.1999999999998</v>
      </c>
      <c r="I40" s="18">
        <v>2885</v>
      </c>
      <c r="J40" s="18">
        <v>2275.6</v>
      </c>
      <c r="K40" s="18">
        <v>2941.6</v>
      </c>
      <c r="L40" s="18">
        <v>2534.64</v>
      </c>
      <c r="M40" s="18" t="s">
        <v>28</v>
      </c>
      <c r="N40" s="12"/>
    </row>
    <row r="41" spans="1:14" x14ac:dyDescent="0.25">
      <c r="A41" s="12" t="s">
        <v>66</v>
      </c>
      <c r="B41" s="18">
        <v>20520</v>
      </c>
      <c r="C41" s="18">
        <v>19682</v>
      </c>
      <c r="D41" s="18">
        <v>21807</v>
      </c>
      <c r="E41" s="18">
        <v>20107</v>
      </c>
      <c r="F41" s="18">
        <v>22064</v>
      </c>
      <c r="G41" s="18">
        <v>19006</v>
      </c>
      <c r="H41" s="18">
        <v>22605</v>
      </c>
      <c r="I41" s="18">
        <v>21467.53</v>
      </c>
      <c r="J41" s="18">
        <v>22407.29</v>
      </c>
      <c r="K41" s="18">
        <v>20664.59</v>
      </c>
      <c r="L41" s="18">
        <v>19798.47</v>
      </c>
      <c r="M41" s="18" t="s">
        <v>28</v>
      </c>
      <c r="N41" s="12"/>
    </row>
    <row r="42" spans="1:14" x14ac:dyDescent="0.25">
      <c r="A42" s="12" t="s">
        <v>67</v>
      </c>
      <c r="B42" s="18">
        <v>258.82</v>
      </c>
      <c r="C42" s="18">
        <v>293.79000000000002</v>
      </c>
      <c r="D42" s="18">
        <v>212.45</v>
      </c>
      <c r="E42" s="18">
        <v>227.75</v>
      </c>
      <c r="F42" s="18">
        <v>268.24</v>
      </c>
      <c r="G42" s="18">
        <v>172.03</v>
      </c>
      <c r="H42" s="18">
        <v>215.49</v>
      </c>
      <c r="I42" s="18">
        <v>310.17</v>
      </c>
      <c r="J42" s="18">
        <v>292.10000000000002</v>
      </c>
      <c r="K42" s="18">
        <v>299.25</v>
      </c>
      <c r="L42" s="18">
        <v>267.85000000000002</v>
      </c>
      <c r="M42" s="18" t="s">
        <v>28</v>
      </c>
      <c r="N42" s="12"/>
    </row>
    <row r="43" spans="1:14" x14ac:dyDescent="0.25">
      <c r="A43" s="12" t="s">
        <v>68</v>
      </c>
      <c r="B43" s="18">
        <v>271.39999999999998</v>
      </c>
      <c r="C43" s="18">
        <v>294.5</v>
      </c>
      <c r="D43" s="18">
        <v>300.2</v>
      </c>
      <c r="E43" s="18">
        <v>345</v>
      </c>
      <c r="F43" s="18">
        <v>391.7</v>
      </c>
      <c r="G43" s="18">
        <v>328.2</v>
      </c>
      <c r="H43" s="18">
        <v>304.39999999999998</v>
      </c>
      <c r="I43" s="18">
        <v>365.7</v>
      </c>
      <c r="J43" s="18">
        <v>320.10000000000002</v>
      </c>
      <c r="K43" s="18">
        <v>280.60000000000002</v>
      </c>
      <c r="L43" s="18">
        <v>285</v>
      </c>
      <c r="M43" s="18" t="s">
        <v>28</v>
      </c>
      <c r="N43" s="12"/>
    </row>
  </sheetData>
  <mergeCells count="1">
    <mergeCell ref="A1:N1"/>
  </mergeCells>
  <conditionalFormatting sqref="A3:A43">
    <cfRule type="expression" dxfId="0" priority="1">
      <formula>COUNT($B$3:$M$3)=0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Magyarországi adatok</vt:lpstr>
      <vt:lpstr>EU-s 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Szmodis István </cp:lastModifiedBy>
  <dcterms:created xsi:type="dcterms:W3CDTF">2015-06-05T18:19:34Z</dcterms:created>
  <dcterms:modified xsi:type="dcterms:W3CDTF">2026-10-04T18:45:01Z</dcterms:modified>
</cp:coreProperties>
</file>