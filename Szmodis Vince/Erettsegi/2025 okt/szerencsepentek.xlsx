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5_Vince\Érettségi\Forras\"/>
    </mc:Choice>
  </mc:AlternateContent>
  <xr:revisionPtr revIDLastSave="0" documentId="13_ncr:1_{08921641-1983-4960-8CC9-A2B5B2691F1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J6" i="1"/>
  <c r="J7" i="1"/>
  <c r="J8" i="1"/>
  <c r="J9" i="1"/>
  <c r="J5" i="1"/>
  <c r="C2" i="1"/>
  <c r="C20" i="1" s="1"/>
  <c r="D2" i="1"/>
  <c r="D20" i="1" s="1"/>
  <c r="E2" i="1"/>
  <c r="E20" i="1" s="1"/>
  <c r="B2" i="1"/>
  <c r="B21" i="1" s="1"/>
  <c r="E32" i="1" l="1"/>
  <c r="D30" i="1"/>
  <c r="D24" i="1"/>
  <c r="C30" i="1"/>
  <c r="C21" i="1"/>
  <c r="E29" i="1"/>
  <c r="E26" i="1"/>
  <c r="E23" i="1"/>
  <c r="C27" i="1"/>
  <c r="D29" i="1"/>
  <c r="C29" i="1"/>
  <c r="C23" i="1"/>
  <c r="B32" i="1"/>
  <c r="B29" i="1"/>
  <c r="B26" i="1"/>
  <c r="B23" i="1"/>
  <c r="D27" i="1"/>
  <c r="D21" i="1"/>
  <c r="C24" i="1"/>
  <c r="D23" i="1"/>
  <c r="C26" i="1"/>
  <c r="E25" i="1"/>
  <c r="D28" i="1"/>
  <c r="D22" i="1"/>
  <c r="D32" i="1"/>
  <c r="D26" i="1"/>
  <c r="C32" i="1"/>
  <c r="E31" i="1"/>
  <c r="E28" i="1"/>
  <c r="E22" i="1"/>
  <c r="D31" i="1"/>
  <c r="D25" i="1"/>
  <c r="C31" i="1"/>
  <c r="C28" i="1"/>
  <c r="C25" i="1"/>
  <c r="C22" i="1"/>
  <c r="B31" i="1"/>
  <c r="B28" i="1"/>
  <c r="B25" i="1"/>
  <c r="B22" i="1"/>
  <c r="E30" i="1"/>
  <c r="E27" i="1"/>
  <c r="E24" i="1"/>
  <c r="E21" i="1"/>
  <c r="B30" i="1"/>
  <c r="B27" i="1"/>
  <c r="B24" i="1"/>
  <c r="B20" i="1"/>
  <c r="W25" i="1" l="1"/>
  <c r="W28" i="1"/>
  <c r="W29" i="1"/>
  <c r="W31" i="1"/>
  <c r="W27" i="1"/>
  <c r="W21" i="1"/>
  <c r="W32" i="1"/>
  <c r="W24" i="1"/>
  <c r="W30" i="1"/>
  <c r="W26" i="1"/>
  <c r="W22" i="1"/>
  <c r="W23" i="1"/>
  <c r="F5" i="1"/>
  <c r="G5" i="1" s="1"/>
  <c r="W20" i="1"/>
  <c r="F6" i="1"/>
  <c r="G6" i="1" s="1"/>
  <c r="F12" i="1"/>
  <c r="G12" i="1" s="1"/>
  <c r="F9" i="1"/>
  <c r="G9" i="1" s="1"/>
  <c r="F15" i="1"/>
  <c r="G15" i="1" s="1"/>
  <c r="F7" i="1"/>
  <c r="G7" i="1" s="1"/>
  <c r="F11" i="1"/>
  <c r="G11" i="1" s="1"/>
  <c r="F8" i="1"/>
  <c r="G8" i="1" s="1"/>
  <c r="F14" i="1"/>
  <c r="G14" i="1" s="1"/>
  <c r="F10" i="1"/>
  <c r="G10" i="1" s="1"/>
  <c r="F13" i="1"/>
  <c r="G13" i="1" s="1"/>
  <c r="F16" i="1"/>
  <c r="G16" i="1" s="1"/>
  <c r="F17" i="1"/>
  <c r="G17" i="1" s="1"/>
  <c r="W5" i="1" l="1"/>
  <c r="K5" i="1" s="1"/>
  <c r="W7" i="1"/>
  <c r="K7" i="1" s="1"/>
  <c r="W6" i="1"/>
  <c r="K6" i="1" s="1"/>
  <c r="W8" i="1"/>
  <c r="K8" i="1" s="1"/>
</calcChain>
</file>

<file path=xl/sharedStrings.xml><?xml version="1.0" encoding="utf-8"?>
<sst xmlns="http://schemas.openxmlformats.org/spreadsheetml/2006/main" count="87" uniqueCount="23">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</sst>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ont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játékosok találatai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Munka1!$A$20:$A$32</c:f>
            </c:strRef>
          </c:cat>
          <c:val>
            <c:numRef>
              <c:f>Munka1!$W$20:$W$32</c:f>
            </c:numRef>
          </c:val>
          <c:extLst>
            <c:ext xmlns:c16="http://schemas.microsoft.com/office/drawing/2014/chart" uri="{C3380CC4-5D6E-409C-BE32-E72D297353CC}">
              <c16:uniqueId val="{00000000-6288-4DCC-B751-9D38651BD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408223"/>
        <c:axId val="1308569039"/>
      </c:barChart>
      <c:catAx>
        <c:axId val="118540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08569039"/>
        <c:crosses val="autoZero"/>
        <c:auto val="1"/>
        <c:lblAlgn val="ctr"/>
        <c:lblOffset val="100"/>
        <c:noMultiLvlLbl val="0"/>
      </c:catAx>
      <c:valAx>
        <c:axId val="130856903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4082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57150</xdr:rowOff>
    </xdr:from>
    <xdr:to>
      <xdr:col>8</xdr:col>
      <xdr:colOff>342900</xdr:colOff>
      <xdr:row>17</xdr:row>
      <xdr:rowOff>133350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C71AD67-5319-456E-B883-9AD003ABD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H18" sqref="H18"/>
    </sheetView>
  </sheetViews>
  <sheetFormatPr defaultRowHeight="15" x14ac:dyDescent="0.25"/>
  <cols>
    <col min="1" max="1" width="15" bestFit="1" customWidth="1"/>
    <col min="2" max="2" width="9.5703125" bestFit="1" customWidth="1"/>
    <col min="7" max="7" width="11.140625" bestFit="1" customWidth="1"/>
    <col min="11" max="11" width="13.7109375" bestFit="1" customWidth="1"/>
  </cols>
  <sheetData>
    <row r="1" spans="1:23" x14ac:dyDescent="0.25">
      <c r="A1" s="6" t="s">
        <v>0</v>
      </c>
      <c r="B1" s="7">
        <v>1000</v>
      </c>
      <c r="C1" s="6"/>
      <c r="D1" s="6"/>
      <c r="E1" s="6"/>
    </row>
    <row r="2" spans="1:23" x14ac:dyDescent="0.25">
      <c r="A2" s="6" t="s">
        <v>1</v>
      </c>
      <c r="B2" s="6" t="str">
        <f ca="1">IF(RANDBETWEEN(1,2)=1,"f","i")</f>
        <v>i</v>
      </c>
      <c r="C2" s="6" t="str">
        <f t="shared" ref="C2:E2" ca="1" si="0">IF(RANDBETWEEN(1,2)=1,"f","i")</f>
        <v>f</v>
      </c>
      <c r="D2" s="6" t="str">
        <f t="shared" ca="1" si="0"/>
        <v>i</v>
      </c>
      <c r="E2" s="6" t="str">
        <f t="shared" ca="1" si="0"/>
        <v>f</v>
      </c>
    </row>
    <row r="4" spans="1:23" x14ac:dyDescent="0.25">
      <c r="A4" s="1" t="s">
        <v>2</v>
      </c>
      <c r="B4" s="3" t="s">
        <v>3</v>
      </c>
      <c r="C4" s="4"/>
      <c r="D4" s="4"/>
      <c r="E4" s="5"/>
      <c r="F4" s="8" t="s">
        <v>4</v>
      </c>
      <c r="G4" s="8" t="s">
        <v>5</v>
      </c>
      <c r="I4" s="8" t="s">
        <v>4</v>
      </c>
      <c r="J4" s="8" t="s">
        <v>6</v>
      </c>
      <c r="K4" s="8" t="s">
        <v>7</v>
      </c>
    </row>
    <row r="5" spans="1:23" x14ac:dyDescent="0.25">
      <c r="A5" s="1" t="s">
        <v>8</v>
      </c>
      <c r="B5" s="8" t="s">
        <v>9</v>
      </c>
      <c r="C5" s="8" t="s">
        <v>9</v>
      </c>
      <c r="D5" s="8" t="s">
        <v>10</v>
      </c>
      <c r="E5" s="8" t="s">
        <v>10</v>
      </c>
      <c r="F5" s="8">
        <f ca="1">SUM(B20:E20)</f>
        <v>2</v>
      </c>
      <c r="G5" s="2">
        <f ca="1">$B$1*F5</f>
        <v>2000</v>
      </c>
      <c r="I5" s="8">
        <v>0</v>
      </c>
      <c r="J5" s="8">
        <f>$B$1*I5</f>
        <v>0</v>
      </c>
      <c r="K5" s="2">
        <f ca="1">_xlfn.IFS(W5=0," ",1=1,J5*W5)</f>
        <v>0</v>
      </c>
      <c r="W5">
        <f ca="1">COUNTIF($G$5:$G$17,J5)</f>
        <v>2</v>
      </c>
    </row>
    <row r="6" spans="1:23" x14ac:dyDescent="0.25">
      <c r="A6" s="1" t="s">
        <v>11</v>
      </c>
      <c r="B6" s="8" t="s">
        <v>10</v>
      </c>
      <c r="C6" s="8" t="s">
        <v>10</v>
      </c>
      <c r="D6" s="8" t="s">
        <v>9</v>
      </c>
      <c r="E6" s="8" t="s">
        <v>9</v>
      </c>
      <c r="F6" s="8">
        <f t="shared" ref="F6:F17" ca="1" si="1">SUM(B21:E21)</f>
        <v>2</v>
      </c>
      <c r="G6" s="2">
        <f t="shared" ref="G6:G17" ca="1" si="2">$B$1*F6</f>
        <v>2000</v>
      </c>
      <c r="I6" s="8">
        <v>1</v>
      </c>
      <c r="J6" s="8">
        <f t="shared" ref="J6:J9" si="3">$B$1*I6</f>
        <v>1000</v>
      </c>
      <c r="K6" s="2">
        <f t="shared" ref="K6:K9" ca="1" si="4">_xlfn.IFS(W6=0," ",1=1,J6*W6)</f>
        <v>1000</v>
      </c>
      <c r="W6">
        <f ca="1">COUNTIF($G$5:$G$17,J6)</f>
        <v>1</v>
      </c>
    </row>
    <row r="7" spans="1:23" x14ac:dyDescent="0.25">
      <c r="A7" s="1" t="s">
        <v>12</v>
      </c>
      <c r="B7" s="8" t="s">
        <v>9</v>
      </c>
      <c r="C7" s="8" t="s">
        <v>10</v>
      </c>
      <c r="D7" s="8" t="s">
        <v>9</v>
      </c>
      <c r="E7" s="8" t="s">
        <v>10</v>
      </c>
      <c r="F7" s="8">
        <f t="shared" ca="1" si="1"/>
        <v>4</v>
      </c>
      <c r="G7" s="2">
        <f t="shared" ca="1" si="2"/>
        <v>4000</v>
      </c>
      <c r="I7" s="8">
        <v>2</v>
      </c>
      <c r="J7" s="8">
        <f t="shared" si="3"/>
        <v>2000</v>
      </c>
      <c r="K7" s="2">
        <f t="shared" ca="1" si="4"/>
        <v>14000</v>
      </c>
      <c r="W7">
        <f ca="1">COUNTIF($G$5:$G$17,J7)</f>
        <v>7</v>
      </c>
    </row>
    <row r="8" spans="1:23" x14ac:dyDescent="0.25">
      <c r="A8" s="1" t="s">
        <v>13</v>
      </c>
      <c r="B8" s="8" t="s">
        <v>9</v>
      </c>
      <c r="C8" s="8" t="s">
        <v>10</v>
      </c>
      <c r="D8" s="8" t="s">
        <v>10</v>
      </c>
      <c r="E8" s="8" t="s">
        <v>9</v>
      </c>
      <c r="F8" s="8">
        <f t="shared" ca="1" si="1"/>
        <v>2</v>
      </c>
      <c r="G8" s="2">
        <f t="shared" ca="1" si="2"/>
        <v>2000</v>
      </c>
      <c r="I8" s="8">
        <v>3</v>
      </c>
      <c r="J8" s="8">
        <f t="shared" si="3"/>
        <v>3000</v>
      </c>
      <c r="K8" s="2">
        <f t="shared" ca="1" si="4"/>
        <v>6000</v>
      </c>
      <c r="W8">
        <f ca="1">COUNTIF($G$5:$G$17,J8)</f>
        <v>2</v>
      </c>
    </row>
    <row r="9" spans="1:23" x14ac:dyDescent="0.25">
      <c r="A9" s="1" t="s">
        <v>14</v>
      </c>
      <c r="B9" s="8" t="s">
        <v>10</v>
      </c>
      <c r="C9" s="8" t="s">
        <v>9</v>
      </c>
      <c r="D9" s="8" t="s">
        <v>10</v>
      </c>
      <c r="E9" s="8" t="s">
        <v>9</v>
      </c>
      <c r="F9" s="8">
        <f t="shared" ca="1" si="1"/>
        <v>0</v>
      </c>
      <c r="G9" s="2">
        <f t="shared" ca="1" si="2"/>
        <v>0</v>
      </c>
      <c r="I9" s="8">
        <v>4</v>
      </c>
      <c r="J9" s="8">
        <f t="shared" si="3"/>
        <v>4000</v>
      </c>
      <c r="K9" s="2" t="str">
        <f t="shared" si="4"/>
        <v xml:space="preserve"> </v>
      </c>
    </row>
    <row r="10" spans="1:23" x14ac:dyDescent="0.25">
      <c r="A10" s="1" t="s">
        <v>15</v>
      </c>
      <c r="B10" s="8" t="s">
        <v>9</v>
      </c>
      <c r="C10" s="8" t="s">
        <v>10</v>
      </c>
      <c r="D10" s="8" t="s">
        <v>9</v>
      </c>
      <c r="E10" s="8" t="s">
        <v>9</v>
      </c>
      <c r="F10" s="8">
        <f t="shared" ca="1" si="1"/>
        <v>3</v>
      </c>
      <c r="G10" s="2">
        <f t="shared" ca="1" si="2"/>
        <v>3000</v>
      </c>
    </row>
    <row r="11" spans="1:23" x14ac:dyDescent="0.25">
      <c r="A11" s="1" t="s">
        <v>16</v>
      </c>
      <c r="B11" s="8" t="s">
        <v>10</v>
      </c>
      <c r="C11" s="8" t="s">
        <v>9</v>
      </c>
      <c r="D11" s="8" t="s">
        <v>9</v>
      </c>
      <c r="E11" s="8" t="s">
        <v>9</v>
      </c>
      <c r="F11" s="8">
        <f t="shared" ca="1" si="1"/>
        <v>1</v>
      </c>
      <c r="G11" s="2">
        <f t="shared" ca="1" si="2"/>
        <v>1000</v>
      </c>
    </row>
    <row r="12" spans="1:23" x14ac:dyDescent="0.25">
      <c r="A12" s="1" t="s">
        <v>17</v>
      </c>
      <c r="B12" s="8" t="s">
        <v>9</v>
      </c>
      <c r="C12" s="8" t="s">
        <v>9</v>
      </c>
      <c r="D12" s="8" t="s">
        <v>9</v>
      </c>
      <c r="E12" s="8" t="s">
        <v>9</v>
      </c>
      <c r="F12" s="8">
        <f t="shared" ca="1" si="1"/>
        <v>2</v>
      </c>
      <c r="G12" s="2">
        <f t="shared" ca="1" si="2"/>
        <v>2000</v>
      </c>
    </row>
    <row r="13" spans="1:23" x14ac:dyDescent="0.25">
      <c r="A13" s="1" t="s">
        <v>18</v>
      </c>
      <c r="B13" s="8" t="s">
        <v>10</v>
      </c>
      <c r="C13" s="8" t="s">
        <v>10</v>
      </c>
      <c r="D13" s="8" t="s">
        <v>9</v>
      </c>
      <c r="E13" s="8" t="s">
        <v>9</v>
      </c>
      <c r="F13" s="8">
        <f t="shared" ca="1" si="1"/>
        <v>2</v>
      </c>
      <c r="G13" s="2">
        <f t="shared" ca="1" si="2"/>
        <v>2000</v>
      </c>
    </row>
    <row r="14" spans="1:23" x14ac:dyDescent="0.25">
      <c r="A14" s="1" t="s">
        <v>19</v>
      </c>
      <c r="B14" s="8" t="s">
        <v>10</v>
      </c>
      <c r="C14" s="8" t="s">
        <v>9</v>
      </c>
      <c r="D14" s="8" t="s">
        <v>10</v>
      </c>
      <c r="E14" s="8" t="s">
        <v>9</v>
      </c>
      <c r="F14" s="8">
        <f t="shared" ca="1" si="1"/>
        <v>0</v>
      </c>
      <c r="G14" s="2">
        <f t="shared" ca="1" si="2"/>
        <v>0</v>
      </c>
    </row>
    <row r="15" spans="1:23" x14ac:dyDescent="0.25">
      <c r="A15" s="1" t="s">
        <v>20</v>
      </c>
      <c r="B15" s="8" t="s">
        <v>10</v>
      </c>
      <c r="C15" s="8" t="s">
        <v>10</v>
      </c>
      <c r="D15" s="8" t="s">
        <v>9</v>
      </c>
      <c r="E15" s="8" t="s">
        <v>9</v>
      </c>
      <c r="F15" s="8">
        <f t="shared" ca="1" si="1"/>
        <v>2</v>
      </c>
      <c r="G15" s="2">
        <f t="shared" ca="1" si="2"/>
        <v>2000</v>
      </c>
    </row>
    <row r="16" spans="1:23" x14ac:dyDescent="0.25">
      <c r="A16" s="1" t="s">
        <v>21</v>
      </c>
      <c r="B16" s="8" t="s">
        <v>9</v>
      </c>
      <c r="C16" s="8" t="s">
        <v>10</v>
      </c>
      <c r="D16" s="8" t="s">
        <v>9</v>
      </c>
      <c r="E16" s="8" t="s">
        <v>9</v>
      </c>
      <c r="F16" s="8">
        <f t="shared" ca="1" si="1"/>
        <v>3</v>
      </c>
      <c r="G16" s="2">
        <f t="shared" ca="1" si="2"/>
        <v>3000</v>
      </c>
    </row>
    <row r="17" spans="1:23" x14ac:dyDescent="0.25">
      <c r="A17" s="1" t="s">
        <v>22</v>
      </c>
      <c r="B17" s="8" t="s">
        <v>10</v>
      </c>
      <c r="C17" s="8" t="s">
        <v>10</v>
      </c>
      <c r="D17" s="8" t="s">
        <v>10</v>
      </c>
      <c r="E17" s="8" t="s">
        <v>10</v>
      </c>
      <c r="F17" s="8">
        <f t="shared" ca="1" si="1"/>
        <v>2</v>
      </c>
      <c r="G17" s="2">
        <f t="shared" ca="1" si="2"/>
        <v>2000</v>
      </c>
    </row>
    <row r="20" spans="1:23" hidden="1" x14ac:dyDescent="0.25">
      <c r="A20" t="s">
        <v>8</v>
      </c>
      <c r="B20">
        <f ca="1">IF(B5=B$2,1,0)</f>
        <v>1</v>
      </c>
      <c r="C20">
        <f t="shared" ref="C20:E20" ca="1" si="5">IF(C5=C$2,1,0)</f>
        <v>0</v>
      </c>
      <c r="D20">
        <f t="shared" ca="1" si="5"/>
        <v>0</v>
      </c>
      <c r="E20">
        <f t="shared" ca="1" si="5"/>
        <v>1</v>
      </c>
      <c r="W20">
        <f ca="1">SUM(B20:E20)</f>
        <v>2</v>
      </c>
    </row>
    <row r="21" spans="1:23" hidden="1" x14ac:dyDescent="0.25">
      <c r="A21" t="s">
        <v>11</v>
      </c>
      <c r="B21">
        <f t="shared" ref="B21:E21" ca="1" si="6">IF(B6=B$2,1,0)</f>
        <v>0</v>
      </c>
      <c r="C21">
        <f t="shared" ca="1" si="6"/>
        <v>1</v>
      </c>
      <c r="D21">
        <f t="shared" ca="1" si="6"/>
        <v>1</v>
      </c>
      <c r="E21">
        <f t="shared" ca="1" si="6"/>
        <v>0</v>
      </c>
      <c r="W21">
        <f t="shared" ref="W21:W32" ca="1" si="7">SUM(B21:E21)</f>
        <v>2</v>
      </c>
    </row>
    <row r="22" spans="1:23" hidden="1" x14ac:dyDescent="0.25">
      <c r="A22" t="s">
        <v>12</v>
      </c>
      <c r="B22">
        <f t="shared" ref="B22:E22" ca="1" si="8">IF(B7=B$2,1,0)</f>
        <v>1</v>
      </c>
      <c r="C22">
        <f t="shared" ca="1" si="8"/>
        <v>1</v>
      </c>
      <c r="D22">
        <f t="shared" ca="1" si="8"/>
        <v>1</v>
      </c>
      <c r="E22">
        <f t="shared" ca="1" si="8"/>
        <v>1</v>
      </c>
      <c r="W22">
        <f t="shared" ca="1" si="7"/>
        <v>4</v>
      </c>
    </row>
    <row r="23" spans="1:23" hidden="1" x14ac:dyDescent="0.25">
      <c r="A23" t="s">
        <v>13</v>
      </c>
      <c r="B23">
        <f t="shared" ref="B23:E23" ca="1" si="9">IF(B8=B$2,1,0)</f>
        <v>1</v>
      </c>
      <c r="C23">
        <f t="shared" ca="1" si="9"/>
        <v>1</v>
      </c>
      <c r="D23">
        <f t="shared" ca="1" si="9"/>
        <v>0</v>
      </c>
      <c r="E23">
        <f t="shared" ca="1" si="9"/>
        <v>0</v>
      </c>
      <c r="W23">
        <f t="shared" ca="1" si="7"/>
        <v>2</v>
      </c>
    </row>
    <row r="24" spans="1:23" hidden="1" x14ac:dyDescent="0.25">
      <c r="A24" t="s">
        <v>14</v>
      </c>
      <c r="B24">
        <f t="shared" ref="B24:E24" ca="1" si="10">IF(B9=B$2,1,0)</f>
        <v>0</v>
      </c>
      <c r="C24">
        <f t="shared" ca="1" si="10"/>
        <v>0</v>
      </c>
      <c r="D24">
        <f t="shared" ca="1" si="10"/>
        <v>0</v>
      </c>
      <c r="E24">
        <f t="shared" ca="1" si="10"/>
        <v>0</v>
      </c>
      <c r="W24">
        <f t="shared" ca="1" si="7"/>
        <v>0</v>
      </c>
    </row>
    <row r="25" spans="1:23" hidden="1" x14ac:dyDescent="0.25">
      <c r="A25" t="s">
        <v>15</v>
      </c>
      <c r="B25">
        <f t="shared" ref="B25:E25" ca="1" si="11">IF(B10=B$2,1,0)</f>
        <v>1</v>
      </c>
      <c r="C25">
        <f t="shared" ca="1" si="11"/>
        <v>1</v>
      </c>
      <c r="D25">
        <f t="shared" ca="1" si="11"/>
        <v>1</v>
      </c>
      <c r="E25">
        <f t="shared" ca="1" si="11"/>
        <v>0</v>
      </c>
      <c r="W25">
        <f t="shared" ca="1" si="7"/>
        <v>3</v>
      </c>
    </row>
    <row r="26" spans="1:23" hidden="1" x14ac:dyDescent="0.25">
      <c r="A26" t="s">
        <v>16</v>
      </c>
      <c r="B26">
        <f t="shared" ref="B26:E26" ca="1" si="12">IF(B11=B$2,1,0)</f>
        <v>0</v>
      </c>
      <c r="C26">
        <f t="shared" ca="1" si="12"/>
        <v>0</v>
      </c>
      <c r="D26">
        <f t="shared" ca="1" si="12"/>
        <v>1</v>
      </c>
      <c r="E26">
        <f t="shared" ca="1" si="12"/>
        <v>0</v>
      </c>
      <c r="W26">
        <f t="shared" ca="1" si="7"/>
        <v>1</v>
      </c>
    </row>
    <row r="27" spans="1:23" hidden="1" x14ac:dyDescent="0.25">
      <c r="A27" t="s">
        <v>17</v>
      </c>
      <c r="B27">
        <f t="shared" ref="B27:E27" ca="1" si="13">IF(B12=B$2,1,0)</f>
        <v>1</v>
      </c>
      <c r="C27">
        <f t="shared" ca="1" si="13"/>
        <v>0</v>
      </c>
      <c r="D27">
        <f t="shared" ca="1" si="13"/>
        <v>1</v>
      </c>
      <c r="E27">
        <f t="shared" ca="1" si="13"/>
        <v>0</v>
      </c>
      <c r="W27">
        <f t="shared" ca="1" si="7"/>
        <v>2</v>
      </c>
    </row>
    <row r="28" spans="1:23" hidden="1" x14ac:dyDescent="0.25">
      <c r="A28" t="s">
        <v>18</v>
      </c>
      <c r="B28">
        <f t="shared" ref="B28:E28" ca="1" si="14">IF(B13=B$2,1,0)</f>
        <v>0</v>
      </c>
      <c r="C28">
        <f t="shared" ca="1" si="14"/>
        <v>1</v>
      </c>
      <c r="D28">
        <f t="shared" ca="1" si="14"/>
        <v>1</v>
      </c>
      <c r="E28">
        <f t="shared" ca="1" si="14"/>
        <v>0</v>
      </c>
      <c r="W28">
        <f t="shared" ca="1" si="7"/>
        <v>2</v>
      </c>
    </row>
    <row r="29" spans="1:23" hidden="1" x14ac:dyDescent="0.25">
      <c r="A29" t="s">
        <v>19</v>
      </c>
      <c r="B29">
        <f t="shared" ref="B29:E29" ca="1" si="15">IF(B14=B$2,1,0)</f>
        <v>0</v>
      </c>
      <c r="C29">
        <f t="shared" ca="1" si="15"/>
        <v>0</v>
      </c>
      <c r="D29">
        <f t="shared" ca="1" si="15"/>
        <v>0</v>
      </c>
      <c r="E29">
        <f t="shared" ca="1" si="15"/>
        <v>0</v>
      </c>
      <c r="W29">
        <f t="shared" ca="1" si="7"/>
        <v>0</v>
      </c>
    </row>
    <row r="30" spans="1:23" hidden="1" x14ac:dyDescent="0.25">
      <c r="A30" t="s">
        <v>20</v>
      </c>
      <c r="B30">
        <f t="shared" ref="B30:E30" ca="1" si="16">IF(B15=B$2,1,0)</f>
        <v>0</v>
      </c>
      <c r="C30">
        <f t="shared" ca="1" si="16"/>
        <v>1</v>
      </c>
      <c r="D30">
        <f t="shared" ca="1" si="16"/>
        <v>1</v>
      </c>
      <c r="E30">
        <f t="shared" ca="1" si="16"/>
        <v>0</v>
      </c>
      <c r="W30">
        <f t="shared" ca="1" si="7"/>
        <v>2</v>
      </c>
    </row>
    <row r="31" spans="1:23" hidden="1" x14ac:dyDescent="0.25">
      <c r="A31" t="s">
        <v>21</v>
      </c>
      <c r="B31">
        <f t="shared" ref="B31:E31" ca="1" si="17">IF(B16=B$2,1,0)</f>
        <v>1</v>
      </c>
      <c r="C31">
        <f t="shared" ca="1" si="17"/>
        <v>1</v>
      </c>
      <c r="D31">
        <f t="shared" ca="1" si="17"/>
        <v>1</v>
      </c>
      <c r="E31">
        <f t="shared" ca="1" si="17"/>
        <v>0</v>
      </c>
      <c r="W31">
        <f t="shared" ca="1" si="7"/>
        <v>3</v>
      </c>
    </row>
    <row r="32" spans="1:23" hidden="1" x14ac:dyDescent="0.25">
      <c r="A32" t="s">
        <v>22</v>
      </c>
      <c r="B32">
        <f t="shared" ref="B32:E32" ca="1" si="18">IF(B17=B$2,1,0)</f>
        <v>0</v>
      </c>
      <c r="C32">
        <f t="shared" ca="1" si="18"/>
        <v>1</v>
      </c>
      <c r="D32">
        <f t="shared" ca="1" si="18"/>
        <v>0</v>
      </c>
      <c r="E32">
        <f ca="1">IF(E17=E$2,1,0)</f>
        <v>1</v>
      </c>
      <c r="W32">
        <f t="shared" ca="1" si="7"/>
        <v>2</v>
      </c>
    </row>
  </sheetData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42C8-260D-4F63-A74D-DA7CF456D6FB}">
  <dimension ref="A1"/>
  <sheetViews>
    <sheetView workbookViewId="0">
      <selection activeCell="N16" sqref="N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Szmodis István </cp:lastModifiedBy>
  <dcterms:created xsi:type="dcterms:W3CDTF">2015-06-05T18:19:34Z</dcterms:created>
  <dcterms:modified xsi:type="dcterms:W3CDTF">2026-09-06T17:30:29Z</dcterms:modified>
</cp:coreProperties>
</file>