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05_Vince\Érettségi\Digitalis_kultura_forras_Kgy2411\"/>
    </mc:Choice>
  </mc:AlternateContent>
  <xr:revisionPtr revIDLastSave="0" documentId="13_ncr:1_{D83EE92A-B909-4027-892C-AA668814414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7" i="1" l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B27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Q2" i="1"/>
  <c r="AO2" i="1"/>
  <c r="AP2" i="1"/>
  <c r="AM2" i="1"/>
  <c r="AN2" i="1"/>
  <c r="AD2" i="1"/>
  <c r="AE2" i="1"/>
  <c r="AF2" i="1"/>
  <c r="AG2" i="1"/>
  <c r="AH2" i="1"/>
  <c r="AI2" i="1"/>
  <c r="AJ2" i="1"/>
  <c r="AK2" i="1"/>
  <c r="AL2" i="1"/>
  <c r="AC2" i="1"/>
  <c r="A15" i="1"/>
  <c r="A16" i="1"/>
  <c r="A17" i="1"/>
  <c r="A18" i="1"/>
  <c r="A19" i="1"/>
  <c r="A20" i="1"/>
  <c r="A21" i="1"/>
  <c r="A22" i="1"/>
  <c r="A23" i="1"/>
  <c r="A14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B28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B26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B25" i="1"/>
  <c r="S4" i="1"/>
  <c r="S5" i="1"/>
  <c r="R3" i="1"/>
  <c r="S3" i="1" s="1"/>
  <c r="R4" i="1"/>
  <c r="R5" i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2" i="1"/>
  <c r="S2" i="1" s="1"/>
  <c r="I15" i="1"/>
  <c r="I16" i="1" s="1"/>
  <c r="I17" i="1" s="1"/>
  <c r="I18" i="1" s="1"/>
  <c r="I19" i="1" s="1"/>
  <c r="I20" i="1" s="1"/>
  <c r="I21" i="1" s="1"/>
  <c r="I22" i="1" s="1"/>
  <c r="I23" i="1" s="1"/>
  <c r="J15" i="1"/>
  <c r="J16" i="1" s="1"/>
  <c r="J17" i="1" s="1"/>
  <c r="J18" i="1" s="1"/>
  <c r="J19" i="1" s="1"/>
  <c r="J20" i="1" s="1"/>
  <c r="J21" i="1" s="1"/>
  <c r="J22" i="1" s="1"/>
  <c r="J23" i="1" s="1"/>
  <c r="C14" i="1"/>
  <c r="C15" i="1" s="1"/>
  <c r="C16" i="1" s="1"/>
  <c r="C17" i="1" s="1"/>
  <c r="C18" i="1" s="1"/>
  <c r="C19" i="1" s="1"/>
  <c r="C20" i="1" s="1"/>
  <c r="C21" i="1" s="1"/>
  <c r="C22" i="1" s="1"/>
  <c r="C23" i="1" s="1"/>
  <c r="D14" i="1"/>
  <c r="D15" i="1" s="1"/>
  <c r="D16" i="1" s="1"/>
  <c r="D17" i="1" s="1"/>
  <c r="D18" i="1" s="1"/>
  <c r="D19" i="1" s="1"/>
  <c r="D20" i="1" s="1"/>
  <c r="D21" i="1" s="1"/>
  <c r="D22" i="1" s="1"/>
  <c r="D23" i="1" s="1"/>
  <c r="E14" i="1"/>
  <c r="E15" i="1" s="1"/>
  <c r="E16" i="1" s="1"/>
  <c r="E17" i="1" s="1"/>
  <c r="E18" i="1" s="1"/>
  <c r="E19" i="1" s="1"/>
  <c r="E20" i="1" s="1"/>
  <c r="E21" i="1" s="1"/>
  <c r="E22" i="1" s="1"/>
  <c r="E23" i="1" s="1"/>
  <c r="F14" i="1"/>
  <c r="F15" i="1" s="1"/>
  <c r="F16" i="1" s="1"/>
  <c r="F17" i="1" s="1"/>
  <c r="F18" i="1" s="1"/>
  <c r="F19" i="1" s="1"/>
  <c r="F20" i="1" s="1"/>
  <c r="F21" i="1" s="1"/>
  <c r="F22" i="1" s="1"/>
  <c r="F23" i="1" s="1"/>
  <c r="G14" i="1"/>
  <c r="G15" i="1" s="1"/>
  <c r="G16" i="1" s="1"/>
  <c r="G17" i="1" s="1"/>
  <c r="G18" i="1" s="1"/>
  <c r="G19" i="1" s="1"/>
  <c r="G20" i="1" s="1"/>
  <c r="G21" i="1" s="1"/>
  <c r="G22" i="1" s="1"/>
  <c r="G23" i="1" s="1"/>
  <c r="H14" i="1"/>
  <c r="H15" i="1" s="1"/>
  <c r="H16" i="1" s="1"/>
  <c r="H17" i="1" s="1"/>
  <c r="H18" i="1" s="1"/>
  <c r="H19" i="1" s="1"/>
  <c r="H20" i="1" s="1"/>
  <c r="H21" i="1" s="1"/>
  <c r="H22" i="1" s="1"/>
  <c r="H23" i="1" s="1"/>
  <c r="I14" i="1"/>
  <c r="J14" i="1"/>
  <c r="K14" i="1"/>
  <c r="K15" i="1" s="1"/>
  <c r="K16" i="1" s="1"/>
  <c r="K17" i="1" s="1"/>
  <c r="K18" i="1" s="1"/>
  <c r="K19" i="1" s="1"/>
  <c r="K20" i="1" s="1"/>
  <c r="K21" i="1" s="1"/>
  <c r="K22" i="1" s="1"/>
  <c r="K23" i="1" s="1"/>
  <c r="L14" i="1"/>
  <c r="L15" i="1" s="1"/>
  <c r="L16" i="1" s="1"/>
  <c r="L17" i="1" s="1"/>
  <c r="L18" i="1" s="1"/>
  <c r="L19" i="1" s="1"/>
  <c r="L20" i="1" s="1"/>
  <c r="L21" i="1" s="1"/>
  <c r="L22" i="1" s="1"/>
  <c r="L23" i="1" s="1"/>
  <c r="M14" i="1"/>
  <c r="M15" i="1" s="1"/>
  <c r="M16" i="1" s="1"/>
  <c r="M17" i="1" s="1"/>
  <c r="M18" i="1" s="1"/>
  <c r="M19" i="1" s="1"/>
  <c r="M20" i="1" s="1"/>
  <c r="M21" i="1" s="1"/>
  <c r="M22" i="1" s="1"/>
  <c r="M23" i="1" s="1"/>
  <c r="N14" i="1"/>
  <c r="N15" i="1" s="1"/>
  <c r="N16" i="1" s="1"/>
  <c r="N17" i="1" s="1"/>
  <c r="N18" i="1" s="1"/>
  <c r="N19" i="1" s="1"/>
  <c r="N20" i="1" s="1"/>
  <c r="N21" i="1" s="1"/>
  <c r="N22" i="1" s="1"/>
  <c r="N23" i="1" s="1"/>
  <c r="O14" i="1"/>
  <c r="O15" i="1" s="1"/>
  <c r="O16" i="1" s="1"/>
  <c r="O17" i="1" s="1"/>
  <c r="O18" i="1" s="1"/>
  <c r="O19" i="1" s="1"/>
  <c r="O20" i="1" s="1"/>
  <c r="O21" i="1" s="1"/>
  <c r="O22" i="1" s="1"/>
  <c r="O23" i="1" s="1"/>
  <c r="P14" i="1"/>
  <c r="P15" i="1" s="1"/>
  <c r="P16" i="1" s="1"/>
  <c r="P17" i="1" s="1"/>
  <c r="P18" i="1" s="1"/>
  <c r="P19" i="1" s="1"/>
  <c r="P20" i="1" s="1"/>
  <c r="P21" i="1" s="1"/>
  <c r="P22" i="1" s="1"/>
  <c r="P23" i="1" s="1"/>
  <c r="B14" i="1"/>
  <c r="B15" i="1" s="1"/>
  <c r="B16" i="1" s="1"/>
  <c r="B17" i="1" s="1"/>
  <c r="B18" i="1" s="1"/>
  <c r="B19" i="1" s="1"/>
  <c r="B20" i="1" s="1"/>
  <c r="B21" i="1" s="1"/>
  <c r="B22" i="1" s="1"/>
  <c r="B23" i="1" s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B13" i="1"/>
</calcChain>
</file>

<file path=xl/sharedStrings.xml><?xml version="1.0" encoding="utf-8"?>
<sst xmlns="http://schemas.openxmlformats.org/spreadsheetml/2006/main" count="30" uniqueCount="29">
  <si>
    <t>Anna</t>
  </si>
  <si>
    <t>Berci</t>
  </si>
  <si>
    <t>Cili</t>
  </si>
  <si>
    <t>Dalma</t>
  </si>
  <si>
    <t>Endre</t>
  </si>
  <si>
    <t>Ferenc</t>
  </si>
  <si>
    <t>Gábor</t>
  </si>
  <si>
    <t>Hanna</t>
  </si>
  <si>
    <t>Ilona</t>
  </si>
  <si>
    <t>Júlia</t>
  </si>
  <si>
    <t>Károly</t>
  </si>
  <si>
    <t>Levente</t>
  </si>
  <si>
    <t>Mihály</t>
  </si>
  <si>
    <t>Norbert</t>
  </si>
  <si>
    <t>Ottó</t>
  </si>
  <si>
    <t>Legnagyobb</t>
  </si>
  <si>
    <t>Nyertes</t>
  </si>
  <si>
    <t>1. kör</t>
  </si>
  <si>
    <t>2. kör</t>
  </si>
  <si>
    <t>3. kör</t>
  </si>
  <si>
    <t>4. kör</t>
  </si>
  <si>
    <t>5. kör</t>
  </si>
  <si>
    <t>6. kör</t>
  </si>
  <si>
    <t>7. kör</t>
  </si>
  <si>
    <t>8. kör</t>
  </si>
  <si>
    <t>9. kör</t>
  </si>
  <si>
    <t>10. kör</t>
  </si>
  <si>
    <t>Legkisebb</t>
  </si>
  <si>
    <t>Nem licitált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</si>
</sst>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Roboto mono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textRotation="90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textRotation="90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A játékosok statisztikai adatai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Munka1!$A$26</c:f>
              <c:strCache>
                <c:ptCount val="1"/>
                <c:pt idx="0">
                  <c:v>Legnagyobb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Munka1!$B$25:$P$25</c:f>
              <c:strCache>
                <c:ptCount val="15"/>
                <c:pt idx="0">
                  <c:v>Anna</c:v>
                </c:pt>
                <c:pt idx="1">
                  <c:v>Berci</c:v>
                </c:pt>
                <c:pt idx="2">
                  <c:v>Cili</c:v>
                </c:pt>
                <c:pt idx="3">
                  <c:v>Dalma</c:v>
                </c:pt>
                <c:pt idx="4">
                  <c:v>Endre</c:v>
                </c:pt>
                <c:pt idx="5">
                  <c:v>Ferenc</c:v>
                </c:pt>
                <c:pt idx="6">
                  <c:v>Gábor</c:v>
                </c:pt>
                <c:pt idx="7">
                  <c:v>Hanna</c:v>
                </c:pt>
                <c:pt idx="8">
                  <c:v>Ilona</c:v>
                </c:pt>
                <c:pt idx="9">
                  <c:v>Júlia</c:v>
                </c:pt>
                <c:pt idx="10">
                  <c:v>Károly</c:v>
                </c:pt>
                <c:pt idx="11">
                  <c:v>Levente</c:v>
                </c:pt>
                <c:pt idx="12">
                  <c:v>Mihály</c:v>
                </c:pt>
                <c:pt idx="13">
                  <c:v>Norbert</c:v>
                </c:pt>
                <c:pt idx="14">
                  <c:v>Ottó</c:v>
                </c:pt>
              </c:strCache>
            </c:strRef>
          </c:cat>
          <c:val>
            <c:numRef>
              <c:f>Munka1!$B$26:$P$26</c:f>
              <c:numCache>
                <c:formatCode>General</c:formatCode>
                <c:ptCount val="15"/>
                <c:pt idx="0">
                  <c:v>20</c:v>
                </c:pt>
                <c:pt idx="1">
                  <c:v>17</c:v>
                </c:pt>
                <c:pt idx="2">
                  <c:v>15</c:v>
                </c:pt>
                <c:pt idx="3">
                  <c:v>20</c:v>
                </c:pt>
                <c:pt idx="4">
                  <c:v>19</c:v>
                </c:pt>
                <c:pt idx="5">
                  <c:v>20</c:v>
                </c:pt>
                <c:pt idx="6">
                  <c:v>17</c:v>
                </c:pt>
                <c:pt idx="7">
                  <c:v>16</c:v>
                </c:pt>
                <c:pt idx="8">
                  <c:v>20</c:v>
                </c:pt>
                <c:pt idx="9">
                  <c:v>22</c:v>
                </c:pt>
                <c:pt idx="10">
                  <c:v>14</c:v>
                </c:pt>
                <c:pt idx="11">
                  <c:v>19</c:v>
                </c:pt>
                <c:pt idx="12">
                  <c:v>26</c:v>
                </c:pt>
                <c:pt idx="13">
                  <c:v>21</c:v>
                </c:pt>
                <c:pt idx="1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1F-46A1-A779-E4C1268C12B9}"/>
            </c:ext>
          </c:extLst>
        </c:ser>
        <c:ser>
          <c:idx val="1"/>
          <c:order val="1"/>
          <c:tx>
            <c:strRef>
              <c:f>Munka1!$A$27</c:f>
              <c:strCache>
                <c:ptCount val="1"/>
                <c:pt idx="0">
                  <c:v>Legkisebb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Munka1!$B$25:$P$25</c:f>
              <c:strCache>
                <c:ptCount val="15"/>
                <c:pt idx="0">
                  <c:v>Anna</c:v>
                </c:pt>
                <c:pt idx="1">
                  <c:v>Berci</c:v>
                </c:pt>
                <c:pt idx="2">
                  <c:v>Cili</c:v>
                </c:pt>
                <c:pt idx="3">
                  <c:v>Dalma</c:v>
                </c:pt>
                <c:pt idx="4">
                  <c:v>Endre</c:v>
                </c:pt>
                <c:pt idx="5">
                  <c:v>Ferenc</c:v>
                </c:pt>
                <c:pt idx="6">
                  <c:v>Gábor</c:v>
                </c:pt>
                <c:pt idx="7">
                  <c:v>Hanna</c:v>
                </c:pt>
                <c:pt idx="8">
                  <c:v>Ilona</c:v>
                </c:pt>
                <c:pt idx="9">
                  <c:v>Júlia</c:v>
                </c:pt>
                <c:pt idx="10">
                  <c:v>Károly</c:v>
                </c:pt>
                <c:pt idx="11">
                  <c:v>Levente</c:v>
                </c:pt>
                <c:pt idx="12">
                  <c:v>Mihály</c:v>
                </c:pt>
                <c:pt idx="13">
                  <c:v>Norbert</c:v>
                </c:pt>
                <c:pt idx="14">
                  <c:v>Ottó</c:v>
                </c:pt>
              </c:strCache>
            </c:strRef>
          </c:cat>
          <c:val>
            <c:numRef>
              <c:f>Munka1!$B$27:$P$27</c:f>
              <c:numCache>
                <c:formatCode>General</c:formatCode>
                <c:ptCount val="15"/>
                <c:pt idx="0">
                  <c:v>8</c:v>
                </c:pt>
                <c:pt idx="1">
                  <c:v>10</c:v>
                </c:pt>
                <c:pt idx="2">
                  <c:v>10</c:v>
                </c:pt>
                <c:pt idx="3">
                  <c:v>8</c:v>
                </c:pt>
                <c:pt idx="4">
                  <c:v>10</c:v>
                </c:pt>
                <c:pt idx="5">
                  <c:v>10</c:v>
                </c:pt>
                <c:pt idx="6">
                  <c:v>12</c:v>
                </c:pt>
                <c:pt idx="7">
                  <c:v>10</c:v>
                </c:pt>
                <c:pt idx="8">
                  <c:v>10</c:v>
                </c:pt>
                <c:pt idx="9">
                  <c:v>2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1F-46A1-A779-E4C1268C12B9}"/>
            </c:ext>
          </c:extLst>
        </c:ser>
        <c:ser>
          <c:idx val="2"/>
          <c:order val="2"/>
          <c:tx>
            <c:strRef>
              <c:f>Munka1!$A$28</c:f>
              <c:strCache>
                <c:ptCount val="1"/>
                <c:pt idx="0">
                  <c:v>Nem licitált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Munka1!$B$25:$P$25</c:f>
              <c:strCache>
                <c:ptCount val="15"/>
                <c:pt idx="0">
                  <c:v>Anna</c:v>
                </c:pt>
                <c:pt idx="1">
                  <c:v>Berci</c:v>
                </c:pt>
                <c:pt idx="2">
                  <c:v>Cili</c:v>
                </c:pt>
                <c:pt idx="3">
                  <c:v>Dalma</c:v>
                </c:pt>
                <c:pt idx="4">
                  <c:v>Endre</c:v>
                </c:pt>
                <c:pt idx="5">
                  <c:v>Ferenc</c:v>
                </c:pt>
                <c:pt idx="6">
                  <c:v>Gábor</c:v>
                </c:pt>
                <c:pt idx="7">
                  <c:v>Hanna</c:v>
                </c:pt>
                <c:pt idx="8">
                  <c:v>Ilona</c:v>
                </c:pt>
                <c:pt idx="9">
                  <c:v>Júlia</c:v>
                </c:pt>
                <c:pt idx="10">
                  <c:v>Károly</c:v>
                </c:pt>
                <c:pt idx="11">
                  <c:v>Levente</c:v>
                </c:pt>
                <c:pt idx="12">
                  <c:v>Mihály</c:v>
                </c:pt>
                <c:pt idx="13">
                  <c:v>Norbert</c:v>
                </c:pt>
                <c:pt idx="14">
                  <c:v>Ottó</c:v>
                </c:pt>
              </c:strCache>
            </c:strRef>
          </c:cat>
          <c:val>
            <c:numRef>
              <c:f>Munka1!$B$28:$P$28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1F-46A1-A779-E4C1268C1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3471680"/>
        <c:axId val="1453550320"/>
      </c:barChart>
      <c:catAx>
        <c:axId val="145347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453550320"/>
        <c:crosses val="autoZero"/>
        <c:auto val="1"/>
        <c:lblAlgn val="ctr"/>
        <c:lblOffset val="100"/>
        <c:noMultiLvlLbl val="0"/>
      </c:catAx>
      <c:valAx>
        <c:axId val="145355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453471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29</xdr:row>
      <xdr:rowOff>23810</xdr:rowOff>
    </xdr:from>
    <xdr:to>
      <xdr:col>18</xdr:col>
      <xdr:colOff>623729</xdr:colOff>
      <xdr:row>44</xdr:row>
      <xdr:rowOff>142875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28473BDA-63E1-4170-948D-6FFBC1BB7E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0"/>
  <sheetViews>
    <sheetView tabSelected="1" zoomScaleNormal="100" workbookViewId="0">
      <selection activeCell="X19" sqref="X19"/>
    </sheetView>
  </sheetViews>
  <sheetFormatPr defaultRowHeight="15"/>
  <cols>
    <col min="1" max="1" width="11.5703125" bestFit="1" customWidth="1"/>
    <col min="2" max="16" width="4.85546875" customWidth="1"/>
    <col min="18" max="18" width="11" bestFit="1" customWidth="1"/>
    <col min="19" max="19" width="10.28515625" bestFit="1" customWidth="1"/>
  </cols>
  <sheetData>
    <row r="1" spans="1:43" ht="57.75">
      <c r="A1" s="4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2"/>
      <c r="R1" s="7" t="s">
        <v>15</v>
      </c>
      <c r="S1" s="7" t="s">
        <v>16</v>
      </c>
    </row>
    <row r="2" spans="1:43">
      <c r="A2" s="4" t="s">
        <v>17</v>
      </c>
      <c r="B2" s="6">
        <v>8</v>
      </c>
      <c r="C2" s="6">
        <v>17</v>
      </c>
      <c r="D2" s="6">
        <v>13</v>
      </c>
      <c r="E2" s="6">
        <v>8</v>
      </c>
      <c r="F2" s="6">
        <v>0</v>
      </c>
      <c r="G2" s="6">
        <v>10</v>
      </c>
      <c r="H2" s="6">
        <v>15</v>
      </c>
      <c r="I2" s="6">
        <v>10</v>
      </c>
      <c r="J2" s="6">
        <v>10</v>
      </c>
      <c r="K2" s="6">
        <v>2</v>
      </c>
      <c r="L2" s="6">
        <v>14</v>
      </c>
      <c r="M2" s="6">
        <v>19</v>
      </c>
      <c r="N2" s="6">
        <v>10</v>
      </c>
      <c r="O2" s="6">
        <v>11</v>
      </c>
      <c r="P2" s="6">
        <v>13</v>
      </c>
      <c r="Q2" s="2"/>
      <c r="R2" s="6">
        <f>MAX(B2:P2)</f>
        <v>19</v>
      </c>
      <c r="S2" s="2" t="str">
        <f>_xlfn.IFS(R2=B2,$B$1,R2=C2,$C$1,R2=D2,$D$1,R2=E2,$E$1,R2=F2,$F$1,R2=G2,$G$1,H2=R2,$H$1,I2=R2,$I$1,R2=K2,$K$1,R2=L2,$L$1,R2=M2,$M$1,N2=R2,$N$1,O2=R2,$O$1,P2=R2,$P$1,J2=R2,$J$1)</f>
        <v>Levente</v>
      </c>
      <c r="AC2">
        <f>IF(B2&gt;0,B2,MAX(B$2:B$11))</f>
        <v>8</v>
      </c>
      <c r="AD2">
        <f t="shared" ref="AD2:AL2" si="0">IF(C2&gt;0,C2,MAX(C$2:C$11))</f>
        <v>17</v>
      </c>
      <c r="AE2">
        <f t="shared" si="0"/>
        <v>13</v>
      </c>
      <c r="AF2">
        <f t="shared" si="0"/>
        <v>8</v>
      </c>
      <c r="AG2">
        <f t="shared" si="0"/>
        <v>19</v>
      </c>
      <c r="AH2">
        <f t="shared" si="0"/>
        <v>10</v>
      </c>
      <c r="AI2">
        <f t="shared" si="0"/>
        <v>15</v>
      </c>
      <c r="AJ2">
        <f t="shared" si="0"/>
        <v>10</v>
      </c>
      <c r="AK2">
        <f t="shared" si="0"/>
        <v>10</v>
      </c>
      <c r="AL2">
        <f t="shared" si="0"/>
        <v>2</v>
      </c>
      <c r="AM2">
        <f>IF(L2&gt;0,L2,MAX(L$2:L$11))</f>
        <v>14</v>
      </c>
      <c r="AN2">
        <f t="shared" ref="AN2" si="1">IF(M2&gt;0,M2,MAX(M$2:M$11))</f>
        <v>19</v>
      </c>
      <c r="AO2">
        <f>IF(N2&gt;0,N2,MAX(N$2:N$11))</f>
        <v>10</v>
      </c>
      <c r="AP2">
        <f t="shared" ref="AP2" si="2">IF(O2&gt;0,O2,MAX(O$2:O$11))</f>
        <v>11</v>
      </c>
      <c r="AQ2">
        <f>IF(P2&gt;0,P2,MAX(P$2:P$11))</f>
        <v>13</v>
      </c>
    </row>
    <row r="3" spans="1:43">
      <c r="A3" s="4" t="s">
        <v>18</v>
      </c>
      <c r="B3" s="6">
        <v>10</v>
      </c>
      <c r="C3" s="6">
        <v>11</v>
      </c>
      <c r="D3" s="6">
        <v>11</v>
      </c>
      <c r="E3" s="6">
        <v>10</v>
      </c>
      <c r="F3" s="6">
        <v>0</v>
      </c>
      <c r="G3" s="6">
        <v>10</v>
      </c>
      <c r="H3" s="6">
        <v>15</v>
      </c>
      <c r="I3" s="6">
        <v>14</v>
      </c>
      <c r="J3" s="6">
        <v>11</v>
      </c>
      <c r="K3" s="6">
        <v>14</v>
      </c>
      <c r="L3" s="6">
        <v>0</v>
      </c>
      <c r="M3" s="6">
        <v>10</v>
      </c>
      <c r="N3" s="6">
        <v>18</v>
      </c>
      <c r="O3" s="6">
        <v>10</v>
      </c>
      <c r="P3" s="6">
        <v>12</v>
      </c>
      <c r="Q3" s="2"/>
      <c r="R3" s="6">
        <f t="shared" ref="R3:R11" si="3">MAX(B3:P3)</f>
        <v>18</v>
      </c>
      <c r="S3" s="2" t="str">
        <f t="shared" ref="S3:S11" si="4">_xlfn.IFS(R3=B3,$B$1,R3=C3,$C$1,R3=D3,$D$1,R3=E3,$E$1,R3=F3,$F$1,R3=G3,$G$1,H3=R3,$H$1,I3=R3,$I$1,R3=K3,$K$1,R3=L3,$L$1,R3=M3,$M$1,N3=R3,$N$1,O3=R3,$O$1,P3=R3,$P$1,J3=R3,$J$1)</f>
        <v>Mihály</v>
      </c>
      <c r="AC3">
        <f t="shared" ref="AC3:AC11" si="5">IF(B3&gt;0,B3,MAX(B$2:B$11))</f>
        <v>10</v>
      </c>
      <c r="AD3">
        <f t="shared" ref="AD3:AD11" si="6">IF(C3&gt;0,C3,MAX(C$2:C$11))</f>
        <v>11</v>
      </c>
      <c r="AE3">
        <f t="shared" ref="AE3:AE11" si="7">IF(D3&gt;0,D3,MAX(D$2:D$11))</f>
        <v>11</v>
      </c>
      <c r="AF3">
        <f t="shared" ref="AF3:AF11" si="8">IF(E3&gt;0,E3,MAX(E$2:E$11))</f>
        <v>10</v>
      </c>
      <c r="AG3">
        <f t="shared" ref="AG3:AG11" si="9">IF(F3&gt;0,F3,MAX(F$2:F$11))</f>
        <v>19</v>
      </c>
      <c r="AH3">
        <f t="shared" ref="AH3:AH11" si="10">IF(G3&gt;0,G3,MAX(G$2:G$11))</f>
        <v>10</v>
      </c>
      <c r="AI3">
        <f t="shared" ref="AI3:AI11" si="11">IF(H3&gt;0,H3,MAX(H$2:H$11))</f>
        <v>15</v>
      </c>
      <c r="AJ3">
        <f t="shared" ref="AJ3:AJ11" si="12">IF(I3&gt;0,I3,MAX(I$2:I$11))</f>
        <v>14</v>
      </c>
      <c r="AK3">
        <f t="shared" ref="AK3:AK11" si="13">IF(J3&gt;0,J3,MAX(J$2:J$11))</f>
        <v>11</v>
      </c>
      <c r="AL3">
        <f t="shared" ref="AL3:AL11" si="14">IF(K3&gt;0,K3,MAX(K$2:K$11))</f>
        <v>14</v>
      </c>
      <c r="AM3">
        <f t="shared" ref="AM3:AM11" si="15">IF(L3&gt;0,L3,MAX(L$2:L$11))</f>
        <v>14</v>
      </c>
      <c r="AN3">
        <f t="shared" ref="AN3:AN11" si="16">IF(M3&gt;0,M3,MAX(M$2:M$11))</f>
        <v>10</v>
      </c>
      <c r="AO3">
        <f t="shared" ref="AO3:AO11" si="17">IF(N3&gt;0,N3,MAX(N$2:N$11))</f>
        <v>18</v>
      </c>
      <c r="AP3">
        <f t="shared" ref="AP3:AP11" si="18">IF(O3&gt;0,O3,MAX(O$2:O$11))</f>
        <v>10</v>
      </c>
      <c r="AQ3">
        <f t="shared" ref="AQ3:AQ11" si="19">IF(P3&gt;0,P3,MAX(P$2:P$11))</f>
        <v>12</v>
      </c>
    </row>
    <row r="4" spans="1:43">
      <c r="A4" s="4" t="s">
        <v>19</v>
      </c>
      <c r="B4" s="6">
        <v>13</v>
      </c>
      <c r="C4" s="6">
        <v>11</v>
      </c>
      <c r="D4" s="6">
        <v>10</v>
      </c>
      <c r="E4" s="6">
        <v>15</v>
      </c>
      <c r="F4" s="6">
        <v>13</v>
      </c>
      <c r="G4" s="6">
        <v>10</v>
      </c>
      <c r="H4" s="6">
        <v>13</v>
      </c>
      <c r="I4" s="6">
        <v>12</v>
      </c>
      <c r="J4" s="6">
        <v>20</v>
      </c>
      <c r="K4" s="6">
        <v>0</v>
      </c>
      <c r="L4" s="6">
        <v>0</v>
      </c>
      <c r="M4" s="6">
        <v>0</v>
      </c>
      <c r="N4" s="6">
        <v>13</v>
      </c>
      <c r="O4" s="6">
        <v>14</v>
      </c>
      <c r="P4" s="6">
        <v>15</v>
      </c>
      <c r="Q4" s="2"/>
      <c r="R4" s="6">
        <f t="shared" si="3"/>
        <v>20</v>
      </c>
      <c r="S4" s="2" t="str">
        <f t="shared" si="4"/>
        <v>Ilona</v>
      </c>
      <c r="AC4">
        <f t="shared" si="5"/>
        <v>13</v>
      </c>
      <c r="AD4">
        <f t="shared" si="6"/>
        <v>11</v>
      </c>
      <c r="AE4">
        <f t="shared" si="7"/>
        <v>10</v>
      </c>
      <c r="AF4">
        <f t="shared" si="8"/>
        <v>15</v>
      </c>
      <c r="AG4">
        <f t="shared" si="9"/>
        <v>13</v>
      </c>
      <c r="AH4">
        <f t="shared" si="10"/>
        <v>10</v>
      </c>
      <c r="AI4">
        <f t="shared" si="11"/>
        <v>13</v>
      </c>
      <c r="AJ4">
        <f t="shared" si="12"/>
        <v>12</v>
      </c>
      <c r="AK4">
        <f t="shared" si="13"/>
        <v>20</v>
      </c>
      <c r="AL4">
        <f t="shared" si="14"/>
        <v>22</v>
      </c>
      <c r="AM4">
        <f t="shared" si="15"/>
        <v>14</v>
      </c>
      <c r="AN4">
        <f t="shared" si="16"/>
        <v>19</v>
      </c>
      <c r="AO4">
        <f t="shared" si="17"/>
        <v>13</v>
      </c>
      <c r="AP4">
        <f t="shared" si="18"/>
        <v>14</v>
      </c>
      <c r="AQ4">
        <f t="shared" si="19"/>
        <v>15</v>
      </c>
    </row>
    <row r="5" spans="1:43">
      <c r="A5" s="4" t="s">
        <v>20</v>
      </c>
      <c r="B5" s="6">
        <v>12</v>
      </c>
      <c r="C5" s="6">
        <v>0</v>
      </c>
      <c r="D5" s="6">
        <v>0</v>
      </c>
      <c r="E5" s="6">
        <v>0</v>
      </c>
      <c r="F5" s="6">
        <v>14</v>
      </c>
      <c r="G5" s="6">
        <v>10</v>
      </c>
      <c r="H5" s="6">
        <v>12</v>
      </c>
      <c r="I5" s="6">
        <v>10</v>
      </c>
      <c r="J5" s="6">
        <v>0</v>
      </c>
      <c r="K5" s="6">
        <v>11</v>
      </c>
      <c r="L5" s="6">
        <v>13</v>
      </c>
      <c r="M5" s="6">
        <v>12</v>
      </c>
      <c r="N5" s="6">
        <v>10</v>
      </c>
      <c r="O5" s="6">
        <v>12</v>
      </c>
      <c r="P5" s="6">
        <v>15</v>
      </c>
      <c r="Q5" s="2"/>
      <c r="R5" s="6">
        <f t="shared" si="3"/>
        <v>15</v>
      </c>
      <c r="S5" s="2" t="str">
        <f t="shared" si="4"/>
        <v>Ottó</v>
      </c>
      <c r="AC5">
        <f t="shared" si="5"/>
        <v>12</v>
      </c>
      <c r="AD5">
        <f t="shared" si="6"/>
        <v>17</v>
      </c>
      <c r="AE5">
        <f t="shared" si="7"/>
        <v>15</v>
      </c>
      <c r="AF5">
        <f t="shared" si="8"/>
        <v>20</v>
      </c>
      <c r="AG5">
        <f t="shared" si="9"/>
        <v>14</v>
      </c>
      <c r="AH5">
        <f t="shared" si="10"/>
        <v>10</v>
      </c>
      <c r="AI5">
        <f t="shared" si="11"/>
        <v>12</v>
      </c>
      <c r="AJ5">
        <f t="shared" si="12"/>
        <v>10</v>
      </c>
      <c r="AK5">
        <f t="shared" si="13"/>
        <v>20</v>
      </c>
      <c r="AL5">
        <f t="shared" si="14"/>
        <v>11</v>
      </c>
      <c r="AM5">
        <f t="shared" si="15"/>
        <v>13</v>
      </c>
      <c r="AN5">
        <f t="shared" si="16"/>
        <v>12</v>
      </c>
      <c r="AO5">
        <f t="shared" si="17"/>
        <v>10</v>
      </c>
      <c r="AP5">
        <f t="shared" si="18"/>
        <v>12</v>
      </c>
      <c r="AQ5">
        <f t="shared" si="19"/>
        <v>15</v>
      </c>
    </row>
    <row r="6" spans="1:43">
      <c r="A6" s="4" t="s">
        <v>21</v>
      </c>
      <c r="B6" s="6">
        <v>0</v>
      </c>
      <c r="C6" s="6">
        <v>15</v>
      </c>
      <c r="D6" s="6">
        <v>0</v>
      </c>
      <c r="E6" s="6">
        <v>0</v>
      </c>
      <c r="F6" s="6">
        <v>0</v>
      </c>
      <c r="G6" s="6">
        <v>0</v>
      </c>
      <c r="H6" s="6">
        <v>14</v>
      </c>
      <c r="I6" s="6">
        <v>0</v>
      </c>
      <c r="J6" s="6">
        <v>0</v>
      </c>
      <c r="K6" s="6">
        <v>0</v>
      </c>
      <c r="L6" s="6">
        <v>14</v>
      </c>
      <c r="M6" s="6">
        <v>11</v>
      </c>
      <c r="N6" s="6">
        <v>12</v>
      </c>
      <c r="O6" s="6">
        <v>11</v>
      </c>
      <c r="P6" s="6">
        <v>12</v>
      </c>
      <c r="Q6" s="2"/>
      <c r="R6" s="6">
        <f t="shared" si="3"/>
        <v>15</v>
      </c>
      <c r="S6" s="2" t="str">
        <f t="shared" si="4"/>
        <v>Berci</v>
      </c>
      <c r="AC6">
        <f t="shared" si="5"/>
        <v>20</v>
      </c>
      <c r="AD6">
        <f t="shared" si="6"/>
        <v>15</v>
      </c>
      <c r="AE6">
        <f t="shared" si="7"/>
        <v>15</v>
      </c>
      <c r="AF6">
        <f t="shared" si="8"/>
        <v>20</v>
      </c>
      <c r="AG6">
        <f t="shared" si="9"/>
        <v>19</v>
      </c>
      <c r="AH6">
        <f t="shared" si="10"/>
        <v>20</v>
      </c>
      <c r="AI6">
        <f t="shared" si="11"/>
        <v>14</v>
      </c>
      <c r="AJ6">
        <f t="shared" si="12"/>
        <v>16</v>
      </c>
      <c r="AK6">
        <f t="shared" si="13"/>
        <v>20</v>
      </c>
      <c r="AL6">
        <f t="shared" si="14"/>
        <v>22</v>
      </c>
      <c r="AM6">
        <f t="shared" si="15"/>
        <v>14</v>
      </c>
      <c r="AN6">
        <f t="shared" si="16"/>
        <v>11</v>
      </c>
      <c r="AO6">
        <f t="shared" si="17"/>
        <v>12</v>
      </c>
      <c r="AP6">
        <f t="shared" si="18"/>
        <v>11</v>
      </c>
      <c r="AQ6">
        <f t="shared" si="19"/>
        <v>12</v>
      </c>
    </row>
    <row r="7" spans="1:43">
      <c r="A7" s="4" t="s">
        <v>22</v>
      </c>
      <c r="B7" s="6">
        <v>10</v>
      </c>
      <c r="C7" s="6">
        <v>0</v>
      </c>
      <c r="D7" s="6">
        <v>12</v>
      </c>
      <c r="E7" s="6">
        <v>0</v>
      </c>
      <c r="F7" s="6">
        <v>13</v>
      </c>
      <c r="G7" s="6">
        <v>20</v>
      </c>
      <c r="H7" s="6">
        <v>14</v>
      </c>
      <c r="I7" s="6">
        <v>0</v>
      </c>
      <c r="J7" s="6">
        <v>11</v>
      </c>
      <c r="K7" s="6">
        <v>14</v>
      </c>
      <c r="L7" s="6">
        <v>14</v>
      </c>
      <c r="M7" s="6">
        <v>0</v>
      </c>
      <c r="N7" s="6">
        <v>11</v>
      </c>
      <c r="O7" s="6">
        <v>11</v>
      </c>
      <c r="P7" s="6">
        <v>12</v>
      </c>
      <c r="Q7" s="2"/>
      <c r="R7" s="6">
        <f t="shared" si="3"/>
        <v>20</v>
      </c>
      <c r="S7" s="2" t="str">
        <f t="shared" si="4"/>
        <v>Ferenc</v>
      </c>
      <c r="AC7">
        <f t="shared" si="5"/>
        <v>10</v>
      </c>
      <c r="AD7">
        <f t="shared" si="6"/>
        <v>17</v>
      </c>
      <c r="AE7">
        <f t="shared" si="7"/>
        <v>12</v>
      </c>
      <c r="AF7">
        <f t="shared" si="8"/>
        <v>20</v>
      </c>
      <c r="AG7">
        <f t="shared" si="9"/>
        <v>13</v>
      </c>
      <c r="AH7">
        <f t="shared" si="10"/>
        <v>20</v>
      </c>
      <c r="AI7">
        <f t="shared" si="11"/>
        <v>14</v>
      </c>
      <c r="AJ7">
        <f t="shared" si="12"/>
        <v>16</v>
      </c>
      <c r="AK7">
        <f t="shared" si="13"/>
        <v>11</v>
      </c>
      <c r="AL7">
        <f t="shared" si="14"/>
        <v>14</v>
      </c>
      <c r="AM7">
        <f t="shared" si="15"/>
        <v>14</v>
      </c>
      <c r="AN7">
        <f t="shared" si="16"/>
        <v>19</v>
      </c>
      <c r="AO7">
        <f t="shared" si="17"/>
        <v>11</v>
      </c>
      <c r="AP7">
        <f t="shared" si="18"/>
        <v>11</v>
      </c>
      <c r="AQ7">
        <f t="shared" si="19"/>
        <v>12</v>
      </c>
    </row>
    <row r="8" spans="1:43">
      <c r="A8" s="4" t="s">
        <v>23</v>
      </c>
      <c r="B8" s="6">
        <v>12</v>
      </c>
      <c r="C8" s="6">
        <v>11</v>
      </c>
      <c r="D8" s="6">
        <v>15</v>
      </c>
      <c r="E8" s="6">
        <v>20</v>
      </c>
      <c r="F8" s="6">
        <v>14</v>
      </c>
      <c r="G8" s="6">
        <v>0</v>
      </c>
      <c r="H8" s="6">
        <v>17</v>
      </c>
      <c r="I8" s="6">
        <v>14</v>
      </c>
      <c r="J8" s="6">
        <v>12</v>
      </c>
      <c r="K8" s="6">
        <v>16</v>
      </c>
      <c r="L8" s="6">
        <v>10</v>
      </c>
      <c r="M8" s="6">
        <v>10</v>
      </c>
      <c r="N8" s="6">
        <v>26</v>
      </c>
      <c r="O8" s="6">
        <v>10</v>
      </c>
      <c r="P8" s="6">
        <v>0</v>
      </c>
      <c r="Q8" s="2"/>
      <c r="R8" s="6">
        <f t="shared" si="3"/>
        <v>26</v>
      </c>
      <c r="S8" s="2" t="str">
        <f t="shared" si="4"/>
        <v>Mihály</v>
      </c>
      <c r="AC8">
        <f t="shared" si="5"/>
        <v>12</v>
      </c>
      <c r="AD8">
        <f t="shared" si="6"/>
        <v>11</v>
      </c>
      <c r="AE8">
        <f t="shared" si="7"/>
        <v>15</v>
      </c>
      <c r="AF8">
        <f t="shared" si="8"/>
        <v>20</v>
      </c>
      <c r="AG8">
        <f t="shared" si="9"/>
        <v>14</v>
      </c>
      <c r="AH8">
        <f t="shared" si="10"/>
        <v>20</v>
      </c>
      <c r="AI8">
        <f t="shared" si="11"/>
        <v>17</v>
      </c>
      <c r="AJ8">
        <f t="shared" si="12"/>
        <v>14</v>
      </c>
      <c r="AK8">
        <f t="shared" si="13"/>
        <v>12</v>
      </c>
      <c r="AL8">
        <f t="shared" si="14"/>
        <v>16</v>
      </c>
      <c r="AM8">
        <f t="shared" si="15"/>
        <v>10</v>
      </c>
      <c r="AN8">
        <f t="shared" si="16"/>
        <v>10</v>
      </c>
      <c r="AO8">
        <f t="shared" si="17"/>
        <v>26</v>
      </c>
      <c r="AP8">
        <f t="shared" si="18"/>
        <v>10</v>
      </c>
      <c r="AQ8">
        <f t="shared" si="19"/>
        <v>21</v>
      </c>
    </row>
    <row r="9" spans="1:43">
      <c r="A9" s="4" t="s">
        <v>24</v>
      </c>
      <c r="B9" s="6">
        <v>15</v>
      </c>
      <c r="C9" s="6">
        <v>10</v>
      </c>
      <c r="D9" s="6">
        <v>10</v>
      </c>
      <c r="E9" s="6">
        <v>17</v>
      </c>
      <c r="F9" s="6">
        <v>17</v>
      </c>
      <c r="G9" s="6">
        <v>20</v>
      </c>
      <c r="H9" s="6">
        <v>0</v>
      </c>
      <c r="I9" s="6">
        <v>14</v>
      </c>
      <c r="J9" s="6">
        <v>14</v>
      </c>
      <c r="K9" s="6">
        <v>10</v>
      </c>
      <c r="L9" s="6">
        <v>10</v>
      </c>
      <c r="M9" s="6">
        <v>14</v>
      </c>
      <c r="N9" s="6">
        <v>0</v>
      </c>
      <c r="O9" s="6">
        <v>21</v>
      </c>
      <c r="P9" s="6">
        <v>0</v>
      </c>
      <c r="Q9" s="2"/>
      <c r="R9" s="6">
        <f t="shared" si="3"/>
        <v>21</v>
      </c>
      <c r="S9" s="2" t="str">
        <f t="shared" si="4"/>
        <v>Norbert</v>
      </c>
      <c r="AC9">
        <f t="shared" si="5"/>
        <v>15</v>
      </c>
      <c r="AD9">
        <f t="shared" si="6"/>
        <v>10</v>
      </c>
      <c r="AE9">
        <f t="shared" si="7"/>
        <v>10</v>
      </c>
      <c r="AF9">
        <f t="shared" si="8"/>
        <v>17</v>
      </c>
      <c r="AG9">
        <f t="shared" si="9"/>
        <v>17</v>
      </c>
      <c r="AH9">
        <f t="shared" si="10"/>
        <v>20</v>
      </c>
      <c r="AI9">
        <f t="shared" si="11"/>
        <v>17</v>
      </c>
      <c r="AJ9">
        <f t="shared" si="12"/>
        <v>14</v>
      </c>
      <c r="AK9">
        <f t="shared" si="13"/>
        <v>14</v>
      </c>
      <c r="AL9">
        <f t="shared" si="14"/>
        <v>10</v>
      </c>
      <c r="AM9">
        <f t="shared" si="15"/>
        <v>10</v>
      </c>
      <c r="AN9">
        <f t="shared" si="16"/>
        <v>14</v>
      </c>
      <c r="AO9">
        <f t="shared" si="17"/>
        <v>26</v>
      </c>
      <c r="AP9">
        <f t="shared" si="18"/>
        <v>21</v>
      </c>
      <c r="AQ9">
        <f t="shared" si="19"/>
        <v>21</v>
      </c>
    </row>
    <row r="10" spans="1:43">
      <c r="A10" s="4" t="s">
        <v>25</v>
      </c>
      <c r="B10" s="6">
        <v>0</v>
      </c>
      <c r="C10" s="6">
        <v>14</v>
      </c>
      <c r="D10" s="6">
        <v>14</v>
      </c>
      <c r="E10" s="6">
        <v>15</v>
      </c>
      <c r="F10" s="6">
        <v>10</v>
      </c>
      <c r="G10" s="6">
        <v>20</v>
      </c>
      <c r="H10" s="6">
        <v>0</v>
      </c>
      <c r="I10" s="6">
        <v>10</v>
      </c>
      <c r="J10" s="6">
        <v>10</v>
      </c>
      <c r="K10" s="6">
        <v>22</v>
      </c>
      <c r="L10" s="6">
        <v>11</v>
      </c>
      <c r="M10" s="6">
        <v>13</v>
      </c>
      <c r="N10" s="6">
        <v>0</v>
      </c>
      <c r="O10" s="6">
        <v>0</v>
      </c>
      <c r="P10" s="6">
        <v>0</v>
      </c>
      <c r="Q10" s="2"/>
      <c r="R10" s="6">
        <f t="shared" si="3"/>
        <v>22</v>
      </c>
      <c r="S10" s="2" t="str">
        <f t="shared" si="4"/>
        <v>Júlia</v>
      </c>
      <c r="AC10">
        <f t="shared" si="5"/>
        <v>20</v>
      </c>
      <c r="AD10">
        <f t="shared" si="6"/>
        <v>14</v>
      </c>
      <c r="AE10">
        <f t="shared" si="7"/>
        <v>14</v>
      </c>
      <c r="AF10">
        <f t="shared" si="8"/>
        <v>15</v>
      </c>
      <c r="AG10">
        <f t="shared" si="9"/>
        <v>10</v>
      </c>
      <c r="AH10">
        <f t="shared" si="10"/>
        <v>20</v>
      </c>
      <c r="AI10">
        <f t="shared" si="11"/>
        <v>17</v>
      </c>
      <c r="AJ10">
        <f t="shared" si="12"/>
        <v>10</v>
      </c>
      <c r="AK10">
        <f t="shared" si="13"/>
        <v>10</v>
      </c>
      <c r="AL10">
        <f t="shared" si="14"/>
        <v>22</v>
      </c>
      <c r="AM10">
        <f t="shared" si="15"/>
        <v>11</v>
      </c>
      <c r="AN10">
        <f t="shared" si="16"/>
        <v>13</v>
      </c>
      <c r="AO10">
        <f t="shared" si="17"/>
        <v>26</v>
      </c>
      <c r="AP10">
        <f t="shared" si="18"/>
        <v>21</v>
      </c>
      <c r="AQ10">
        <f t="shared" si="19"/>
        <v>21</v>
      </c>
    </row>
    <row r="11" spans="1:43">
      <c r="A11" s="4" t="s">
        <v>26</v>
      </c>
      <c r="B11" s="6">
        <v>20</v>
      </c>
      <c r="C11" s="6">
        <v>11</v>
      </c>
      <c r="D11" s="6">
        <v>15</v>
      </c>
      <c r="E11" s="6">
        <v>15</v>
      </c>
      <c r="F11" s="6">
        <v>19</v>
      </c>
      <c r="G11" s="6">
        <v>0</v>
      </c>
      <c r="H11" s="6">
        <v>0</v>
      </c>
      <c r="I11" s="6">
        <v>16</v>
      </c>
      <c r="J11" s="6">
        <v>12</v>
      </c>
      <c r="K11" s="6">
        <v>11</v>
      </c>
      <c r="L11" s="6">
        <v>14</v>
      </c>
      <c r="M11" s="6">
        <v>11</v>
      </c>
      <c r="N11" s="6">
        <v>0</v>
      </c>
      <c r="O11" s="6">
        <v>0</v>
      </c>
      <c r="P11" s="6">
        <v>21</v>
      </c>
      <c r="Q11" s="2"/>
      <c r="R11" s="6">
        <f t="shared" si="3"/>
        <v>21</v>
      </c>
      <c r="S11" s="2" t="str">
        <f t="shared" si="4"/>
        <v>Ottó</v>
      </c>
      <c r="AC11">
        <f t="shared" si="5"/>
        <v>20</v>
      </c>
      <c r="AD11">
        <f t="shared" si="6"/>
        <v>11</v>
      </c>
      <c r="AE11">
        <f t="shared" si="7"/>
        <v>15</v>
      </c>
      <c r="AF11">
        <f t="shared" si="8"/>
        <v>15</v>
      </c>
      <c r="AG11">
        <f t="shared" si="9"/>
        <v>19</v>
      </c>
      <c r="AH11">
        <f t="shared" si="10"/>
        <v>20</v>
      </c>
      <c r="AI11">
        <f t="shared" si="11"/>
        <v>17</v>
      </c>
      <c r="AJ11">
        <f t="shared" si="12"/>
        <v>16</v>
      </c>
      <c r="AK11">
        <f t="shared" si="13"/>
        <v>12</v>
      </c>
      <c r="AL11">
        <f t="shared" si="14"/>
        <v>11</v>
      </c>
      <c r="AM11">
        <f t="shared" si="15"/>
        <v>14</v>
      </c>
      <c r="AN11">
        <f t="shared" si="16"/>
        <v>11</v>
      </c>
      <c r="AO11">
        <f t="shared" si="17"/>
        <v>26</v>
      </c>
      <c r="AP11">
        <f t="shared" si="18"/>
        <v>21</v>
      </c>
      <c r="AQ11">
        <f t="shared" si="19"/>
        <v>21</v>
      </c>
    </row>
    <row r="12" spans="1:43">
      <c r="A12" s="4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43" ht="38.25">
      <c r="A13" s="4"/>
      <c r="B13" s="3" t="str">
        <f>B1</f>
        <v>Anna</v>
      </c>
      <c r="C13" s="3" t="str">
        <f t="shared" ref="C13:P13" si="20">C1</f>
        <v>Berci</v>
      </c>
      <c r="D13" s="3" t="str">
        <f t="shared" si="20"/>
        <v>Cili</v>
      </c>
      <c r="E13" s="3" t="str">
        <f t="shared" si="20"/>
        <v>Dalma</v>
      </c>
      <c r="F13" s="3" t="str">
        <f t="shared" si="20"/>
        <v>Endre</v>
      </c>
      <c r="G13" s="3" t="str">
        <f t="shared" si="20"/>
        <v>Ferenc</v>
      </c>
      <c r="H13" s="3" t="str">
        <f t="shared" si="20"/>
        <v>Gábor</v>
      </c>
      <c r="I13" s="3" t="str">
        <f t="shared" si="20"/>
        <v>Hanna</v>
      </c>
      <c r="J13" s="3" t="str">
        <f t="shared" si="20"/>
        <v>Ilona</v>
      </c>
      <c r="K13" s="3" t="str">
        <f t="shared" si="20"/>
        <v>Júlia</v>
      </c>
      <c r="L13" s="3" t="str">
        <f t="shared" si="20"/>
        <v>Károly</v>
      </c>
      <c r="M13" s="3" t="str">
        <f t="shared" si="20"/>
        <v>Levente</v>
      </c>
      <c r="N13" s="3" t="str">
        <f t="shared" si="20"/>
        <v>Mihály</v>
      </c>
      <c r="O13" s="3" t="str">
        <f t="shared" si="20"/>
        <v>Norbert</v>
      </c>
      <c r="P13" s="3" t="str">
        <f t="shared" si="20"/>
        <v>Ottó</v>
      </c>
      <c r="Q13" s="2"/>
      <c r="R13" s="2"/>
      <c r="S13" s="2"/>
    </row>
    <row r="14" spans="1:43">
      <c r="A14" s="4" t="str">
        <f>A2</f>
        <v>1. kör</v>
      </c>
      <c r="B14" s="6">
        <f>100-B2</f>
        <v>92</v>
      </c>
      <c r="C14" s="6">
        <f t="shared" ref="C14:P14" si="21">100-C2</f>
        <v>83</v>
      </c>
      <c r="D14" s="6">
        <f t="shared" si="21"/>
        <v>87</v>
      </c>
      <c r="E14" s="6">
        <f t="shared" si="21"/>
        <v>92</v>
      </c>
      <c r="F14" s="6">
        <f t="shared" si="21"/>
        <v>100</v>
      </c>
      <c r="G14" s="6">
        <f t="shared" si="21"/>
        <v>90</v>
      </c>
      <c r="H14" s="6">
        <f t="shared" si="21"/>
        <v>85</v>
      </c>
      <c r="I14" s="6">
        <f t="shared" si="21"/>
        <v>90</v>
      </c>
      <c r="J14" s="6">
        <f t="shared" si="21"/>
        <v>90</v>
      </c>
      <c r="K14" s="6">
        <f t="shared" si="21"/>
        <v>98</v>
      </c>
      <c r="L14" s="6">
        <f t="shared" si="21"/>
        <v>86</v>
      </c>
      <c r="M14" s="6">
        <f t="shared" si="21"/>
        <v>81</v>
      </c>
      <c r="N14" s="6">
        <f t="shared" si="21"/>
        <v>90</v>
      </c>
      <c r="O14" s="6">
        <f t="shared" si="21"/>
        <v>89</v>
      </c>
      <c r="P14" s="6">
        <f t="shared" si="21"/>
        <v>87</v>
      </c>
      <c r="Q14" s="2"/>
      <c r="R14" s="2"/>
      <c r="S14" s="2"/>
    </row>
    <row r="15" spans="1:43">
      <c r="A15" s="4" t="str">
        <f t="shared" ref="A15:A24" si="22">A3</f>
        <v>2. kör</v>
      </c>
      <c r="B15" s="6">
        <f>B14-B3</f>
        <v>82</v>
      </c>
      <c r="C15" s="6">
        <f t="shared" ref="C15:P15" si="23">C14-C3</f>
        <v>72</v>
      </c>
      <c r="D15" s="6">
        <f t="shared" si="23"/>
        <v>76</v>
      </c>
      <c r="E15" s="6">
        <f t="shared" si="23"/>
        <v>82</v>
      </c>
      <c r="F15" s="6">
        <f t="shared" si="23"/>
        <v>100</v>
      </c>
      <c r="G15" s="6">
        <f t="shared" si="23"/>
        <v>80</v>
      </c>
      <c r="H15" s="6">
        <f t="shared" si="23"/>
        <v>70</v>
      </c>
      <c r="I15" s="6">
        <f t="shared" si="23"/>
        <v>76</v>
      </c>
      <c r="J15" s="6">
        <f t="shared" si="23"/>
        <v>79</v>
      </c>
      <c r="K15" s="6">
        <f t="shared" si="23"/>
        <v>84</v>
      </c>
      <c r="L15" s="6">
        <f t="shared" si="23"/>
        <v>86</v>
      </c>
      <c r="M15" s="6">
        <f t="shared" si="23"/>
        <v>71</v>
      </c>
      <c r="N15" s="6">
        <f t="shared" si="23"/>
        <v>72</v>
      </c>
      <c r="O15" s="6">
        <f t="shared" si="23"/>
        <v>79</v>
      </c>
      <c r="P15" s="6">
        <f t="shared" si="23"/>
        <v>75</v>
      </c>
      <c r="Q15" s="2"/>
      <c r="R15" s="2"/>
      <c r="S15" s="2"/>
    </row>
    <row r="16" spans="1:43">
      <c r="A16" s="4" t="str">
        <f t="shared" si="22"/>
        <v>3. kör</v>
      </c>
      <c r="B16" s="6">
        <f t="shared" ref="B16:B23" si="24">B15-B4</f>
        <v>69</v>
      </c>
      <c r="C16" s="6">
        <f t="shared" ref="C16:C23" si="25">C15-C4</f>
        <v>61</v>
      </c>
      <c r="D16" s="6">
        <f t="shared" ref="D16:D23" si="26">D15-D4</f>
        <v>66</v>
      </c>
      <c r="E16" s="6">
        <f t="shared" ref="E16:E23" si="27">E15-E4</f>
        <v>67</v>
      </c>
      <c r="F16" s="6">
        <f t="shared" ref="F16:F23" si="28">F15-F4</f>
        <v>87</v>
      </c>
      <c r="G16" s="6">
        <f t="shared" ref="G16:G23" si="29">G15-G4</f>
        <v>70</v>
      </c>
      <c r="H16" s="6">
        <f t="shared" ref="H16:H23" si="30">H15-H4</f>
        <v>57</v>
      </c>
      <c r="I16" s="6">
        <f t="shared" ref="I16:I23" si="31">I15-I4</f>
        <v>64</v>
      </c>
      <c r="J16" s="6">
        <f t="shared" ref="J16:J23" si="32">J15-J4</f>
        <v>59</v>
      </c>
      <c r="K16" s="6">
        <f t="shared" ref="K16:K23" si="33">K15-K4</f>
        <v>84</v>
      </c>
      <c r="L16" s="6">
        <f t="shared" ref="L16:L23" si="34">L15-L4</f>
        <v>86</v>
      </c>
      <c r="M16" s="6">
        <f t="shared" ref="M16:M23" si="35">M15-M4</f>
        <v>71</v>
      </c>
      <c r="N16" s="6">
        <f t="shared" ref="N16:N23" si="36">N15-N4</f>
        <v>59</v>
      </c>
      <c r="O16" s="6">
        <f t="shared" ref="O16:O23" si="37">O15-O4</f>
        <v>65</v>
      </c>
      <c r="P16" s="6">
        <f t="shared" ref="P16:P23" si="38">P15-P4</f>
        <v>60</v>
      </c>
      <c r="Q16" s="2"/>
      <c r="R16" s="2"/>
      <c r="S16" s="2"/>
    </row>
    <row r="17" spans="1:19">
      <c r="A17" s="4" t="str">
        <f t="shared" si="22"/>
        <v>4. kör</v>
      </c>
      <c r="B17" s="6">
        <f t="shared" si="24"/>
        <v>57</v>
      </c>
      <c r="C17" s="6">
        <f t="shared" si="25"/>
        <v>61</v>
      </c>
      <c r="D17" s="6">
        <f t="shared" si="26"/>
        <v>66</v>
      </c>
      <c r="E17" s="6">
        <f t="shared" si="27"/>
        <v>67</v>
      </c>
      <c r="F17" s="6">
        <f t="shared" si="28"/>
        <v>73</v>
      </c>
      <c r="G17" s="6">
        <f t="shared" si="29"/>
        <v>60</v>
      </c>
      <c r="H17" s="6">
        <f t="shared" si="30"/>
        <v>45</v>
      </c>
      <c r="I17" s="6">
        <f t="shared" si="31"/>
        <v>54</v>
      </c>
      <c r="J17" s="6">
        <f t="shared" si="32"/>
        <v>59</v>
      </c>
      <c r="K17" s="6">
        <f t="shared" si="33"/>
        <v>73</v>
      </c>
      <c r="L17" s="6">
        <f t="shared" si="34"/>
        <v>73</v>
      </c>
      <c r="M17" s="6">
        <f t="shared" si="35"/>
        <v>59</v>
      </c>
      <c r="N17" s="6">
        <f t="shared" si="36"/>
        <v>49</v>
      </c>
      <c r="O17" s="6">
        <f t="shared" si="37"/>
        <v>53</v>
      </c>
      <c r="P17" s="6">
        <f t="shared" si="38"/>
        <v>45</v>
      </c>
      <c r="Q17" s="2"/>
      <c r="R17" s="2"/>
      <c r="S17" s="2"/>
    </row>
    <row r="18" spans="1:19">
      <c r="A18" s="4" t="str">
        <f t="shared" si="22"/>
        <v>5. kör</v>
      </c>
      <c r="B18" s="6">
        <f t="shared" si="24"/>
        <v>57</v>
      </c>
      <c r="C18" s="6">
        <f t="shared" si="25"/>
        <v>46</v>
      </c>
      <c r="D18" s="6">
        <f t="shared" si="26"/>
        <v>66</v>
      </c>
      <c r="E18" s="6">
        <f t="shared" si="27"/>
        <v>67</v>
      </c>
      <c r="F18" s="6">
        <f t="shared" si="28"/>
        <v>73</v>
      </c>
      <c r="G18" s="6">
        <f t="shared" si="29"/>
        <v>60</v>
      </c>
      <c r="H18" s="6">
        <f t="shared" si="30"/>
        <v>31</v>
      </c>
      <c r="I18" s="6">
        <f t="shared" si="31"/>
        <v>54</v>
      </c>
      <c r="J18" s="6">
        <f t="shared" si="32"/>
        <v>59</v>
      </c>
      <c r="K18" s="6">
        <f t="shared" si="33"/>
        <v>73</v>
      </c>
      <c r="L18" s="6">
        <f t="shared" si="34"/>
        <v>59</v>
      </c>
      <c r="M18" s="6">
        <f t="shared" si="35"/>
        <v>48</v>
      </c>
      <c r="N18" s="6">
        <f t="shared" si="36"/>
        <v>37</v>
      </c>
      <c r="O18" s="6">
        <f t="shared" si="37"/>
        <v>42</v>
      </c>
      <c r="P18" s="6">
        <f t="shared" si="38"/>
        <v>33</v>
      </c>
      <c r="Q18" s="2"/>
      <c r="R18" s="2"/>
      <c r="S18" s="2"/>
    </row>
    <row r="19" spans="1:19">
      <c r="A19" s="4" t="str">
        <f t="shared" si="22"/>
        <v>6. kör</v>
      </c>
      <c r="B19" s="6">
        <f t="shared" si="24"/>
        <v>47</v>
      </c>
      <c r="C19" s="6">
        <f t="shared" si="25"/>
        <v>46</v>
      </c>
      <c r="D19" s="6">
        <f t="shared" si="26"/>
        <v>54</v>
      </c>
      <c r="E19" s="6">
        <f t="shared" si="27"/>
        <v>67</v>
      </c>
      <c r="F19" s="6">
        <f t="shared" si="28"/>
        <v>60</v>
      </c>
      <c r="G19" s="6">
        <f t="shared" si="29"/>
        <v>40</v>
      </c>
      <c r="H19" s="6">
        <f t="shared" si="30"/>
        <v>17</v>
      </c>
      <c r="I19" s="6">
        <f t="shared" si="31"/>
        <v>54</v>
      </c>
      <c r="J19" s="6">
        <f t="shared" si="32"/>
        <v>48</v>
      </c>
      <c r="K19" s="6">
        <f t="shared" si="33"/>
        <v>59</v>
      </c>
      <c r="L19" s="6">
        <f t="shared" si="34"/>
        <v>45</v>
      </c>
      <c r="M19" s="6">
        <f t="shared" si="35"/>
        <v>48</v>
      </c>
      <c r="N19" s="6">
        <f t="shared" si="36"/>
        <v>26</v>
      </c>
      <c r="O19" s="6">
        <f t="shared" si="37"/>
        <v>31</v>
      </c>
      <c r="P19" s="6">
        <f t="shared" si="38"/>
        <v>21</v>
      </c>
      <c r="Q19" s="2"/>
      <c r="R19" s="2"/>
      <c r="S19" s="2"/>
    </row>
    <row r="20" spans="1:19">
      <c r="A20" s="4" t="str">
        <f t="shared" si="22"/>
        <v>7. kör</v>
      </c>
      <c r="B20" s="6">
        <f t="shared" si="24"/>
        <v>35</v>
      </c>
      <c r="C20" s="6">
        <f t="shared" si="25"/>
        <v>35</v>
      </c>
      <c r="D20" s="6">
        <f t="shared" si="26"/>
        <v>39</v>
      </c>
      <c r="E20" s="6">
        <f t="shared" si="27"/>
        <v>47</v>
      </c>
      <c r="F20" s="6">
        <f t="shared" si="28"/>
        <v>46</v>
      </c>
      <c r="G20" s="6">
        <f t="shared" si="29"/>
        <v>40</v>
      </c>
      <c r="H20" s="6">
        <f t="shared" si="30"/>
        <v>0</v>
      </c>
      <c r="I20" s="6">
        <f t="shared" si="31"/>
        <v>40</v>
      </c>
      <c r="J20" s="6">
        <f t="shared" si="32"/>
        <v>36</v>
      </c>
      <c r="K20" s="6">
        <f t="shared" si="33"/>
        <v>43</v>
      </c>
      <c r="L20" s="6">
        <f t="shared" si="34"/>
        <v>35</v>
      </c>
      <c r="M20" s="6">
        <f t="shared" si="35"/>
        <v>38</v>
      </c>
      <c r="N20" s="6">
        <f t="shared" si="36"/>
        <v>0</v>
      </c>
      <c r="O20" s="6">
        <f t="shared" si="37"/>
        <v>21</v>
      </c>
      <c r="P20" s="6">
        <f t="shared" si="38"/>
        <v>21</v>
      </c>
      <c r="Q20" s="2"/>
      <c r="R20" s="2"/>
      <c r="S20" s="2"/>
    </row>
    <row r="21" spans="1:19">
      <c r="A21" s="4" t="str">
        <f t="shared" si="22"/>
        <v>8. kör</v>
      </c>
      <c r="B21" s="6">
        <f t="shared" si="24"/>
        <v>20</v>
      </c>
      <c r="C21" s="6">
        <f t="shared" si="25"/>
        <v>25</v>
      </c>
      <c r="D21" s="6">
        <f t="shared" si="26"/>
        <v>29</v>
      </c>
      <c r="E21" s="6">
        <f t="shared" si="27"/>
        <v>30</v>
      </c>
      <c r="F21" s="6">
        <f t="shared" si="28"/>
        <v>29</v>
      </c>
      <c r="G21" s="6">
        <f t="shared" si="29"/>
        <v>20</v>
      </c>
      <c r="H21" s="6">
        <f t="shared" si="30"/>
        <v>0</v>
      </c>
      <c r="I21" s="6">
        <f t="shared" si="31"/>
        <v>26</v>
      </c>
      <c r="J21" s="6">
        <f t="shared" si="32"/>
        <v>22</v>
      </c>
      <c r="K21" s="6">
        <f t="shared" si="33"/>
        <v>33</v>
      </c>
      <c r="L21" s="6">
        <f t="shared" si="34"/>
        <v>25</v>
      </c>
      <c r="M21" s="6">
        <f t="shared" si="35"/>
        <v>24</v>
      </c>
      <c r="N21" s="6">
        <f t="shared" si="36"/>
        <v>0</v>
      </c>
      <c r="O21" s="6">
        <f t="shared" si="37"/>
        <v>0</v>
      </c>
      <c r="P21" s="6">
        <f t="shared" si="38"/>
        <v>21</v>
      </c>
      <c r="Q21" s="2"/>
      <c r="R21" s="2"/>
      <c r="S21" s="2"/>
    </row>
    <row r="22" spans="1:19">
      <c r="A22" s="4" t="str">
        <f t="shared" si="22"/>
        <v>9. kör</v>
      </c>
      <c r="B22" s="6">
        <f t="shared" si="24"/>
        <v>20</v>
      </c>
      <c r="C22" s="6">
        <f t="shared" si="25"/>
        <v>11</v>
      </c>
      <c r="D22" s="6">
        <f t="shared" si="26"/>
        <v>15</v>
      </c>
      <c r="E22" s="6">
        <f t="shared" si="27"/>
        <v>15</v>
      </c>
      <c r="F22" s="6">
        <f t="shared" si="28"/>
        <v>19</v>
      </c>
      <c r="G22" s="6">
        <f t="shared" si="29"/>
        <v>0</v>
      </c>
      <c r="H22" s="6">
        <f t="shared" si="30"/>
        <v>0</v>
      </c>
      <c r="I22" s="6">
        <f t="shared" si="31"/>
        <v>16</v>
      </c>
      <c r="J22" s="6">
        <f t="shared" si="32"/>
        <v>12</v>
      </c>
      <c r="K22" s="6">
        <f t="shared" si="33"/>
        <v>11</v>
      </c>
      <c r="L22" s="6">
        <f t="shared" si="34"/>
        <v>14</v>
      </c>
      <c r="M22" s="6">
        <f t="shared" si="35"/>
        <v>11</v>
      </c>
      <c r="N22" s="6">
        <f t="shared" si="36"/>
        <v>0</v>
      </c>
      <c r="O22" s="6">
        <f t="shared" si="37"/>
        <v>0</v>
      </c>
      <c r="P22" s="6">
        <f t="shared" si="38"/>
        <v>21</v>
      </c>
      <c r="Q22" s="2"/>
      <c r="R22" s="2"/>
      <c r="S22" s="2"/>
    </row>
    <row r="23" spans="1:19">
      <c r="A23" s="4" t="str">
        <f t="shared" si="22"/>
        <v>10. kör</v>
      </c>
      <c r="B23" s="6">
        <f t="shared" si="24"/>
        <v>0</v>
      </c>
      <c r="C23" s="6">
        <f t="shared" si="25"/>
        <v>0</v>
      </c>
      <c r="D23" s="6">
        <f t="shared" si="26"/>
        <v>0</v>
      </c>
      <c r="E23" s="6">
        <f t="shared" si="27"/>
        <v>0</v>
      </c>
      <c r="F23" s="6">
        <f t="shared" si="28"/>
        <v>0</v>
      </c>
      <c r="G23" s="6">
        <f t="shared" si="29"/>
        <v>0</v>
      </c>
      <c r="H23" s="6">
        <f t="shared" si="30"/>
        <v>0</v>
      </c>
      <c r="I23" s="6">
        <f t="shared" si="31"/>
        <v>0</v>
      </c>
      <c r="J23" s="6">
        <f t="shared" si="32"/>
        <v>0</v>
      </c>
      <c r="K23" s="6">
        <f t="shared" si="33"/>
        <v>0</v>
      </c>
      <c r="L23" s="6">
        <f t="shared" si="34"/>
        <v>0</v>
      </c>
      <c r="M23" s="6">
        <f t="shared" si="35"/>
        <v>0</v>
      </c>
      <c r="N23" s="6">
        <f t="shared" si="36"/>
        <v>0</v>
      </c>
      <c r="O23" s="6">
        <f t="shared" si="37"/>
        <v>0</v>
      </c>
      <c r="P23" s="6">
        <f t="shared" si="38"/>
        <v>0</v>
      </c>
      <c r="Q23" s="2"/>
      <c r="R23" s="2"/>
      <c r="S23" s="2"/>
    </row>
    <row r="24" spans="1:19">
      <c r="A24" s="4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38.25">
      <c r="A25" s="4"/>
      <c r="B25" s="3" t="str">
        <f>B1</f>
        <v>Anna</v>
      </c>
      <c r="C25" s="3" t="str">
        <f t="shared" ref="C25:P25" si="39">C1</f>
        <v>Berci</v>
      </c>
      <c r="D25" s="3" t="str">
        <f t="shared" si="39"/>
        <v>Cili</v>
      </c>
      <c r="E25" s="3" t="str">
        <f t="shared" si="39"/>
        <v>Dalma</v>
      </c>
      <c r="F25" s="3" t="str">
        <f t="shared" si="39"/>
        <v>Endre</v>
      </c>
      <c r="G25" s="3" t="str">
        <f t="shared" si="39"/>
        <v>Ferenc</v>
      </c>
      <c r="H25" s="3" t="str">
        <f t="shared" si="39"/>
        <v>Gábor</v>
      </c>
      <c r="I25" s="3" t="str">
        <f t="shared" si="39"/>
        <v>Hanna</v>
      </c>
      <c r="J25" s="3" t="str">
        <f t="shared" si="39"/>
        <v>Ilona</v>
      </c>
      <c r="K25" s="3" t="str">
        <f t="shared" si="39"/>
        <v>Júlia</v>
      </c>
      <c r="L25" s="3" t="str">
        <f t="shared" si="39"/>
        <v>Károly</v>
      </c>
      <c r="M25" s="3" t="str">
        <f t="shared" si="39"/>
        <v>Levente</v>
      </c>
      <c r="N25" s="3" t="str">
        <f t="shared" si="39"/>
        <v>Mihály</v>
      </c>
      <c r="O25" s="3" t="str">
        <f t="shared" si="39"/>
        <v>Norbert</v>
      </c>
      <c r="P25" s="3" t="str">
        <f t="shared" si="39"/>
        <v>Ottó</v>
      </c>
      <c r="Q25" s="2"/>
      <c r="R25" s="2"/>
      <c r="S25" s="2"/>
    </row>
    <row r="26" spans="1:19">
      <c r="A26" s="4" t="s">
        <v>15</v>
      </c>
      <c r="B26" s="6">
        <f>MAX(B2:B11)</f>
        <v>20</v>
      </c>
      <c r="C26" s="6">
        <f t="shared" ref="C26:P26" si="40">MAX(C2:C11)</f>
        <v>17</v>
      </c>
      <c r="D26" s="6">
        <f t="shared" si="40"/>
        <v>15</v>
      </c>
      <c r="E26" s="6">
        <f t="shared" si="40"/>
        <v>20</v>
      </c>
      <c r="F26" s="6">
        <f t="shared" si="40"/>
        <v>19</v>
      </c>
      <c r="G26" s="6">
        <f t="shared" si="40"/>
        <v>20</v>
      </c>
      <c r="H26" s="6">
        <f t="shared" si="40"/>
        <v>17</v>
      </c>
      <c r="I26" s="6">
        <f t="shared" si="40"/>
        <v>16</v>
      </c>
      <c r="J26" s="6">
        <f t="shared" si="40"/>
        <v>20</v>
      </c>
      <c r="K26" s="6">
        <f t="shared" si="40"/>
        <v>22</v>
      </c>
      <c r="L26" s="6">
        <f t="shared" si="40"/>
        <v>14</v>
      </c>
      <c r="M26" s="6">
        <f t="shared" si="40"/>
        <v>19</v>
      </c>
      <c r="N26" s="6">
        <f t="shared" si="40"/>
        <v>26</v>
      </c>
      <c r="O26" s="6">
        <f t="shared" si="40"/>
        <v>21</v>
      </c>
      <c r="P26" s="6">
        <f t="shared" si="40"/>
        <v>21</v>
      </c>
      <c r="Q26" s="2"/>
      <c r="R26" s="2"/>
      <c r="S26" s="2"/>
    </row>
    <row r="27" spans="1:19">
      <c r="A27" s="4" t="s">
        <v>27</v>
      </c>
      <c r="B27" s="6">
        <f>MIN(AC2:AC11)</f>
        <v>8</v>
      </c>
      <c r="C27" s="6">
        <f t="shared" ref="C27:P27" si="41">MIN(AD2:AD11)</f>
        <v>10</v>
      </c>
      <c r="D27" s="6">
        <f t="shared" si="41"/>
        <v>10</v>
      </c>
      <c r="E27" s="6">
        <f t="shared" si="41"/>
        <v>8</v>
      </c>
      <c r="F27" s="6">
        <f t="shared" si="41"/>
        <v>10</v>
      </c>
      <c r="G27" s="6">
        <f t="shared" si="41"/>
        <v>10</v>
      </c>
      <c r="H27" s="6">
        <f t="shared" si="41"/>
        <v>12</v>
      </c>
      <c r="I27" s="6">
        <f t="shared" si="41"/>
        <v>10</v>
      </c>
      <c r="J27" s="6">
        <f t="shared" si="41"/>
        <v>10</v>
      </c>
      <c r="K27" s="6">
        <f t="shared" si="41"/>
        <v>2</v>
      </c>
      <c r="L27" s="6">
        <f t="shared" si="41"/>
        <v>10</v>
      </c>
      <c r="M27" s="6">
        <f t="shared" si="41"/>
        <v>10</v>
      </c>
      <c r="N27" s="6">
        <f t="shared" si="41"/>
        <v>10</v>
      </c>
      <c r="O27" s="6">
        <f t="shared" si="41"/>
        <v>10</v>
      </c>
      <c r="P27" s="6">
        <f t="shared" si="41"/>
        <v>12</v>
      </c>
      <c r="Q27" s="2"/>
      <c r="R27" s="2"/>
      <c r="S27" s="2"/>
    </row>
    <row r="28" spans="1:19">
      <c r="A28" s="4" t="s">
        <v>28</v>
      </c>
      <c r="B28" s="6">
        <f>COUNTIF(B2:B11,0)</f>
        <v>2</v>
      </c>
      <c r="C28" s="6">
        <f t="shared" ref="C28:P28" si="42">COUNTIF(C2:C11,0)</f>
        <v>2</v>
      </c>
      <c r="D28" s="6">
        <f t="shared" si="42"/>
        <v>2</v>
      </c>
      <c r="E28" s="6">
        <f t="shared" si="42"/>
        <v>3</v>
      </c>
      <c r="F28" s="6">
        <f t="shared" si="42"/>
        <v>3</v>
      </c>
      <c r="G28" s="6">
        <f t="shared" si="42"/>
        <v>3</v>
      </c>
      <c r="H28" s="6">
        <f t="shared" si="42"/>
        <v>3</v>
      </c>
      <c r="I28" s="6">
        <f t="shared" si="42"/>
        <v>2</v>
      </c>
      <c r="J28" s="6">
        <f t="shared" si="42"/>
        <v>2</v>
      </c>
      <c r="K28" s="6">
        <f t="shared" si="42"/>
        <v>2</v>
      </c>
      <c r="L28" s="6">
        <f t="shared" si="42"/>
        <v>2</v>
      </c>
      <c r="M28" s="6">
        <f t="shared" si="42"/>
        <v>2</v>
      </c>
      <c r="N28" s="6">
        <f t="shared" si="42"/>
        <v>3</v>
      </c>
      <c r="O28" s="6">
        <f t="shared" si="42"/>
        <v>2</v>
      </c>
      <c r="P28" s="6">
        <f t="shared" si="42"/>
        <v>3</v>
      </c>
      <c r="Q28" s="2"/>
      <c r="R28" s="2"/>
      <c r="S28" s="2"/>
    </row>
    <row r="29" spans="1:19">
      <c r="A29" s="5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Szmodis István </cp:lastModifiedBy>
  <dcterms:created xsi:type="dcterms:W3CDTF">2015-06-05T18:19:34Z</dcterms:created>
  <dcterms:modified xsi:type="dcterms:W3CDTF">2026-10-11T18:29:09Z</dcterms:modified>
</cp:coreProperties>
</file>