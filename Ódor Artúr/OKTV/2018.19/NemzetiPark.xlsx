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H:\Artúr\fakt2025\Ódor Artúr\OKTV\2018.19\"/>
    </mc:Choice>
  </mc:AlternateContent>
  <xr:revisionPtr revIDLastSave="0" documentId="13_ncr:1_{B8C50885-8579-499E-81D4-A2262B98261E}" xr6:coauthVersionLast="36" xr6:coauthVersionMax="36" xr10:uidLastSave="{00000000-0000-0000-0000-000000000000}"/>
  <bookViews>
    <workbookView xWindow="0" yWindow="0" windowWidth="22260" windowHeight="12645" activeTab="1" xr2:uid="{00000000-000D-0000-FFFF-FFFF00000000}"/>
  </bookViews>
  <sheets>
    <sheet name="Európa" sheetId="1" r:id="rId1"/>
    <sheet name="ZöldOrszágok" sheetId="4" r:id="rId2"/>
    <sheet name="Magyarország" sheetId="2" r:id="rId3"/>
    <sheet name="MagyarországDiagram" sheetId="3" r:id="rId4"/>
  </sheets>
  <definedNames>
    <definedName name="_xlnm._FilterDatabase" localSheetId="2" hidden="1">Magyarország!$A$2:$G$12</definedName>
    <definedName name="adatbázis">Európa!$A$1:$E$41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0" i="4" l="1"/>
  <c r="A2" i="4"/>
  <c r="B2" i="4"/>
  <c r="C2" i="4"/>
  <c r="D2" i="4"/>
  <c r="E2" i="4"/>
  <c r="A3" i="4"/>
  <c r="B3" i="4"/>
  <c r="C3" i="4"/>
  <c r="D3" i="4"/>
  <c r="E3" i="4"/>
  <c r="A4" i="4"/>
  <c r="B4" i="4"/>
  <c r="C4" i="4"/>
  <c r="D4" i="4"/>
  <c r="E4" i="4"/>
  <c r="A5" i="4"/>
  <c r="B5" i="4"/>
  <c r="C5" i="4"/>
  <c r="D5" i="4"/>
  <c r="E5" i="4"/>
  <c r="A6" i="4"/>
  <c r="B6" i="4"/>
  <c r="C6" i="4"/>
  <c r="D6" i="4"/>
  <c r="E6" i="4"/>
  <c r="A7" i="4"/>
  <c r="B7" i="4"/>
  <c r="C7" i="4"/>
  <c r="D7" i="4"/>
  <c r="E7" i="4"/>
  <c r="A8" i="4"/>
  <c r="B8" i="4"/>
  <c r="C8" i="4"/>
  <c r="D8" i="4"/>
  <c r="E8" i="4"/>
  <c r="A9" i="4"/>
  <c r="B9" i="4"/>
  <c r="C9" i="4"/>
  <c r="D9" i="4"/>
  <c r="E9" i="4"/>
  <c r="A10" i="4"/>
  <c r="B10" i="4"/>
  <c r="C10" i="4"/>
  <c r="D10" i="4"/>
  <c r="E10" i="4"/>
  <c r="A11" i="4"/>
  <c r="B11" i="4"/>
  <c r="C11" i="4"/>
  <c r="D11" i="4"/>
  <c r="E11" i="4"/>
  <c r="A12" i="4"/>
  <c r="B12" i="4"/>
  <c r="C12" i="4"/>
  <c r="D12" i="4"/>
  <c r="E12" i="4"/>
  <c r="A13" i="4"/>
  <c r="B13" i="4"/>
  <c r="C13" i="4"/>
  <c r="D13" i="4"/>
  <c r="E13" i="4"/>
  <c r="A14" i="4"/>
  <c r="B14" i="4"/>
  <c r="C14" i="4"/>
  <c r="D14" i="4"/>
  <c r="E14" i="4"/>
  <c r="A15" i="4"/>
  <c r="B15" i="4"/>
  <c r="C15" i="4"/>
  <c r="D15" i="4"/>
  <c r="E15" i="4"/>
  <c r="A16" i="4"/>
  <c r="B16" i="4"/>
  <c r="C16" i="4"/>
  <c r="D16" i="4"/>
  <c r="E16" i="4"/>
  <c r="A17" i="4"/>
  <c r="B17" i="4"/>
  <c r="C17" i="4"/>
  <c r="D17" i="4"/>
  <c r="E17" i="4"/>
  <c r="A18" i="4"/>
  <c r="B18" i="4"/>
  <c r="C18" i="4"/>
  <c r="D18" i="4"/>
  <c r="E18" i="4"/>
  <c r="A19" i="4"/>
  <c r="B19" i="4"/>
  <c r="C19" i="4"/>
  <c r="D19" i="4"/>
  <c r="E19" i="4"/>
  <c r="A20" i="4"/>
  <c r="B20" i="4"/>
  <c r="C20" i="4"/>
  <c r="D20" i="4"/>
  <c r="A21" i="4"/>
  <c r="B21" i="4"/>
  <c r="C21" i="4"/>
  <c r="D21" i="4"/>
  <c r="E21" i="4"/>
  <c r="A22" i="4"/>
  <c r="B22" i="4"/>
  <c r="C22" i="4"/>
  <c r="D22" i="4"/>
  <c r="E22" i="4"/>
  <c r="A23" i="4"/>
  <c r="B23" i="4"/>
  <c r="C23" i="4"/>
  <c r="D23" i="4"/>
  <c r="E23" i="4"/>
  <c r="A24" i="4"/>
  <c r="B24" i="4"/>
  <c r="C24" i="4"/>
  <c r="D24" i="4"/>
  <c r="E24" i="4"/>
  <c r="A25" i="4"/>
  <c r="B25" i="4"/>
  <c r="C25" i="4"/>
  <c r="D25" i="4"/>
  <c r="E25" i="4"/>
  <c r="A26" i="4"/>
  <c r="B26" i="4"/>
  <c r="C26" i="4"/>
  <c r="D26" i="4"/>
  <c r="E26" i="4"/>
  <c r="A27" i="4"/>
  <c r="B27" i="4"/>
  <c r="C27" i="4"/>
  <c r="D27" i="4"/>
  <c r="E27" i="4"/>
  <c r="A28" i="4"/>
  <c r="B28" i="4"/>
  <c r="C28" i="4"/>
  <c r="D28" i="4"/>
  <c r="E28" i="4"/>
  <c r="A29" i="4"/>
  <c r="B29" i="4"/>
  <c r="C29" i="4"/>
  <c r="D29" i="4"/>
  <c r="E29" i="4"/>
  <c r="A30" i="4"/>
  <c r="B30" i="4"/>
  <c r="C30" i="4"/>
  <c r="D30" i="4"/>
  <c r="E30" i="4"/>
  <c r="A31" i="4"/>
  <c r="B31" i="4"/>
  <c r="C31" i="4"/>
  <c r="D31" i="4"/>
  <c r="E31" i="4"/>
  <c r="A32" i="4"/>
  <c r="B32" i="4"/>
  <c r="C32" i="4"/>
  <c r="D32" i="4"/>
  <c r="E32" i="4"/>
  <c r="A33" i="4"/>
  <c r="B33" i="4"/>
  <c r="C33" i="4"/>
  <c r="D33" i="4"/>
  <c r="E33" i="4"/>
  <c r="A34" i="4"/>
  <c r="B34" i="4"/>
  <c r="C34" i="4"/>
  <c r="D34" i="4"/>
  <c r="E34" i="4"/>
  <c r="A35" i="4"/>
  <c r="B35" i="4"/>
  <c r="C35" i="4"/>
  <c r="D35" i="4"/>
  <c r="E35" i="4"/>
  <c r="A36" i="4"/>
  <c r="B36" i="4"/>
  <c r="C36" i="4"/>
  <c r="D36" i="4"/>
  <c r="E36" i="4"/>
  <c r="A37" i="4"/>
  <c r="B37" i="4"/>
  <c r="C37" i="4"/>
  <c r="D37" i="4"/>
  <c r="E37" i="4"/>
  <c r="A38" i="4"/>
  <c r="B38" i="4"/>
  <c r="C38" i="4"/>
  <c r="D38" i="4"/>
  <c r="E38" i="4"/>
  <c r="A39" i="4"/>
  <c r="B39" i="4"/>
  <c r="C39" i="4"/>
  <c r="D39" i="4"/>
  <c r="E39" i="4"/>
  <c r="A40" i="4"/>
  <c r="B40" i="4"/>
  <c r="C40" i="4"/>
  <c r="D40" i="4"/>
  <c r="E40" i="4"/>
  <c r="A41" i="4"/>
  <c r="B41" i="4"/>
  <c r="C41" i="4"/>
  <c r="D41" i="4"/>
  <c r="E41" i="4"/>
  <c r="B1" i="4"/>
  <c r="C1" i="4"/>
  <c r="D1" i="4"/>
  <c r="E1" i="4"/>
  <c r="A1" i="4"/>
  <c r="G5" i="1"/>
  <c r="O5" i="1"/>
  <c r="G3" i="1"/>
  <c r="O3" i="1"/>
  <c r="G13" i="2"/>
  <c r="F13" i="2"/>
  <c r="G4" i="2"/>
  <c r="G6" i="2"/>
  <c r="G10" i="2"/>
  <c r="G3" i="2"/>
  <c r="G11" i="2"/>
  <c r="G5" i="2"/>
  <c r="G8" i="2"/>
  <c r="G12" i="2"/>
  <c r="G9" i="2"/>
  <c r="G7" i="2"/>
</calcChain>
</file>

<file path=xl/sharedStrings.xml><?xml version="1.0" encoding="utf-8"?>
<sst xmlns="http://schemas.openxmlformats.org/spreadsheetml/2006/main" count="92" uniqueCount="87">
  <si>
    <t>Albánia</t>
  </si>
  <si>
    <t>Ausztria</t>
  </si>
  <si>
    <t>Belarusszia</t>
  </si>
  <si>
    <t>Belgium</t>
  </si>
  <si>
    <t>Bosznia és Hercegovina</t>
  </si>
  <si>
    <t>Bulgária</t>
  </si>
  <si>
    <t>Horvátország</t>
  </si>
  <si>
    <t>Csehország</t>
  </si>
  <si>
    <t>Dánia</t>
  </si>
  <si>
    <t>Észtország</t>
  </si>
  <si>
    <t>Finnország</t>
  </si>
  <si>
    <t>Franciaország</t>
  </si>
  <si>
    <t>Grúzia</t>
  </si>
  <si>
    <t>Németország</t>
  </si>
  <si>
    <t>Görögország</t>
  </si>
  <si>
    <t>Magyarország</t>
  </si>
  <si>
    <t>Izland</t>
  </si>
  <si>
    <t>Írország</t>
  </si>
  <si>
    <t>Olaszország</t>
  </si>
  <si>
    <t>Koszovó</t>
  </si>
  <si>
    <t>Lettország</t>
  </si>
  <si>
    <t>Litvánia</t>
  </si>
  <si>
    <t>Macedónia</t>
  </si>
  <si>
    <t>Málta</t>
  </si>
  <si>
    <t>Montenegró</t>
  </si>
  <si>
    <t>Hollandia</t>
  </si>
  <si>
    <t>Norvégia</t>
  </si>
  <si>
    <t>Lengyelország</t>
  </si>
  <si>
    <t>Portugália</t>
  </si>
  <si>
    <t>Románia</t>
  </si>
  <si>
    <t>Oroszország</t>
  </si>
  <si>
    <t>Szerbia</t>
  </si>
  <si>
    <t>Szlovákia</t>
  </si>
  <si>
    <t>Szlovénia</t>
  </si>
  <si>
    <t>Spanyolország</t>
  </si>
  <si>
    <t>Svédország</t>
  </si>
  <si>
    <t>Svájc</t>
  </si>
  <si>
    <t>Törökország</t>
  </si>
  <si>
    <t>Ukrajna</t>
  </si>
  <si>
    <t>Egyesült Királyság</t>
  </si>
  <si>
    <t>Ország</t>
  </si>
  <si>
    <t>Legrégebbi nemzeti park</t>
  </si>
  <si>
    <t>Nemzeti parkok száma</t>
  </si>
  <si>
    <t>Teljes terület</t>
  </si>
  <si>
    <t>Arány az ország területéhez képest</t>
  </si>
  <si>
    <t>Nemzeti parkok (NP)</t>
  </si>
  <si>
    <t>177/NP/85</t>
  </si>
  <si>
    <t>Aggteleki NP</t>
  </si>
  <si>
    <t>Jósvafő</t>
  </si>
  <si>
    <t>282/NP/97</t>
  </si>
  <si>
    <t>Balaton-felvidéki NP</t>
  </si>
  <si>
    <t>Csopak</t>
  </si>
  <si>
    <t>138/NP/76</t>
  </si>
  <si>
    <t>Bükki NP</t>
  </si>
  <si>
    <t>Eger</t>
  </si>
  <si>
    <t>271/NP/96</t>
  </si>
  <si>
    <t>Duna–Dráva NP</t>
  </si>
  <si>
    <t>Pécs</t>
  </si>
  <si>
    <t>283/NP/97</t>
  </si>
  <si>
    <t>Duna–Ipoly NP</t>
  </si>
  <si>
    <t>Budapest</t>
  </si>
  <si>
    <t>238/NP/91</t>
  </si>
  <si>
    <t>Fertő–Hanság NP</t>
  </si>
  <si>
    <t>Sarród</t>
  </si>
  <si>
    <t>97/NP/73</t>
  </si>
  <si>
    <t>Hortobágyi NP</t>
  </si>
  <si>
    <t>Debrecen</t>
  </si>
  <si>
    <t>109/NP/74</t>
  </si>
  <si>
    <t>Kiskunsági NP</t>
  </si>
  <si>
    <t>Kecskemét</t>
  </si>
  <si>
    <t>276/NP/97</t>
  </si>
  <si>
    <t>Körös–Maros NP</t>
  </si>
  <si>
    <t>Szarvas</t>
  </si>
  <si>
    <t>296/NP/02</t>
  </si>
  <si>
    <t>Őrségi NP</t>
  </si>
  <si>
    <t>Őriszentpéter</t>
  </si>
  <si>
    <t>Sorszám</t>
  </si>
  <si>
    <t>Törzskönyvi szám</t>
  </si>
  <si>
    <t>NP neve</t>
  </si>
  <si>
    <t>Székhely</t>
  </si>
  <si>
    <t>Alapítás éve</t>
  </si>
  <si>
    <t>Terület</t>
  </si>
  <si>
    <t>Terület aránya</t>
  </si>
  <si>
    <t>A nemzeti parkok területe a legnagyobb:</t>
  </si>
  <si>
    <t>Több nemzeti parkkal rendelkezik, mint Magyarország:</t>
  </si>
  <si>
    <t>&lt;2,5%</t>
  </si>
  <si>
    <t>&gt;10%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</si>
</sst>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#,##0.00&quot; ha&quot;"/>
    <numFmt numFmtId="171" formatCode="0.00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10" fontId="0" fillId="0" borderId="0" xfId="0" applyNumberForma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3" fontId="0" fillId="0" borderId="0" xfId="0" applyNumberFormat="1"/>
    <xf numFmtId="10" fontId="0" fillId="0" borderId="0" xfId="1" applyNumberFormat="1" applyFont="1"/>
    <xf numFmtId="165" fontId="0" fillId="0" borderId="0" xfId="0" applyNumberFormat="1" applyAlignment="1">
      <alignment horizontal="center"/>
    </xf>
    <xf numFmtId="171" fontId="0" fillId="0" borderId="0" xfId="1" applyNumberFormat="1" applyFont="1" applyAlignment="1">
      <alignment horizontal="center"/>
    </xf>
    <xf numFmtId="165" fontId="2" fillId="0" borderId="0" xfId="0" applyNumberFormat="1" applyFont="1"/>
    <xf numFmtId="171" fontId="2" fillId="0" borderId="0" xfId="0" applyNumberFormat="1" applyFont="1"/>
    <xf numFmtId="0" fontId="2" fillId="0" borderId="0" xfId="0" applyFont="1" applyAlignment="1">
      <alignment horizontal="center" vertical="center"/>
    </xf>
  </cellXfs>
  <cellStyles count="2">
    <cellStyle name="Normál" xfId="0" builtinId="0"/>
    <cellStyle name="Százalék" xfId="1" builtinId="5"/>
  </cellStyles>
  <dxfs count="10">
    <dxf>
      <font>
        <color rgb="FFFF0000"/>
      </font>
    </dxf>
    <dxf>
      <fill>
        <patternFill>
          <bgColor theme="4" tint="0.39994506668294322"/>
        </patternFill>
      </fill>
    </dxf>
    <dxf>
      <font>
        <b/>
        <i val="0"/>
        <color rgb="FFFF0000"/>
      </font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1"/>
  <sheetViews>
    <sheetView zoomScaleNormal="100" workbookViewId="0">
      <pane ySplit="1" topLeftCell="A2" activePane="bottomLeft" state="frozen"/>
      <selection pane="bottomLeft" activeCell="K13" sqref="K13"/>
    </sheetView>
  </sheetViews>
  <sheetFormatPr defaultRowHeight="15" x14ac:dyDescent="0.25"/>
  <cols>
    <col min="1" max="1" width="22" bestFit="1" customWidth="1"/>
    <col min="2" max="2" width="12.5703125" style="3" customWidth="1"/>
    <col min="3" max="3" width="15" style="3" customWidth="1"/>
    <col min="5" max="5" width="19.140625" customWidth="1"/>
  </cols>
  <sheetData>
    <row r="1" spans="1:16" ht="30" x14ac:dyDescent="0.25">
      <c r="A1" s="2" t="s">
        <v>40</v>
      </c>
      <c r="B1" s="2" t="s">
        <v>41</v>
      </c>
      <c r="C1" s="2" t="s">
        <v>42</v>
      </c>
      <c r="D1" s="2" t="s">
        <v>43</v>
      </c>
      <c r="E1" s="2" t="s">
        <v>44</v>
      </c>
    </row>
    <row r="2" spans="1:16" x14ac:dyDescent="0.25">
      <c r="A2" t="s">
        <v>0</v>
      </c>
      <c r="B2" s="3">
        <v>1966</v>
      </c>
      <c r="C2" s="3">
        <v>14</v>
      </c>
      <c r="D2">
        <v>1177</v>
      </c>
      <c r="E2" s="1">
        <v>4.1000000000000002E-2</v>
      </c>
      <c r="G2" t="s">
        <v>83</v>
      </c>
      <c r="O2" s="12" t="s">
        <v>43</v>
      </c>
    </row>
    <row r="3" spans="1:16" x14ac:dyDescent="0.25">
      <c r="A3" t="s">
        <v>1</v>
      </c>
      <c r="B3" s="3">
        <v>1981</v>
      </c>
      <c r="C3" s="3">
        <v>7</v>
      </c>
      <c r="D3">
        <v>2521</v>
      </c>
      <c r="E3" s="1">
        <v>0.03</v>
      </c>
      <c r="G3" t="str">
        <f>DGET(adatbázis,A1,O2:O3)</f>
        <v>Oroszország</v>
      </c>
      <c r="O3">
        <f>MAX(D2:D41)</f>
        <v>73000</v>
      </c>
    </row>
    <row r="4" spans="1:16" x14ac:dyDescent="0.25">
      <c r="A4" t="s">
        <v>2</v>
      </c>
      <c r="B4" s="3">
        <v>1939</v>
      </c>
      <c r="C4" s="3">
        <v>4</v>
      </c>
      <c r="D4">
        <v>2222</v>
      </c>
      <c r="E4" s="1">
        <v>0.01</v>
      </c>
      <c r="G4" t="s">
        <v>84</v>
      </c>
      <c r="O4" s="12" t="s">
        <v>42</v>
      </c>
      <c r="P4" s="2" t="s">
        <v>40</v>
      </c>
    </row>
    <row r="5" spans="1:16" x14ac:dyDescent="0.25">
      <c r="A5" t="s">
        <v>3</v>
      </c>
      <c r="B5" s="3">
        <v>2006</v>
      </c>
      <c r="C5" s="3">
        <v>1</v>
      </c>
      <c r="D5">
        <v>57</v>
      </c>
      <c r="E5" s="1">
        <v>2E-3</v>
      </c>
      <c r="G5">
        <f>DCOUNT(adatbázis,C1,O4:O5)</f>
        <v>14</v>
      </c>
      <c r="O5" s="3" t="str">
        <f>"&gt;"&amp;DGET(adatbázis,C1,P4:P5)</f>
        <v>&gt;10</v>
      </c>
      <c r="P5" t="s">
        <v>15</v>
      </c>
    </row>
    <row r="6" spans="1:16" x14ac:dyDescent="0.25">
      <c r="A6" t="s">
        <v>4</v>
      </c>
      <c r="B6" s="3">
        <v>1965</v>
      </c>
      <c r="C6" s="3">
        <v>3</v>
      </c>
      <c r="D6">
        <v>404</v>
      </c>
      <c r="E6" s="1">
        <v>8.0000000000000002E-3</v>
      </c>
    </row>
    <row r="7" spans="1:16" x14ac:dyDescent="0.25">
      <c r="A7" t="s">
        <v>5</v>
      </c>
      <c r="B7" s="3">
        <v>1963</v>
      </c>
      <c r="C7" s="3">
        <v>3</v>
      </c>
      <c r="D7">
        <v>1930</v>
      </c>
      <c r="E7" s="1">
        <v>1.7999999999999999E-2</v>
      </c>
    </row>
    <row r="8" spans="1:16" x14ac:dyDescent="0.25">
      <c r="A8" t="s">
        <v>6</v>
      </c>
      <c r="B8" s="3">
        <v>1949</v>
      </c>
      <c r="C8" s="3">
        <v>8</v>
      </c>
      <c r="D8">
        <v>994</v>
      </c>
      <c r="E8" s="1">
        <v>1.7999999999999999E-2</v>
      </c>
    </row>
    <row r="9" spans="1:16" x14ac:dyDescent="0.25">
      <c r="A9" t="s">
        <v>7</v>
      </c>
      <c r="B9" s="3">
        <v>1963</v>
      </c>
      <c r="C9" s="3">
        <v>4</v>
      </c>
      <c r="D9">
        <v>1190</v>
      </c>
      <c r="E9" s="1">
        <v>1.4999999999999999E-2</v>
      </c>
    </row>
    <row r="10" spans="1:16" x14ac:dyDescent="0.25">
      <c r="A10" t="s">
        <v>8</v>
      </c>
      <c r="B10" s="3">
        <v>1974</v>
      </c>
      <c r="C10" s="3">
        <v>3</v>
      </c>
      <c r="D10">
        <v>1889</v>
      </c>
      <c r="E10" s="1">
        <v>4.3799999999999999E-2</v>
      </c>
    </row>
    <row r="11" spans="1:16" x14ac:dyDescent="0.25">
      <c r="A11" t="s">
        <v>9</v>
      </c>
      <c r="B11" s="3">
        <v>1971</v>
      </c>
      <c r="C11" s="3">
        <v>5</v>
      </c>
      <c r="D11">
        <v>1927</v>
      </c>
      <c r="E11" s="1">
        <v>4.2999999999999997E-2</v>
      </c>
    </row>
    <row r="12" spans="1:16" x14ac:dyDescent="0.25">
      <c r="A12" t="s">
        <v>10</v>
      </c>
      <c r="B12" s="3">
        <v>1956</v>
      </c>
      <c r="C12" s="3">
        <v>39</v>
      </c>
      <c r="D12">
        <v>9892</v>
      </c>
      <c r="E12" s="1">
        <v>2.9000000000000001E-2</v>
      </c>
    </row>
    <row r="13" spans="1:16" x14ac:dyDescent="0.25">
      <c r="A13" t="s">
        <v>11</v>
      </c>
      <c r="B13" s="3">
        <v>1963</v>
      </c>
      <c r="C13" s="3">
        <v>10</v>
      </c>
      <c r="D13">
        <v>60728</v>
      </c>
      <c r="E13" s="1">
        <v>9.5000000000000001E-2</v>
      </c>
    </row>
    <row r="14" spans="1:16" x14ac:dyDescent="0.25">
      <c r="A14" t="s">
        <v>12</v>
      </c>
      <c r="B14" s="3">
        <v>1946</v>
      </c>
      <c r="C14" s="3">
        <v>9</v>
      </c>
      <c r="D14">
        <v>5111</v>
      </c>
      <c r="E14" s="1">
        <v>7.0000000000000007E-2</v>
      </c>
    </row>
    <row r="15" spans="1:16" x14ac:dyDescent="0.25">
      <c r="A15" t="s">
        <v>13</v>
      </c>
      <c r="B15" s="3">
        <v>1970</v>
      </c>
      <c r="C15" s="3">
        <v>15</v>
      </c>
      <c r="D15">
        <v>10395</v>
      </c>
      <c r="E15" s="1">
        <v>2.7E-2</v>
      </c>
    </row>
    <row r="16" spans="1:16" x14ac:dyDescent="0.25">
      <c r="A16" t="s">
        <v>14</v>
      </c>
      <c r="B16" s="3">
        <v>1938</v>
      </c>
      <c r="C16" s="3">
        <v>10</v>
      </c>
      <c r="D16">
        <v>6960</v>
      </c>
      <c r="E16" s="1">
        <v>3.5999999999999997E-2</v>
      </c>
    </row>
    <row r="17" spans="1:5" x14ac:dyDescent="0.25">
      <c r="A17" t="s">
        <v>15</v>
      </c>
      <c r="B17" s="3">
        <v>1973</v>
      </c>
      <c r="C17" s="3">
        <v>10</v>
      </c>
      <c r="D17">
        <v>4807</v>
      </c>
      <c r="E17" s="1">
        <v>5.1999999999999998E-2</v>
      </c>
    </row>
    <row r="18" spans="1:5" x14ac:dyDescent="0.25">
      <c r="A18" t="s">
        <v>16</v>
      </c>
      <c r="B18" s="3">
        <v>1928</v>
      </c>
      <c r="C18" s="3">
        <v>3</v>
      </c>
      <c r="D18">
        <v>12407</v>
      </c>
      <c r="E18" s="1">
        <v>0.121</v>
      </c>
    </row>
    <row r="19" spans="1:5" x14ac:dyDescent="0.25">
      <c r="A19" t="s">
        <v>17</v>
      </c>
      <c r="B19" s="3">
        <v>1932</v>
      </c>
      <c r="C19" s="3">
        <v>6</v>
      </c>
      <c r="D19">
        <v>650</v>
      </c>
      <c r="E19" s="1">
        <v>8.9999999999999993E-3</v>
      </c>
    </row>
    <row r="20" spans="1:5" x14ac:dyDescent="0.25">
      <c r="A20" t="s">
        <v>18</v>
      </c>
      <c r="B20" s="3">
        <v>1922</v>
      </c>
      <c r="C20" s="3">
        <v>24</v>
      </c>
      <c r="D20">
        <v>15000</v>
      </c>
      <c r="E20" s="1">
        <v>0.05</v>
      </c>
    </row>
    <row r="21" spans="1:5" x14ac:dyDescent="0.25">
      <c r="A21" t="s">
        <v>19</v>
      </c>
      <c r="B21" s="3">
        <v>1986</v>
      </c>
      <c r="C21" s="3">
        <v>2</v>
      </c>
      <c r="D21">
        <v>1015</v>
      </c>
      <c r="E21" s="1">
        <v>9.2999999999999999E-2</v>
      </c>
    </row>
    <row r="22" spans="1:5" x14ac:dyDescent="0.25">
      <c r="A22" t="s">
        <v>20</v>
      </c>
      <c r="B22" s="3">
        <v>1973</v>
      </c>
      <c r="C22" s="3">
        <v>4</v>
      </c>
      <c r="D22">
        <v>2065</v>
      </c>
      <c r="E22" s="1">
        <v>3.2000000000000001E-2</v>
      </c>
    </row>
    <row r="23" spans="1:5" x14ac:dyDescent="0.25">
      <c r="A23" t="s">
        <v>21</v>
      </c>
      <c r="B23" s="3">
        <v>1974</v>
      </c>
      <c r="C23" s="3">
        <v>5</v>
      </c>
      <c r="D23">
        <v>1554</v>
      </c>
      <c r="E23" s="1">
        <v>2.4E-2</v>
      </c>
    </row>
    <row r="24" spans="1:5" x14ac:dyDescent="0.25">
      <c r="A24" t="s">
        <v>22</v>
      </c>
      <c r="B24" s="3">
        <v>1948</v>
      </c>
      <c r="C24" s="3">
        <v>3</v>
      </c>
      <c r="D24">
        <v>974</v>
      </c>
      <c r="E24" s="1">
        <v>3.7999999999999999E-2</v>
      </c>
    </row>
    <row r="25" spans="1:5" x14ac:dyDescent="0.25">
      <c r="A25" t="s">
        <v>23</v>
      </c>
      <c r="B25" s="3">
        <v>2007</v>
      </c>
      <c r="C25" s="3">
        <v>1</v>
      </c>
      <c r="D25">
        <v>2.5</v>
      </c>
      <c r="E25" s="1">
        <v>6.8999999999999999E-3</v>
      </c>
    </row>
    <row r="26" spans="1:5" x14ac:dyDescent="0.25">
      <c r="A26" t="s">
        <v>24</v>
      </c>
      <c r="B26" s="3">
        <v>1952</v>
      </c>
      <c r="C26" s="3">
        <v>5</v>
      </c>
      <c r="D26">
        <v>1096</v>
      </c>
      <c r="E26" s="1">
        <v>7.9000000000000001E-2</v>
      </c>
    </row>
    <row r="27" spans="1:5" x14ac:dyDescent="0.25">
      <c r="A27" t="s">
        <v>25</v>
      </c>
      <c r="B27" s="3">
        <v>1930</v>
      </c>
      <c r="C27" s="3">
        <v>20</v>
      </c>
      <c r="D27">
        <v>1251</v>
      </c>
      <c r="E27" s="1">
        <v>0.03</v>
      </c>
    </row>
    <row r="28" spans="1:5" x14ac:dyDescent="0.25">
      <c r="A28" t="s">
        <v>26</v>
      </c>
      <c r="B28" s="3">
        <v>1962</v>
      </c>
      <c r="C28" s="3">
        <v>36</v>
      </c>
      <c r="D28">
        <v>24060</v>
      </c>
      <c r="E28" s="1">
        <v>6.3E-2</v>
      </c>
    </row>
    <row r="29" spans="1:5" x14ac:dyDescent="0.25">
      <c r="A29" t="s">
        <v>27</v>
      </c>
      <c r="B29" s="3">
        <v>1932</v>
      </c>
      <c r="C29" s="3">
        <v>23</v>
      </c>
      <c r="D29">
        <v>3149</v>
      </c>
      <c r="E29" s="1">
        <v>0.01</v>
      </c>
    </row>
    <row r="30" spans="1:5" x14ac:dyDescent="0.25">
      <c r="A30" t="s">
        <v>28</v>
      </c>
      <c r="B30" s="3">
        <v>1971</v>
      </c>
      <c r="C30" s="3">
        <v>1</v>
      </c>
      <c r="D30">
        <v>702</v>
      </c>
      <c r="E30" s="1">
        <v>8.0000000000000002E-3</v>
      </c>
    </row>
    <row r="31" spans="1:5" x14ac:dyDescent="0.25">
      <c r="A31" t="s">
        <v>29</v>
      </c>
      <c r="B31" s="3">
        <v>1935</v>
      </c>
      <c r="C31" s="3">
        <v>12</v>
      </c>
      <c r="D31">
        <v>3158</v>
      </c>
      <c r="E31" s="1">
        <v>1.2999999999999999E-2</v>
      </c>
    </row>
    <row r="32" spans="1:5" x14ac:dyDescent="0.25">
      <c r="A32" t="s">
        <v>30</v>
      </c>
      <c r="B32" s="3">
        <v>1983</v>
      </c>
      <c r="C32" s="3">
        <v>40</v>
      </c>
      <c r="D32">
        <v>73000</v>
      </c>
      <c r="E32" s="1">
        <v>4.0000000000000001E-3</v>
      </c>
    </row>
    <row r="33" spans="1:5" x14ac:dyDescent="0.25">
      <c r="A33" t="s">
        <v>31</v>
      </c>
      <c r="B33" s="3">
        <v>1960</v>
      </c>
      <c r="C33" s="3">
        <v>5</v>
      </c>
      <c r="D33">
        <v>1775</v>
      </c>
      <c r="E33" s="1">
        <v>2.3E-2</v>
      </c>
    </row>
    <row r="34" spans="1:5" x14ac:dyDescent="0.25">
      <c r="A34" t="s">
        <v>32</v>
      </c>
      <c r="B34" s="3">
        <v>1949</v>
      </c>
      <c r="C34" s="3">
        <v>9</v>
      </c>
      <c r="D34">
        <v>3690</v>
      </c>
      <c r="E34" s="1">
        <v>7.4999999999999997E-2</v>
      </c>
    </row>
    <row r="35" spans="1:5" x14ac:dyDescent="0.25">
      <c r="A35" t="s">
        <v>33</v>
      </c>
      <c r="B35" s="3">
        <v>1961</v>
      </c>
      <c r="C35" s="3">
        <v>1</v>
      </c>
      <c r="D35">
        <v>838</v>
      </c>
      <c r="E35" s="1">
        <v>4.1000000000000002E-2</v>
      </c>
    </row>
    <row r="36" spans="1:5" x14ac:dyDescent="0.25">
      <c r="A36" t="s">
        <v>34</v>
      </c>
      <c r="B36" s="3">
        <v>1918</v>
      </c>
      <c r="C36" s="3">
        <v>15</v>
      </c>
      <c r="D36">
        <v>3787</v>
      </c>
      <c r="E36" s="1">
        <v>8.0000000000000002E-3</v>
      </c>
    </row>
    <row r="37" spans="1:5" x14ac:dyDescent="0.25">
      <c r="A37" t="s">
        <v>35</v>
      </c>
      <c r="B37" s="3">
        <v>1909</v>
      </c>
      <c r="C37" s="3">
        <v>29</v>
      </c>
      <c r="D37">
        <v>7199</v>
      </c>
      <c r="E37" s="1">
        <v>1.6E-2</v>
      </c>
    </row>
    <row r="38" spans="1:5" x14ac:dyDescent="0.25">
      <c r="A38" t="s">
        <v>36</v>
      </c>
      <c r="B38" s="3">
        <v>1914</v>
      </c>
      <c r="C38" s="3">
        <v>1</v>
      </c>
      <c r="D38">
        <v>170</v>
      </c>
      <c r="E38" s="1">
        <v>4.0000000000000001E-3</v>
      </c>
    </row>
    <row r="39" spans="1:5" x14ac:dyDescent="0.25">
      <c r="A39" t="s">
        <v>37</v>
      </c>
      <c r="B39" s="3">
        <v>1958</v>
      </c>
      <c r="C39" s="3">
        <v>40</v>
      </c>
      <c r="D39">
        <v>8481</v>
      </c>
      <c r="E39" s="1">
        <v>0.01</v>
      </c>
    </row>
    <row r="40" spans="1:5" x14ac:dyDescent="0.25">
      <c r="A40" t="s">
        <v>38</v>
      </c>
      <c r="B40" s="3">
        <v>1980</v>
      </c>
      <c r="C40" s="3">
        <v>17</v>
      </c>
      <c r="D40">
        <v>7020</v>
      </c>
      <c r="E40" s="1">
        <v>1.2E-2</v>
      </c>
    </row>
    <row r="41" spans="1:5" x14ac:dyDescent="0.25">
      <c r="A41" t="s">
        <v>39</v>
      </c>
      <c r="B41" s="3">
        <v>1951</v>
      </c>
      <c r="C41" s="3">
        <v>15</v>
      </c>
      <c r="D41">
        <v>19989</v>
      </c>
      <c r="E41" s="1">
        <v>8.2000000000000003E-2</v>
      </c>
    </row>
  </sheetData>
  <conditionalFormatting sqref="A2:E41">
    <cfRule type="expression" dxfId="3" priority="2">
      <formula>$E2&gt;0.05</formula>
    </cfRule>
    <cfRule type="expression" dxfId="2" priority="1">
      <formula>$B2&lt;$B$17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0E7C2-B7BF-43A5-A6E4-FC73A160B0B6}">
  <dimension ref="A1:H41"/>
  <sheetViews>
    <sheetView tabSelected="1" workbookViewId="0">
      <pane ySplit="1" topLeftCell="A2" activePane="bottomLeft" state="frozen"/>
      <selection pane="bottomLeft" activeCell="K8" sqref="K8"/>
    </sheetView>
  </sheetViews>
  <sheetFormatPr defaultRowHeight="15" x14ac:dyDescent="0.25"/>
  <cols>
    <col min="1" max="1" width="22" bestFit="1" customWidth="1"/>
    <col min="2" max="2" width="20.7109375" customWidth="1"/>
    <col min="3" max="3" width="17.28515625" customWidth="1"/>
    <col min="4" max="4" width="12.85546875" bestFit="1" customWidth="1"/>
    <col min="5" max="5" width="17.85546875" customWidth="1"/>
  </cols>
  <sheetData>
    <row r="1" spans="1:8" s="2" customFormat="1" ht="45" x14ac:dyDescent="0.25">
      <c r="A1" s="2" t="str">
        <f>Európa!A1</f>
        <v>Ország</v>
      </c>
      <c r="B1" s="2" t="str">
        <f>Európa!B1</f>
        <v>Legrégebbi nemzeti park</v>
      </c>
      <c r="C1" s="2" t="str">
        <f>Európa!C1</f>
        <v>Nemzeti parkok száma</v>
      </c>
      <c r="D1" s="2" t="str">
        <f>Európa!D1</f>
        <v>Teljes terület</v>
      </c>
      <c r="E1" s="2" t="str">
        <f>Európa!E1</f>
        <v>Arány az ország területéhez képest</v>
      </c>
    </row>
    <row r="2" spans="1:8" x14ac:dyDescent="0.25">
      <c r="A2" t="str">
        <f>Európa!A2</f>
        <v>Albánia</v>
      </c>
      <c r="B2">
        <f>Európa!B2</f>
        <v>1966</v>
      </c>
      <c r="C2">
        <f>Európa!C2</f>
        <v>14</v>
      </c>
      <c r="D2">
        <f>Európa!D2</f>
        <v>1177</v>
      </c>
      <c r="E2" s="7">
        <f>Európa!E2</f>
        <v>4.1000000000000002E-2</v>
      </c>
      <c r="H2" s="12" t="s">
        <v>44</v>
      </c>
    </row>
    <row r="3" spans="1:8" x14ac:dyDescent="0.25">
      <c r="A3" t="str">
        <f>Európa!A3</f>
        <v>Ausztria</v>
      </c>
      <c r="B3">
        <f>Európa!B3</f>
        <v>1981</v>
      </c>
      <c r="C3">
        <f>Európa!C3</f>
        <v>7</v>
      </c>
      <c r="D3">
        <f>Európa!D3</f>
        <v>2521</v>
      </c>
      <c r="E3" s="7">
        <f>Európa!E3</f>
        <v>0.03</v>
      </c>
      <c r="H3" s="7" t="s">
        <v>85</v>
      </c>
    </row>
    <row r="4" spans="1:8" x14ac:dyDescent="0.25">
      <c r="A4" t="str">
        <f>Európa!A4</f>
        <v>Belarusszia</v>
      </c>
      <c r="B4">
        <f>Európa!B4</f>
        <v>1939</v>
      </c>
      <c r="C4">
        <f>Európa!C4</f>
        <v>4</v>
      </c>
      <c r="D4">
        <f>Európa!D4</f>
        <v>2222</v>
      </c>
      <c r="E4" s="7">
        <f>Európa!E4</f>
        <v>0.01</v>
      </c>
      <c r="H4" t="s">
        <v>86</v>
      </c>
    </row>
    <row r="5" spans="1:8" x14ac:dyDescent="0.25">
      <c r="A5" t="str">
        <f>Európa!A5</f>
        <v>Belgium</v>
      </c>
      <c r="B5">
        <f>Európa!B5</f>
        <v>2006</v>
      </c>
      <c r="C5">
        <f>Európa!C5</f>
        <v>1</v>
      </c>
      <c r="D5">
        <f>Európa!D5</f>
        <v>57</v>
      </c>
      <c r="E5" s="7">
        <f>Európa!E5</f>
        <v>2E-3</v>
      </c>
    </row>
    <row r="6" spans="1:8" x14ac:dyDescent="0.25">
      <c r="A6" t="str">
        <f>Európa!A6</f>
        <v>Bosznia és Hercegovina</v>
      </c>
      <c r="B6">
        <f>Európa!B6</f>
        <v>1965</v>
      </c>
      <c r="C6">
        <f>Európa!C6</f>
        <v>3</v>
      </c>
      <c r="D6">
        <f>Európa!D6</f>
        <v>404</v>
      </c>
      <c r="E6" s="7">
        <f>Európa!E6</f>
        <v>8.0000000000000002E-3</v>
      </c>
    </row>
    <row r="7" spans="1:8" x14ac:dyDescent="0.25">
      <c r="A7" t="str">
        <f>Európa!A7</f>
        <v>Bulgária</v>
      </c>
      <c r="B7">
        <f>Európa!B7</f>
        <v>1963</v>
      </c>
      <c r="C7">
        <f>Európa!C7</f>
        <v>3</v>
      </c>
      <c r="D7">
        <f>Európa!D7</f>
        <v>1930</v>
      </c>
      <c r="E7" s="7">
        <f>Európa!E7</f>
        <v>1.7999999999999999E-2</v>
      </c>
    </row>
    <row r="8" spans="1:8" x14ac:dyDescent="0.25">
      <c r="A8" t="str">
        <f>Európa!A8</f>
        <v>Horvátország</v>
      </c>
      <c r="B8">
        <f>Európa!B8</f>
        <v>1949</v>
      </c>
      <c r="C8">
        <f>Európa!C8</f>
        <v>8</v>
      </c>
      <c r="D8">
        <f>Európa!D8</f>
        <v>994</v>
      </c>
      <c r="E8" s="7">
        <f>Európa!E8</f>
        <v>1.7999999999999999E-2</v>
      </c>
    </row>
    <row r="9" spans="1:8" x14ac:dyDescent="0.25">
      <c r="A9" t="str">
        <f>Európa!A9</f>
        <v>Csehország</v>
      </c>
      <c r="B9">
        <f>Európa!B9</f>
        <v>1963</v>
      </c>
      <c r="C9">
        <f>Európa!C9</f>
        <v>4</v>
      </c>
      <c r="D9">
        <f>Európa!D9</f>
        <v>1190</v>
      </c>
      <c r="E9" s="7">
        <f>Európa!E9</f>
        <v>1.4999999999999999E-2</v>
      </c>
    </row>
    <row r="10" spans="1:8" x14ac:dyDescent="0.25">
      <c r="A10" t="str">
        <f>Európa!A10</f>
        <v>Dánia</v>
      </c>
      <c r="B10">
        <f>Európa!B10</f>
        <v>1974</v>
      </c>
      <c r="C10">
        <f>Európa!C10</f>
        <v>3</v>
      </c>
      <c r="D10">
        <f>Európa!D10</f>
        <v>1889</v>
      </c>
      <c r="E10" s="7">
        <f>Európa!E10</f>
        <v>4.3799999999999999E-2</v>
      </c>
    </row>
    <row r="11" spans="1:8" x14ac:dyDescent="0.25">
      <c r="A11" t="str">
        <f>Európa!A11</f>
        <v>Észtország</v>
      </c>
      <c r="B11">
        <f>Európa!B11</f>
        <v>1971</v>
      </c>
      <c r="C11">
        <f>Európa!C11</f>
        <v>5</v>
      </c>
      <c r="D11">
        <f>Európa!D11</f>
        <v>1927</v>
      </c>
      <c r="E11" s="7">
        <f>Európa!E11</f>
        <v>4.2999999999999997E-2</v>
      </c>
    </row>
    <row r="12" spans="1:8" x14ac:dyDescent="0.25">
      <c r="A12" t="str">
        <f>Európa!A12</f>
        <v>Finnország</v>
      </c>
      <c r="B12">
        <f>Európa!B12</f>
        <v>1956</v>
      </c>
      <c r="C12">
        <f>Európa!C12</f>
        <v>39</v>
      </c>
      <c r="D12">
        <f>Európa!D12</f>
        <v>9892</v>
      </c>
      <c r="E12" s="7">
        <f>Európa!E12</f>
        <v>2.9000000000000001E-2</v>
      </c>
    </row>
    <row r="13" spans="1:8" x14ac:dyDescent="0.25">
      <c r="A13" t="str">
        <f>Európa!A13</f>
        <v>Franciaország</v>
      </c>
      <c r="B13">
        <f>Európa!B13</f>
        <v>1963</v>
      </c>
      <c r="C13">
        <f>Európa!C13</f>
        <v>10</v>
      </c>
      <c r="D13">
        <f>Európa!D13</f>
        <v>60728</v>
      </c>
      <c r="E13" s="7">
        <f>Európa!E13</f>
        <v>9.5000000000000001E-2</v>
      </c>
    </row>
    <row r="14" spans="1:8" x14ac:dyDescent="0.25">
      <c r="A14" t="str">
        <f>Európa!A14</f>
        <v>Grúzia</v>
      </c>
      <c r="B14">
        <f>Európa!B14</f>
        <v>1946</v>
      </c>
      <c r="C14">
        <f>Európa!C14</f>
        <v>9</v>
      </c>
      <c r="D14">
        <f>Európa!D14</f>
        <v>5111</v>
      </c>
      <c r="E14" s="7">
        <f>Európa!E14</f>
        <v>7.0000000000000007E-2</v>
      </c>
    </row>
    <row r="15" spans="1:8" x14ac:dyDescent="0.25">
      <c r="A15" t="str">
        <f>Európa!A15</f>
        <v>Németország</v>
      </c>
      <c r="B15">
        <f>Európa!B15</f>
        <v>1970</v>
      </c>
      <c r="C15">
        <f>Európa!C15</f>
        <v>15</v>
      </c>
      <c r="D15">
        <f>Európa!D15</f>
        <v>10395</v>
      </c>
      <c r="E15" s="7">
        <f>Európa!E15</f>
        <v>2.7E-2</v>
      </c>
    </row>
    <row r="16" spans="1:8" x14ac:dyDescent="0.25">
      <c r="A16" t="str">
        <f>Európa!A16</f>
        <v>Görögország</v>
      </c>
      <c r="B16">
        <f>Európa!B16</f>
        <v>1938</v>
      </c>
      <c r="C16">
        <f>Európa!C16</f>
        <v>10</v>
      </c>
      <c r="D16">
        <f>Európa!D16</f>
        <v>6960</v>
      </c>
      <c r="E16" s="7">
        <f>Európa!E16</f>
        <v>3.5999999999999997E-2</v>
      </c>
    </row>
    <row r="17" spans="1:5" x14ac:dyDescent="0.25">
      <c r="A17" t="str">
        <f>Európa!A17</f>
        <v>Magyarország</v>
      </c>
      <c r="B17">
        <f>Európa!B17</f>
        <v>1973</v>
      </c>
      <c r="C17">
        <f>Európa!C17</f>
        <v>10</v>
      </c>
      <c r="D17">
        <f>Európa!D17</f>
        <v>4807</v>
      </c>
      <c r="E17" s="7">
        <f>Európa!E17</f>
        <v>5.1999999999999998E-2</v>
      </c>
    </row>
    <row r="18" spans="1:5" x14ac:dyDescent="0.25">
      <c r="A18" t="str">
        <f>Európa!A18</f>
        <v>Izland</v>
      </c>
      <c r="B18">
        <f>Európa!B18</f>
        <v>1928</v>
      </c>
      <c r="C18">
        <f>Európa!C18</f>
        <v>3</v>
      </c>
      <c r="D18">
        <f>Európa!D18</f>
        <v>12407</v>
      </c>
      <c r="E18" s="7">
        <f>Európa!E18</f>
        <v>0.121</v>
      </c>
    </row>
    <row r="19" spans="1:5" x14ac:dyDescent="0.25">
      <c r="A19" t="str">
        <f>Európa!A19</f>
        <v>Írország</v>
      </c>
      <c r="B19">
        <f>Európa!B19</f>
        <v>1932</v>
      </c>
      <c r="C19">
        <f>Európa!C19</f>
        <v>6</v>
      </c>
      <c r="D19">
        <f>Európa!D19</f>
        <v>650</v>
      </c>
      <c r="E19" s="7">
        <f>Európa!E19</f>
        <v>8.9999999999999993E-3</v>
      </c>
    </row>
    <row r="20" spans="1:5" x14ac:dyDescent="0.25">
      <c r="A20" t="str">
        <f>Európa!A20</f>
        <v>Olaszország</v>
      </c>
      <c r="B20">
        <f>Európa!B20</f>
        <v>1922</v>
      </c>
      <c r="C20">
        <f>Európa!C20</f>
        <v>24</v>
      </c>
      <c r="D20">
        <f>Európa!D20</f>
        <v>15000</v>
      </c>
      <c r="E20" s="7">
        <f>Európa!E20</f>
        <v>0.05</v>
      </c>
    </row>
    <row r="21" spans="1:5" x14ac:dyDescent="0.25">
      <c r="A21" t="str">
        <f>Európa!A21</f>
        <v>Koszovó</v>
      </c>
      <c r="B21">
        <f>Európa!B21</f>
        <v>1986</v>
      </c>
      <c r="C21">
        <f>Európa!C21</f>
        <v>2</v>
      </c>
      <c r="D21">
        <f>Európa!D21</f>
        <v>1015</v>
      </c>
      <c r="E21" s="7">
        <f>Európa!E21</f>
        <v>9.2999999999999999E-2</v>
      </c>
    </row>
    <row r="22" spans="1:5" x14ac:dyDescent="0.25">
      <c r="A22" t="str">
        <f>Európa!A22</f>
        <v>Lettország</v>
      </c>
      <c r="B22">
        <f>Európa!B22</f>
        <v>1973</v>
      </c>
      <c r="C22">
        <f>Európa!C22</f>
        <v>4</v>
      </c>
      <c r="D22">
        <f>Európa!D22</f>
        <v>2065</v>
      </c>
      <c r="E22" s="7">
        <f>Európa!E22</f>
        <v>3.2000000000000001E-2</v>
      </c>
    </row>
    <row r="23" spans="1:5" x14ac:dyDescent="0.25">
      <c r="A23" t="str">
        <f>Európa!A23</f>
        <v>Litvánia</v>
      </c>
      <c r="B23">
        <f>Európa!B23</f>
        <v>1974</v>
      </c>
      <c r="C23">
        <f>Európa!C23</f>
        <v>5</v>
      </c>
      <c r="D23">
        <f>Európa!D23</f>
        <v>1554</v>
      </c>
      <c r="E23" s="7">
        <f>Európa!E23</f>
        <v>2.4E-2</v>
      </c>
    </row>
    <row r="24" spans="1:5" x14ac:dyDescent="0.25">
      <c r="A24" t="str">
        <f>Európa!A24</f>
        <v>Macedónia</v>
      </c>
      <c r="B24">
        <f>Európa!B24</f>
        <v>1948</v>
      </c>
      <c r="C24">
        <f>Európa!C24</f>
        <v>3</v>
      </c>
      <c r="D24">
        <f>Európa!D24</f>
        <v>974</v>
      </c>
      <c r="E24" s="7">
        <f>Európa!E24</f>
        <v>3.7999999999999999E-2</v>
      </c>
    </row>
    <row r="25" spans="1:5" x14ac:dyDescent="0.25">
      <c r="A25" t="str">
        <f>Európa!A25</f>
        <v>Málta</v>
      </c>
      <c r="B25">
        <f>Európa!B25</f>
        <v>2007</v>
      </c>
      <c r="C25">
        <f>Európa!C25</f>
        <v>1</v>
      </c>
      <c r="D25">
        <f>Európa!D25</f>
        <v>2.5</v>
      </c>
      <c r="E25" s="7">
        <f>Európa!E25</f>
        <v>6.8999999999999999E-3</v>
      </c>
    </row>
    <row r="26" spans="1:5" x14ac:dyDescent="0.25">
      <c r="A26" t="str">
        <f>Európa!A26</f>
        <v>Montenegró</v>
      </c>
      <c r="B26">
        <f>Európa!B26</f>
        <v>1952</v>
      </c>
      <c r="C26">
        <f>Európa!C26</f>
        <v>5</v>
      </c>
      <c r="D26">
        <f>Európa!D26</f>
        <v>1096</v>
      </c>
      <c r="E26" s="7">
        <f>Európa!E26</f>
        <v>7.9000000000000001E-2</v>
      </c>
    </row>
    <row r="27" spans="1:5" x14ac:dyDescent="0.25">
      <c r="A27" t="str">
        <f>Európa!A27</f>
        <v>Hollandia</v>
      </c>
      <c r="B27">
        <f>Európa!B27</f>
        <v>1930</v>
      </c>
      <c r="C27">
        <f>Európa!C27</f>
        <v>20</v>
      </c>
      <c r="D27">
        <f>Európa!D27</f>
        <v>1251</v>
      </c>
      <c r="E27" s="7">
        <f>Európa!E27</f>
        <v>0.03</v>
      </c>
    </row>
    <row r="28" spans="1:5" x14ac:dyDescent="0.25">
      <c r="A28" t="str">
        <f>Európa!A28</f>
        <v>Norvégia</v>
      </c>
      <c r="B28">
        <f>Európa!B28</f>
        <v>1962</v>
      </c>
      <c r="C28">
        <f>Európa!C28</f>
        <v>36</v>
      </c>
      <c r="D28">
        <f>Európa!D28</f>
        <v>24060</v>
      </c>
      <c r="E28" s="7">
        <f>Európa!E28</f>
        <v>6.3E-2</v>
      </c>
    </row>
    <row r="29" spans="1:5" x14ac:dyDescent="0.25">
      <c r="A29" t="str">
        <f>Európa!A29</f>
        <v>Lengyelország</v>
      </c>
      <c r="B29">
        <f>Európa!B29</f>
        <v>1932</v>
      </c>
      <c r="C29">
        <f>Európa!C29</f>
        <v>23</v>
      </c>
      <c r="D29">
        <f>Európa!D29</f>
        <v>3149</v>
      </c>
      <c r="E29" s="7">
        <f>Európa!E29</f>
        <v>0.01</v>
      </c>
    </row>
    <row r="30" spans="1:5" x14ac:dyDescent="0.25">
      <c r="A30" t="str">
        <f>Európa!A30</f>
        <v>Portugália</v>
      </c>
      <c r="B30">
        <f>Európa!B30</f>
        <v>1971</v>
      </c>
      <c r="C30">
        <f>Európa!C30</f>
        <v>1</v>
      </c>
      <c r="D30">
        <f>Európa!D30</f>
        <v>702</v>
      </c>
      <c r="E30" s="7">
        <f>Európa!E30</f>
        <v>8.0000000000000002E-3</v>
      </c>
    </row>
    <row r="31" spans="1:5" x14ac:dyDescent="0.25">
      <c r="A31" t="str">
        <f>Európa!A31</f>
        <v>Románia</v>
      </c>
      <c r="B31">
        <f>Európa!B31</f>
        <v>1935</v>
      </c>
      <c r="C31">
        <f>Európa!C31</f>
        <v>12</v>
      </c>
      <c r="D31">
        <f>Európa!D31</f>
        <v>3158</v>
      </c>
      <c r="E31" s="7">
        <f>Európa!E31</f>
        <v>1.2999999999999999E-2</v>
      </c>
    </row>
    <row r="32" spans="1:5" x14ac:dyDescent="0.25">
      <c r="A32" t="str">
        <f>Európa!A32</f>
        <v>Oroszország</v>
      </c>
      <c r="B32">
        <f>Európa!B32</f>
        <v>1983</v>
      </c>
      <c r="C32">
        <f>Európa!C32</f>
        <v>40</v>
      </c>
      <c r="D32">
        <f>Európa!D32</f>
        <v>73000</v>
      </c>
      <c r="E32" s="7">
        <f>Európa!E32</f>
        <v>4.0000000000000001E-3</v>
      </c>
    </row>
    <row r="33" spans="1:5" x14ac:dyDescent="0.25">
      <c r="A33" t="str">
        <f>Európa!A33</f>
        <v>Szerbia</v>
      </c>
      <c r="B33">
        <f>Európa!B33</f>
        <v>1960</v>
      </c>
      <c r="C33">
        <f>Európa!C33</f>
        <v>5</v>
      </c>
      <c r="D33">
        <f>Európa!D33</f>
        <v>1775</v>
      </c>
      <c r="E33" s="7">
        <f>Európa!E33</f>
        <v>2.3E-2</v>
      </c>
    </row>
    <row r="34" spans="1:5" x14ac:dyDescent="0.25">
      <c r="A34" t="str">
        <f>Európa!A34</f>
        <v>Szlovákia</v>
      </c>
      <c r="B34">
        <f>Európa!B34</f>
        <v>1949</v>
      </c>
      <c r="C34">
        <f>Európa!C34</f>
        <v>9</v>
      </c>
      <c r="D34">
        <f>Európa!D34</f>
        <v>3690</v>
      </c>
      <c r="E34" s="7">
        <f>Európa!E34</f>
        <v>7.4999999999999997E-2</v>
      </c>
    </row>
    <row r="35" spans="1:5" x14ac:dyDescent="0.25">
      <c r="A35" t="str">
        <f>Európa!A35</f>
        <v>Szlovénia</v>
      </c>
      <c r="B35">
        <f>Európa!B35</f>
        <v>1961</v>
      </c>
      <c r="C35">
        <f>Európa!C35</f>
        <v>1</v>
      </c>
      <c r="D35">
        <f>Európa!D35</f>
        <v>838</v>
      </c>
      <c r="E35" s="7">
        <f>Európa!E35</f>
        <v>4.1000000000000002E-2</v>
      </c>
    </row>
    <row r="36" spans="1:5" x14ac:dyDescent="0.25">
      <c r="A36" t="str">
        <f>Európa!A36</f>
        <v>Spanyolország</v>
      </c>
      <c r="B36">
        <f>Európa!B36</f>
        <v>1918</v>
      </c>
      <c r="C36">
        <f>Európa!C36</f>
        <v>15</v>
      </c>
      <c r="D36">
        <f>Európa!D36</f>
        <v>3787</v>
      </c>
      <c r="E36" s="7">
        <f>Európa!E36</f>
        <v>8.0000000000000002E-3</v>
      </c>
    </row>
    <row r="37" spans="1:5" x14ac:dyDescent="0.25">
      <c r="A37" t="str">
        <f>Európa!A37</f>
        <v>Svédország</v>
      </c>
      <c r="B37">
        <f>Európa!B37</f>
        <v>1909</v>
      </c>
      <c r="C37">
        <f>Európa!C37</f>
        <v>29</v>
      </c>
      <c r="D37">
        <f>Európa!D37</f>
        <v>7199</v>
      </c>
      <c r="E37" s="7">
        <f>Európa!E37</f>
        <v>1.6E-2</v>
      </c>
    </row>
    <row r="38" spans="1:5" x14ac:dyDescent="0.25">
      <c r="A38" t="str">
        <f>Európa!A38</f>
        <v>Svájc</v>
      </c>
      <c r="B38">
        <f>Európa!B38</f>
        <v>1914</v>
      </c>
      <c r="C38">
        <f>Európa!C38</f>
        <v>1</v>
      </c>
      <c r="D38">
        <f>Európa!D38</f>
        <v>170</v>
      </c>
      <c r="E38" s="7">
        <f>Európa!E38</f>
        <v>4.0000000000000001E-3</v>
      </c>
    </row>
    <row r="39" spans="1:5" x14ac:dyDescent="0.25">
      <c r="A39" t="str">
        <f>Európa!A39</f>
        <v>Törökország</v>
      </c>
      <c r="B39">
        <f>Európa!B39</f>
        <v>1958</v>
      </c>
      <c r="C39">
        <f>Európa!C39</f>
        <v>40</v>
      </c>
      <c r="D39">
        <f>Európa!D39</f>
        <v>8481</v>
      </c>
      <c r="E39" s="7">
        <f>Európa!E39</f>
        <v>0.01</v>
      </c>
    </row>
    <row r="40" spans="1:5" x14ac:dyDescent="0.25">
      <c r="A40" t="str">
        <f>Európa!A40</f>
        <v>Ukrajna</v>
      </c>
      <c r="B40">
        <f>Európa!B40</f>
        <v>1980</v>
      </c>
      <c r="C40">
        <f>Európa!C40</f>
        <v>17</v>
      </c>
      <c r="D40">
        <f>Európa!D40</f>
        <v>7020</v>
      </c>
      <c r="E40" s="7">
        <f>Európa!E40</f>
        <v>1.2E-2</v>
      </c>
    </row>
    <row r="41" spans="1:5" x14ac:dyDescent="0.25">
      <c r="A41" t="str">
        <f>Európa!A41</f>
        <v>Egyesült Királyság</v>
      </c>
      <c r="B41">
        <f>Európa!B41</f>
        <v>1951</v>
      </c>
      <c r="C41">
        <f>Európa!C41</f>
        <v>15</v>
      </c>
      <c r="D41">
        <f>Európa!D41</f>
        <v>19989</v>
      </c>
      <c r="E41" s="7">
        <f>Európa!E41</f>
        <v>8.2000000000000003E-2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90020-88F7-42F0-A6D1-310F93D266F4}">
  <dimension ref="A1:I13"/>
  <sheetViews>
    <sheetView workbookViewId="0">
      <pane ySplit="2" topLeftCell="A3" activePane="bottomLeft" state="frozen"/>
      <selection pane="bottomLeft" activeCell="I13" sqref="I13"/>
    </sheetView>
  </sheetViews>
  <sheetFormatPr defaultRowHeight="15" x14ac:dyDescent="0.25"/>
  <cols>
    <col min="1" max="1" width="8.28515625" bestFit="1" customWidth="1"/>
    <col min="2" max="2" width="13.28515625" customWidth="1"/>
    <col min="3" max="3" width="19.5703125" bestFit="1" customWidth="1"/>
    <col min="4" max="4" width="13.42578125" bestFit="1" customWidth="1"/>
    <col min="5" max="5" width="11.7109375" bestFit="1" customWidth="1"/>
    <col min="6" max="6" width="12.5703125" bestFit="1" customWidth="1"/>
    <col min="7" max="7" width="11.140625" customWidth="1"/>
  </cols>
  <sheetData>
    <row r="1" spans="1:9" x14ac:dyDescent="0.25">
      <c r="A1" s="4" t="s">
        <v>45</v>
      </c>
      <c r="B1" s="4"/>
      <c r="C1" s="4"/>
      <c r="D1" s="4"/>
      <c r="E1" s="4"/>
      <c r="F1" s="4"/>
    </row>
    <row r="2" spans="1:9" s="5" customFormat="1" ht="30" x14ac:dyDescent="0.25">
      <c r="A2" s="12" t="s">
        <v>76</v>
      </c>
      <c r="B2" s="2" t="s">
        <v>77</v>
      </c>
      <c r="C2" s="12" t="s">
        <v>78</v>
      </c>
      <c r="D2" s="12" t="s">
        <v>79</v>
      </c>
      <c r="E2" s="12" t="s">
        <v>80</v>
      </c>
      <c r="F2" s="12" t="s">
        <v>81</v>
      </c>
      <c r="G2" s="2" t="s">
        <v>82</v>
      </c>
    </row>
    <row r="3" spans="1:9" x14ac:dyDescent="0.25">
      <c r="A3">
        <v>5</v>
      </c>
      <c r="B3" s="3" t="s">
        <v>58</v>
      </c>
      <c r="C3" t="s">
        <v>59</v>
      </c>
      <c r="D3" t="s">
        <v>60</v>
      </c>
      <c r="E3">
        <v>1997</v>
      </c>
      <c r="F3" s="8">
        <v>60676</v>
      </c>
      <c r="G3" s="9">
        <f>F3/(93030*100)</f>
        <v>6.5221971407072987E-3</v>
      </c>
    </row>
    <row r="4" spans="1:9" x14ac:dyDescent="0.25">
      <c r="A4">
        <v>2</v>
      </c>
      <c r="B4" s="3" t="s">
        <v>49</v>
      </c>
      <c r="C4" t="s">
        <v>50</v>
      </c>
      <c r="D4" t="s">
        <v>51</v>
      </c>
      <c r="E4">
        <v>1997</v>
      </c>
      <c r="F4" s="8">
        <v>57019</v>
      </c>
      <c r="G4" s="9">
        <f>F4/(93030*100)</f>
        <v>6.1290981403848222E-3</v>
      </c>
    </row>
    <row r="5" spans="1:9" x14ac:dyDescent="0.25">
      <c r="A5">
        <v>7</v>
      </c>
      <c r="B5" s="3" t="s">
        <v>64</v>
      </c>
      <c r="C5" t="s">
        <v>65</v>
      </c>
      <c r="D5" t="s">
        <v>66</v>
      </c>
      <c r="E5">
        <v>1973</v>
      </c>
      <c r="F5" s="8">
        <v>80957.2</v>
      </c>
      <c r="G5" s="9">
        <f>F5/(93030*100)</f>
        <v>8.7022680855637965E-3</v>
      </c>
    </row>
    <row r="6" spans="1:9" x14ac:dyDescent="0.25">
      <c r="A6">
        <v>3</v>
      </c>
      <c r="B6" s="3" t="s">
        <v>52</v>
      </c>
      <c r="C6" t="s">
        <v>53</v>
      </c>
      <c r="D6" t="s">
        <v>54</v>
      </c>
      <c r="E6">
        <v>1977</v>
      </c>
      <c r="F6" s="8">
        <v>42283.4</v>
      </c>
      <c r="G6" s="9">
        <f>F6/(93030*100)</f>
        <v>4.5451359776416209E-3</v>
      </c>
    </row>
    <row r="7" spans="1:9" x14ac:dyDescent="0.25">
      <c r="A7">
        <v>1</v>
      </c>
      <c r="B7" s="3" t="s">
        <v>46</v>
      </c>
      <c r="C7" t="s">
        <v>47</v>
      </c>
      <c r="D7" t="s">
        <v>48</v>
      </c>
      <c r="E7">
        <v>1985</v>
      </c>
      <c r="F7" s="8">
        <v>20183.7</v>
      </c>
      <c r="G7" s="9">
        <f>F7/(93030*100)</f>
        <v>2.1695904546920348E-3</v>
      </c>
    </row>
    <row r="8" spans="1:9" x14ac:dyDescent="0.25">
      <c r="A8">
        <v>8</v>
      </c>
      <c r="B8" s="3" t="s">
        <v>67</v>
      </c>
      <c r="C8" t="s">
        <v>68</v>
      </c>
      <c r="D8" t="s">
        <v>69</v>
      </c>
      <c r="E8">
        <v>1975</v>
      </c>
      <c r="F8" s="8">
        <v>50641</v>
      </c>
      <c r="G8" s="9">
        <f>F8/(93030*100)</f>
        <v>5.4435128453187145E-3</v>
      </c>
    </row>
    <row r="9" spans="1:9" x14ac:dyDescent="0.25">
      <c r="A9">
        <v>10</v>
      </c>
      <c r="B9" s="3" t="s">
        <v>73</v>
      </c>
      <c r="C9" t="s">
        <v>74</v>
      </c>
      <c r="D9" t="s">
        <v>75</v>
      </c>
      <c r="E9">
        <v>2002</v>
      </c>
      <c r="F9" s="8">
        <v>44048.3</v>
      </c>
      <c r="G9" s="9">
        <f>F9/(93030*100)</f>
        <v>4.7348489734494251E-3</v>
      </c>
    </row>
    <row r="10" spans="1:9" x14ac:dyDescent="0.25">
      <c r="A10">
        <v>4</v>
      </c>
      <c r="B10" s="3" t="s">
        <v>55</v>
      </c>
      <c r="C10" t="s">
        <v>56</v>
      </c>
      <c r="D10" t="s">
        <v>57</v>
      </c>
      <c r="E10">
        <v>1996</v>
      </c>
      <c r="F10" s="8">
        <v>49751.6</v>
      </c>
      <c r="G10" s="9">
        <f>F10/(93030*100)</f>
        <v>5.3479092765774481E-3</v>
      </c>
    </row>
    <row r="11" spans="1:9" x14ac:dyDescent="0.25">
      <c r="A11">
        <v>6</v>
      </c>
      <c r="B11" s="3" t="s">
        <v>61</v>
      </c>
      <c r="C11" t="s">
        <v>62</v>
      </c>
      <c r="D11" t="s">
        <v>63</v>
      </c>
      <c r="E11">
        <v>1991</v>
      </c>
      <c r="F11" s="8">
        <v>23891.3</v>
      </c>
      <c r="G11" s="9">
        <f>F11/(93030*100)</f>
        <v>2.5681285606793509E-3</v>
      </c>
    </row>
    <row r="12" spans="1:9" x14ac:dyDescent="0.25">
      <c r="A12">
        <v>9</v>
      </c>
      <c r="B12" s="3" t="s">
        <v>70</v>
      </c>
      <c r="C12" t="s">
        <v>71</v>
      </c>
      <c r="D12" t="s">
        <v>72</v>
      </c>
      <c r="E12">
        <v>1997</v>
      </c>
      <c r="F12" s="8">
        <v>51246.5</v>
      </c>
      <c r="G12" s="9">
        <f>F12/(93030*100)</f>
        <v>5.5085993765452007E-3</v>
      </c>
    </row>
    <row r="13" spans="1:9" x14ac:dyDescent="0.25">
      <c r="F13" s="10">
        <f>SUM(F3:F12)</f>
        <v>480698</v>
      </c>
      <c r="G13" s="11">
        <f>SUM(G3:G12)</f>
        <v>5.1671288831559713E-2</v>
      </c>
      <c r="I13" s="6"/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CBBEB-47C4-4207-B665-EB089FC6DBA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4</vt:i4>
      </vt:variant>
      <vt:variant>
        <vt:lpstr>Névvel ellátott tartományok</vt:lpstr>
      </vt:variant>
      <vt:variant>
        <vt:i4>1</vt:i4>
      </vt:variant>
    </vt:vector>
  </HeadingPairs>
  <TitlesOfParts>
    <vt:vector size="5" baseType="lpstr">
      <vt:lpstr>Európa</vt:lpstr>
      <vt:lpstr>ZöldOrszágok</vt:lpstr>
      <vt:lpstr>Magyarország</vt:lpstr>
      <vt:lpstr>MagyarországDiagram</vt:lpstr>
      <vt:lpstr>adatbázis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europa04</dc:creator>
  <cp:lastModifiedBy>europa04@server</cp:lastModifiedBy>
  <dcterms:created xsi:type="dcterms:W3CDTF">2015-06-05T18:19:34Z</dcterms:created>
  <dcterms:modified xsi:type="dcterms:W3CDTF">2026-04-21T11:35:19Z</dcterms:modified>
</cp:coreProperties>
</file>