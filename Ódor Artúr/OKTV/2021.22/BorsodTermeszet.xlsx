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21c437aeb2245f/Dokumentumok/fakt2025/Ódor Artúr/OKTV/2021.22/"/>
    </mc:Choice>
  </mc:AlternateContent>
  <xr:revisionPtr revIDLastSave="221" documentId="8_{AC95A32A-45B5-423F-A6E4-70AF0581A3EE}" xr6:coauthVersionLast="47" xr6:coauthVersionMax="47" xr10:uidLastSave="{560066C9-9072-4B24-9EBA-98F2D9DAFC85}"/>
  <bookViews>
    <workbookView xWindow="-120" yWindow="-120" windowWidth="20730" windowHeight="11040" activeTab="1" xr2:uid="{A1F00797-0A77-4961-9A66-30554828CDB5}"/>
  </bookViews>
  <sheets>
    <sheet name="Statisztika" sheetId="1" r:id="rId1"/>
    <sheet name="Tanösvénye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 a="1"/>
  <c r="L4" i="2"/>
  <c r="K11" i="2"/>
  <c r="K12" i="2"/>
  <c r="K13" i="2"/>
  <c r="K14" i="2"/>
  <c r="K15" i="2"/>
  <c r="K10" i="2"/>
  <c r="G3" i="2" a="1"/>
  <c r="G3" i="2" s="1"/>
  <c r="G4" i="2" a="1"/>
  <c r="G4" i="2" s="1"/>
  <c r="G5" i="2" a="1"/>
  <c r="G5" i="2" s="1"/>
  <c r="G6" i="2" a="1"/>
  <c r="G6" i="2" s="1"/>
  <c r="G7" i="2" a="1"/>
  <c r="G7" i="2" s="1"/>
  <c r="G8" i="2" a="1"/>
  <c r="G8" i="2" s="1"/>
  <c r="G9" i="2" a="1"/>
  <c r="G9" i="2" s="1"/>
  <c r="G10" i="2" a="1"/>
  <c r="G10" i="2"/>
  <c r="G11" i="2" a="1"/>
  <c r="G11" i="2" s="1"/>
  <c r="G12" i="2" a="1"/>
  <c r="G12" i="2"/>
  <c r="G13" i="2" a="1"/>
  <c r="G13" i="2" s="1"/>
  <c r="G14" i="2" a="1"/>
  <c r="G14" i="2" s="1"/>
  <c r="G15" i="2" a="1"/>
  <c r="G15" i="2" s="1"/>
  <c r="G16" i="2" a="1"/>
  <c r="G16" i="2" s="1"/>
  <c r="G17" i="2" a="1"/>
  <c r="G17" i="2" s="1"/>
  <c r="G18" i="2" a="1"/>
  <c r="G18" i="2" s="1"/>
  <c r="G19" i="2" a="1"/>
  <c r="G19" i="2" s="1"/>
  <c r="G20" i="2" a="1"/>
  <c r="G20" i="2"/>
  <c r="G21" i="2" a="1"/>
  <c r="G21" i="2" s="1"/>
  <c r="G22" i="2" a="1"/>
  <c r="G22" i="2" s="1"/>
  <c r="G23" i="2" a="1"/>
  <c r="G23" i="2" s="1"/>
  <c r="G24" i="2" a="1"/>
  <c r="G24" i="2"/>
  <c r="G25" i="2" a="1"/>
  <c r="G25" i="2" s="1"/>
  <c r="G26" i="2" a="1"/>
  <c r="G26" i="2"/>
  <c r="G27" i="2" a="1"/>
  <c r="G27" i="2" s="1"/>
  <c r="G28" i="2" a="1"/>
  <c r="G28" i="2" s="1"/>
  <c r="G29" i="2" a="1"/>
  <c r="G29" i="2" s="1"/>
  <c r="G30" i="2" a="1"/>
  <c r="G30" i="2" s="1"/>
  <c r="G31" i="2" a="1"/>
  <c r="G31" i="2" s="1"/>
  <c r="G32" i="2" a="1"/>
  <c r="G32" i="2"/>
  <c r="G2" i="2" a="1"/>
  <c r="G2" i="2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G8" i="1"/>
  <c r="H8" i="1"/>
  <c r="I8" i="1"/>
  <c r="J8" i="1"/>
  <c r="K8" i="1"/>
  <c r="L8" i="1"/>
  <c r="M8" i="1"/>
  <c r="N8" i="1"/>
  <c r="O8" i="1"/>
  <c r="P8" i="1"/>
  <c r="Q8" i="1"/>
  <c r="R8" i="1"/>
  <c r="F8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B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<sst xmlns="http://schemas.openxmlformats.org/spreadsheetml/2006/main" count="88" uniqueCount="57">
  <si>
    <t>Országos jelentőségű védett területek Borsod-Abaúj-Zemplén megyében</t>
  </si>
  <si>
    <t>Területi egység neve</t>
  </si>
  <si>
    <t>Nemzeti park</t>
  </si>
  <si>
    <t>Tájvédelmi körzet</t>
  </si>
  <si>
    <t>Természetvédelmi terület</t>
  </si>
  <si>
    <t>Természeti emlék</t>
  </si>
  <si>
    <t>Összesen</t>
  </si>
  <si>
    <t>Ország összesen</t>
  </si>
  <si>
    <t>Országos adatokhoz képest</t>
  </si>
  <si>
    <t>Név</t>
  </si>
  <si>
    <t>Hossz</t>
  </si>
  <si>
    <t>Állomások száma</t>
  </si>
  <si>
    <t>Menetidő</t>
  </si>
  <si>
    <t>Szakvezetés</t>
  </si>
  <si>
    <t>Jávorkúti tanösvény</t>
  </si>
  <si>
    <t>Nincs</t>
  </si>
  <si>
    <t>Szádvár tanösvény</t>
  </si>
  <si>
    <t>Baradla tanösvény</t>
  </si>
  <si>
    <t>Fürkész ösvény</t>
  </si>
  <si>
    <t>Tohonya-Kuriszlán tanösvény II, útvonal</t>
  </si>
  <si>
    <t>Bódva-völgyi tanösvény</t>
  </si>
  <si>
    <t>Van</t>
  </si>
  <si>
    <t>Tohonya-Kuriszlán tanösvény I, útvonal</t>
  </si>
  <si>
    <t>Szinva tanösvény</t>
  </si>
  <si>
    <t>Bodrogzugi vízitúra tanösvény</t>
  </si>
  <si>
    <t>Kaptárkő tanösvény</t>
  </si>
  <si>
    <t>Cserépfalui Ördögtorony tanösvény</t>
  </si>
  <si>
    <t>Rejtek - Répáshuta tanösvény</t>
  </si>
  <si>
    <t>Kesznyéteni TK agrár-környezetgazdálkodási tanösvény</t>
  </si>
  <si>
    <t>Szilvás-kői geológiai tanösvény</t>
  </si>
  <si>
    <t>Lillafüredi tanösvény</t>
  </si>
  <si>
    <t>Pisztráng tanösvény</t>
  </si>
  <si>
    <t>Kék Madár tanösvény</t>
  </si>
  <si>
    <t>Barátok Útja tanösvény</t>
  </si>
  <si>
    <t>Forrás-völgyi erdei tanösvény</t>
  </si>
  <si>
    <t>Regéci tanösvény</t>
  </si>
  <si>
    <t>Andó-küti erdei tanösvény</t>
  </si>
  <si>
    <t>Kőbalta tanösvény</t>
  </si>
  <si>
    <t>Kék hullám tanösvény</t>
  </si>
  <si>
    <t>Magaspart tanösvény</t>
  </si>
  <si>
    <t>Kormos Bába tanösvény</t>
  </si>
  <si>
    <t>Parlagi sas tanösvény</t>
  </si>
  <si>
    <t>Alsó-hegyi Zsombolyos tanösvény</t>
  </si>
  <si>
    <t>Borz tanösvény</t>
  </si>
  <si>
    <t>Hernád tanösvény</t>
  </si>
  <si>
    <t>Tárnics tanösvény</t>
  </si>
  <si>
    <t>Páfrány tanösvény</t>
  </si>
  <si>
    <t>Szükséges átlagsebbesség</t>
  </si>
  <si>
    <t>Osztályzás</t>
  </si>
  <si>
    <t>Mennyiség</t>
  </si>
  <si>
    <t>Szuper gyors</t>
  </si>
  <si>
    <t>Gyors</t>
  </si>
  <si>
    <t>Átlagos</t>
  </si>
  <si>
    <t>Kicsit lassú</t>
  </si>
  <si>
    <t>Lassú</t>
  </si>
  <si>
    <t>Nagyon lassú</t>
  </si>
  <si>
    <t>Leghosszabb tanösvény neve: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</si>
</sst>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0&quot; ha&quot;"/>
    <numFmt numFmtId="166" formatCode="#,##0&quot; ha&quot;"/>
    <numFmt numFmtId="167" formatCode="0&quot; km&quot;"/>
    <numFmt numFmtId="168" formatCode="0&quot; db&quot;"/>
    <numFmt numFmtId="169" formatCode="0&quot; óra&quot;"/>
    <numFmt numFmtId="170" formatCode="0.00&quot; km/h&quot;"/>
    <numFmt numFmtId="171" formatCode="General&quot; óra&quot;"/>
  </numFmts>
  <fonts count="6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2"/>
      <color theme="1"/>
      <name val="Garamond"/>
      <family val="1"/>
      <charset val="238"/>
    </font>
    <font>
      <b/>
      <sz val="22"/>
      <color theme="1"/>
      <name val="Garamond"/>
      <family val="1"/>
      <charset val="238"/>
    </font>
    <font>
      <b/>
      <sz val="12"/>
      <color theme="1"/>
      <name val="Garamond"/>
      <family val="1"/>
      <charset val="238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A9D08E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165" fontId="2" fillId="0" borderId="2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  <xf numFmtId="0" fontId="4" fillId="2" borderId="9" xfId="0" applyFont="1" applyFill="1" applyBorder="1" applyAlignment="1">
      <alignment vertical="center"/>
    </xf>
    <xf numFmtId="165" fontId="4" fillId="2" borderId="9" xfId="0" applyNumberFormat="1" applyFont="1" applyFill="1" applyBorder="1" applyAlignment="1">
      <alignment horizontal="right" vertical="center"/>
    </xf>
    <xf numFmtId="166" fontId="4" fillId="2" borderId="9" xfId="0" applyNumberFormat="1" applyFont="1" applyFill="1" applyBorder="1" applyAlignment="1">
      <alignment horizontal="right" vertical="center"/>
    </xf>
    <xf numFmtId="0" fontId="4" fillId="2" borderId="8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right" vertical="center"/>
    </xf>
    <xf numFmtId="9" fontId="4" fillId="2" borderId="8" xfId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165" fontId="4" fillId="2" borderId="1" xfId="0" applyNumberFormat="1" applyFont="1" applyFill="1" applyBorder="1" applyAlignment="1">
      <alignment horizontal="right" vertical="center"/>
    </xf>
    <xf numFmtId="166" fontId="4" fillId="2" borderId="1" xfId="0" applyNumberFormat="1" applyFont="1" applyFill="1" applyBorder="1" applyAlignment="1">
      <alignment horizontal="right" vertical="center"/>
    </xf>
    <xf numFmtId="0" fontId="5" fillId="3" borderId="0" xfId="0" applyFont="1" applyFill="1"/>
    <xf numFmtId="167" fontId="0" fillId="0" borderId="0" xfId="0" applyNumberFormat="1"/>
    <xf numFmtId="168" fontId="0" fillId="0" borderId="0" xfId="0" applyNumberFormat="1"/>
    <xf numFmtId="0" fontId="5" fillId="3" borderId="0" xfId="0" applyFont="1" applyFill="1" applyAlignment="1">
      <alignment wrapText="1"/>
    </xf>
    <xf numFmtId="170" fontId="0" fillId="0" borderId="0" xfId="0" applyNumberFormat="1"/>
    <xf numFmtId="0" fontId="5" fillId="0" borderId="1" xfId="0" applyFont="1" applyBorder="1" applyAlignment="1">
      <alignment horizontal="center" vertical="center"/>
    </xf>
    <xf numFmtId="169" fontId="0" fillId="0" borderId="1" xfId="0" applyNumberFormat="1" applyBorder="1"/>
    <xf numFmtId="0" fontId="0" fillId="0" borderId="1" xfId="0" applyBorder="1"/>
    <xf numFmtId="171" fontId="0" fillId="0" borderId="0" xfId="0" applyNumberFormat="1"/>
  </cellXfs>
  <cellStyles count="2">
    <cellStyle name="Normál" xfId="0" builtinId="0"/>
    <cellStyle name="Százalék" xfId="1" builtinId="5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A9D08E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0.1042646003623524"/>
          <c:y val="0.24591469860958501"/>
          <c:w val="0.87060074893782458"/>
          <c:h val="0.6077668307726164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Statisztika!$A$3</c:f>
              <c:strCache>
                <c:ptCount val="1"/>
                <c:pt idx="0">
                  <c:v>Nemzeti park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(Statisztika!$B$2,Statisztika!$C$2,Statisztika!$H$2,Statisztika!$M$2,Statisztika!$R$2)</c:f>
              <c:numCache>
                <c:formatCode>General</c:formatCode>
                <c:ptCount val="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</c:numCache>
            </c:numRef>
          </c:cat>
          <c:val>
            <c:numRef>
              <c:f>(Statisztika!$B$3,Statisztika!$C$3,Statisztika!$H$3,Statisztika!$M$3,Statisztika!$R$3)</c:f>
              <c:numCache>
                <c:formatCode>0" ha"</c:formatCode>
                <c:ptCount val="5"/>
                <c:pt idx="0" formatCode="#,##0">
                  <c:v>47569</c:v>
                </c:pt>
                <c:pt idx="1">
                  <c:v>49720</c:v>
                </c:pt>
                <c:pt idx="2" formatCode="#\ ##0&quot; ha&quot;">
                  <c:v>49448</c:v>
                </c:pt>
                <c:pt idx="3" formatCode="#\ ##0&quot; ha&quot;">
                  <c:v>49440</c:v>
                </c:pt>
                <c:pt idx="4" formatCode="#\ ##0&quot; ha&quot;">
                  <c:v>49440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3-49D0-95C9-A93694BDA2A8}"/>
            </c:ext>
          </c:extLst>
        </c:ser>
        <c:ser>
          <c:idx val="1"/>
          <c:order val="1"/>
          <c:tx>
            <c:strRef>
              <c:f>Statisztika!$A$4</c:f>
              <c:strCache>
                <c:ptCount val="1"/>
                <c:pt idx="0">
                  <c:v>Tájvédelmi körzet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(Statisztika!$B$2,Statisztika!$C$2,Statisztika!$H$2,Statisztika!$M$2,Statisztika!$R$2)</c:f>
              <c:numCache>
                <c:formatCode>General</c:formatCode>
                <c:ptCount val="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</c:numCache>
            </c:numRef>
          </c:cat>
          <c:val>
            <c:numRef>
              <c:f>(Statisztika!$B$4,Statisztika!$C$4,Statisztika!$H$4,Statisztika!$M$4,Statisztika!$R$4)</c:f>
              <c:numCache>
                <c:formatCode>0" ha"</c:formatCode>
                <c:ptCount val="5"/>
                <c:pt idx="0" formatCode="#,##0">
                  <c:v>60783</c:v>
                </c:pt>
                <c:pt idx="1">
                  <c:v>60692</c:v>
                </c:pt>
                <c:pt idx="2" formatCode="#\ ##0&quot; ha&quot;">
                  <c:v>59349</c:v>
                </c:pt>
                <c:pt idx="3" formatCode="#\ ##0&quot; ha&quot;">
                  <c:v>59349</c:v>
                </c:pt>
                <c:pt idx="4" formatCode="#\ ##0&quot; ha&quot;">
                  <c:v>59349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13-49D0-95C9-A93694BDA2A8}"/>
            </c:ext>
          </c:extLst>
        </c:ser>
        <c:ser>
          <c:idx val="2"/>
          <c:order val="2"/>
          <c:tx>
            <c:strRef>
              <c:f>Statisztika!$A$5</c:f>
              <c:strCache>
                <c:ptCount val="1"/>
                <c:pt idx="0">
                  <c:v>Természetvédelmi terület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(Statisztika!$B$2,Statisztika!$C$2,Statisztika!$H$2,Statisztika!$M$2,Statisztika!$R$2)</c:f>
              <c:numCache>
                <c:formatCode>General</c:formatCode>
                <c:ptCount val="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</c:numCache>
            </c:numRef>
          </c:cat>
          <c:val>
            <c:numRef>
              <c:f>(Statisztika!$B$5,Statisztika!$C$5,Statisztika!$H$5,Statisztika!$M$5,Statisztika!$R$5)</c:f>
              <c:numCache>
                <c:formatCode>0" ha"</c:formatCode>
                <c:ptCount val="5"/>
                <c:pt idx="0" formatCode="#,##0">
                  <c:v>1911</c:v>
                </c:pt>
                <c:pt idx="1">
                  <c:v>1876</c:v>
                </c:pt>
                <c:pt idx="2" formatCode="#\ ##0&quot; ha&quot;">
                  <c:v>2678</c:v>
                </c:pt>
                <c:pt idx="3" formatCode="#\ ##0&quot; ha&quot;">
                  <c:v>2822</c:v>
                </c:pt>
                <c:pt idx="4" formatCode="#\ ##0&quot; ha&quot;">
                  <c:v>2822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13-49D0-95C9-A93694BDA2A8}"/>
            </c:ext>
          </c:extLst>
        </c:ser>
        <c:ser>
          <c:idx val="3"/>
          <c:order val="3"/>
          <c:tx>
            <c:strRef>
              <c:f>Statisztika!$A$6</c:f>
              <c:strCache>
                <c:ptCount val="1"/>
                <c:pt idx="0">
                  <c:v>Természeti emlék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(Statisztika!$B$2,Statisztika!$C$2,Statisztika!$H$2,Statisztika!$M$2,Statisztika!$R$2)</c:f>
              <c:numCache>
                <c:formatCode>General</c:formatCode>
                <c:ptCount val="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</c:numCache>
            </c:numRef>
          </c:cat>
          <c:val>
            <c:numRef>
              <c:f>(Statisztika!$B$6,Statisztika!$C$6,Statisztika!$H$6,Statisztika!$M$6,Statisztika!$R$6)</c:f>
              <c:numCache>
                <c:formatCode>0" ha"</c:formatCode>
                <c:ptCount val="5"/>
                <c:pt idx="0" formatCode="General">
                  <c:v>0</c:v>
                </c:pt>
                <c:pt idx="1">
                  <c:v>0</c:v>
                </c:pt>
                <c:pt idx="2" formatCode="#\ ##0&quot; ha&quot;">
                  <c:v>0</c:v>
                </c:pt>
                <c:pt idx="3" formatCode="#\ ##0&quot; ha&quot;">
                  <c:v>22</c:v>
                </c:pt>
                <c:pt idx="4" formatCode="#\ ##0&quot; ha&quot;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13-49D0-95C9-A93694BDA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7876415"/>
        <c:axId val="2047876895"/>
      </c:barChart>
      <c:catAx>
        <c:axId val="204787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047876895"/>
        <c:crosses val="autoZero"/>
        <c:auto val="1"/>
        <c:lblAlgn val="ctr"/>
        <c:lblOffset val="100"/>
        <c:noMultiLvlLbl val="0"/>
      </c:catAx>
      <c:valAx>
        <c:axId val="204787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047876415"/>
        <c:crosses val="autoZero"/>
        <c:crossBetween val="between"/>
      </c:valAx>
      <c:spPr>
        <a:gradFill>
          <a:gsLst>
            <a:gs pos="0">
              <a:schemeClr val="bg1">
                <a:lumMod val="85000"/>
              </a:schemeClr>
            </a:gs>
            <a:gs pos="74000">
              <a:schemeClr val="tx1">
                <a:lumMod val="50000"/>
                <a:lumOff val="50000"/>
              </a:schemeClr>
            </a:gs>
            <a:gs pos="83000">
              <a:schemeClr val="tx1">
                <a:lumMod val="50000"/>
                <a:lumOff val="50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792662001399891E-2"/>
          <c:y val="0.14137521876249939"/>
          <c:w val="0.89999991589033446"/>
          <c:h val="7.80094653552129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 sz="1600" b="1"/>
              <a:t>Természeti</a:t>
            </a:r>
            <a:r>
              <a:rPr lang="hu-HU" sz="1600" b="1" baseline="0"/>
              <a:t> értékek megoszlása Borsod megyében</a:t>
            </a:r>
            <a:endParaRPr lang="hu-HU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0.1042646003623524"/>
          <c:y val="0.24591469860958501"/>
          <c:w val="0.87060074893782458"/>
          <c:h val="0.6077668307726164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Statisztika!$A$3</c:f>
              <c:strCache>
                <c:ptCount val="1"/>
                <c:pt idx="0">
                  <c:v>Nemzeti park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(Statisztika!$B$2,Statisztika!$C$2,Statisztika!$H$2,Statisztika!$M$2,Statisztika!$R$2)</c:f>
              <c:numCache>
                <c:formatCode>General</c:formatCode>
                <c:ptCount val="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</c:numCache>
            </c:numRef>
          </c:cat>
          <c:val>
            <c:numRef>
              <c:f>(Statisztika!$B$3,Statisztika!$C$3,Statisztika!$H$3,Statisztika!$M$3,Statisztika!$R$3)</c:f>
              <c:numCache>
                <c:formatCode>0" ha"</c:formatCode>
                <c:ptCount val="5"/>
                <c:pt idx="0" formatCode="#,##0">
                  <c:v>47569</c:v>
                </c:pt>
                <c:pt idx="1">
                  <c:v>49720</c:v>
                </c:pt>
                <c:pt idx="2" formatCode="#\ ##0&quot; ha&quot;">
                  <c:v>49448</c:v>
                </c:pt>
                <c:pt idx="3" formatCode="#\ ##0&quot; ha&quot;">
                  <c:v>49440</c:v>
                </c:pt>
                <c:pt idx="4" formatCode="#\ ##0&quot; ha&quot;">
                  <c:v>49440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3-49D0-95C9-A93694BDA2A8}"/>
            </c:ext>
          </c:extLst>
        </c:ser>
        <c:ser>
          <c:idx val="1"/>
          <c:order val="1"/>
          <c:tx>
            <c:strRef>
              <c:f>Statisztika!$A$4</c:f>
              <c:strCache>
                <c:ptCount val="1"/>
                <c:pt idx="0">
                  <c:v>Tájvédelmi körzet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(Statisztika!$B$2,Statisztika!$C$2,Statisztika!$H$2,Statisztika!$M$2,Statisztika!$R$2)</c:f>
              <c:numCache>
                <c:formatCode>General</c:formatCode>
                <c:ptCount val="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</c:numCache>
            </c:numRef>
          </c:cat>
          <c:val>
            <c:numRef>
              <c:f>(Statisztika!$B$4,Statisztika!$C$4,Statisztika!$H$4,Statisztika!$M$4,Statisztika!$R$4)</c:f>
              <c:numCache>
                <c:formatCode>0" ha"</c:formatCode>
                <c:ptCount val="5"/>
                <c:pt idx="0" formatCode="#,##0">
                  <c:v>60783</c:v>
                </c:pt>
                <c:pt idx="1">
                  <c:v>60692</c:v>
                </c:pt>
                <c:pt idx="2" formatCode="#\ ##0&quot; ha&quot;">
                  <c:v>59349</c:v>
                </c:pt>
                <c:pt idx="3" formatCode="#\ ##0&quot; ha&quot;">
                  <c:v>59349</c:v>
                </c:pt>
                <c:pt idx="4" formatCode="#\ ##0&quot; ha&quot;">
                  <c:v>59349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13-49D0-95C9-A93694BDA2A8}"/>
            </c:ext>
          </c:extLst>
        </c:ser>
        <c:ser>
          <c:idx val="2"/>
          <c:order val="2"/>
          <c:tx>
            <c:strRef>
              <c:f>Statisztika!$A$5</c:f>
              <c:strCache>
                <c:ptCount val="1"/>
                <c:pt idx="0">
                  <c:v>Természetvédelmi terület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(Statisztika!$B$2,Statisztika!$C$2,Statisztika!$H$2,Statisztika!$M$2,Statisztika!$R$2)</c:f>
              <c:numCache>
                <c:formatCode>General</c:formatCode>
                <c:ptCount val="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</c:numCache>
            </c:numRef>
          </c:cat>
          <c:val>
            <c:numRef>
              <c:f>(Statisztika!$B$5,Statisztika!$C$5,Statisztika!$H$5,Statisztika!$M$5,Statisztika!$R$5)</c:f>
              <c:numCache>
                <c:formatCode>0" ha"</c:formatCode>
                <c:ptCount val="5"/>
                <c:pt idx="0" formatCode="#,##0">
                  <c:v>1911</c:v>
                </c:pt>
                <c:pt idx="1">
                  <c:v>1876</c:v>
                </c:pt>
                <c:pt idx="2" formatCode="#\ ##0&quot; ha&quot;">
                  <c:v>2678</c:v>
                </c:pt>
                <c:pt idx="3" formatCode="#\ ##0&quot; ha&quot;">
                  <c:v>2822</c:v>
                </c:pt>
                <c:pt idx="4" formatCode="#\ ##0&quot; ha&quot;">
                  <c:v>2822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13-49D0-95C9-A93694BDA2A8}"/>
            </c:ext>
          </c:extLst>
        </c:ser>
        <c:ser>
          <c:idx val="3"/>
          <c:order val="3"/>
          <c:tx>
            <c:strRef>
              <c:f>Statisztika!$A$6</c:f>
              <c:strCache>
                <c:ptCount val="1"/>
                <c:pt idx="0">
                  <c:v>Természeti emlék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(Statisztika!$B$2,Statisztika!$C$2,Statisztika!$H$2,Statisztika!$M$2,Statisztika!$R$2)</c:f>
              <c:numCache>
                <c:formatCode>General</c:formatCode>
                <c:ptCount val="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</c:numCache>
            </c:numRef>
          </c:cat>
          <c:val>
            <c:numRef>
              <c:f>(Statisztika!$B$6,Statisztika!$C$6,Statisztika!$H$6,Statisztika!$M$6,Statisztika!$R$6)</c:f>
              <c:numCache>
                <c:formatCode>0" ha"</c:formatCode>
                <c:ptCount val="5"/>
                <c:pt idx="0" formatCode="General">
                  <c:v>0</c:v>
                </c:pt>
                <c:pt idx="1">
                  <c:v>0</c:v>
                </c:pt>
                <c:pt idx="2" formatCode="#\ ##0&quot; ha&quot;">
                  <c:v>0</c:v>
                </c:pt>
                <c:pt idx="3" formatCode="#\ ##0&quot; ha&quot;">
                  <c:v>22</c:v>
                </c:pt>
                <c:pt idx="4" formatCode="#\ ##0&quot; ha&quot;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13-49D0-95C9-A93694BDA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7876415"/>
        <c:axId val="2047876895"/>
      </c:barChart>
      <c:catAx>
        <c:axId val="204787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047876895"/>
        <c:crosses val="autoZero"/>
        <c:auto val="1"/>
        <c:lblAlgn val="ctr"/>
        <c:lblOffset val="100"/>
        <c:noMultiLvlLbl val="0"/>
      </c:catAx>
      <c:valAx>
        <c:axId val="204787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047876415"/>
        <c:crosses val="autoZero"/>
        <c:crossBetween val="between"/>
      </c:valAx>
      <c:spPr>
        <a:gradFill>
          <a:gsLst>
            <a:gs pos="0">
              <a:schemeClr val="bg1">
                <a:lumMod val="85000"/>
              </a:schemeClr>
            </a:gs>
            <a:gs pos="74000">
              <a:schemeClr val="tx1">
                <a:lumMod val="50000"/>
                <a:lumOff val="50000"/>
              </a:schemeClr>
            </a:gs>
            <a:gs pos="83000">
              <a:schemeClr val="tx1">
                <a:lumMod val="50000"/>
                <a:lumOff val="50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792662001399891E-2"/>
          <c:y val="0.14137521876249939"/>
          <c:w val="0.9"/>
          <c:h val="7.96667226738316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178253</xdr:rowOff>
    </xdr:from>
    <xdr:to>
      <xdr:col>8</xdr:col>
      <xdr:colOff>47625</xdr:colOff>
      <xdr:row>23</xdr:row>
      <xdr:rowOff>68035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1FA45C57-D2CC-50F3-C200-26BACEEA9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714375</xdr:colOff>
      <xdr:row>9</xdr:row>
      <xdr:rowOff>178253</xdr:rowOff>
    </xdr:from>
    <xdr:to>
      <xdr:col>11</xdr:col>
      <xdr:colOff>0</xdr:colOff>
      <xdr:row>28</xdr:row>
      <xdr:rowOff>171450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AB6DBEC-6337-6DD7-224B-A7F24F1B4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C3981-F893-4A3D-99BD-3B6212487EDA}">
  <dimension ref="A1:R9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5" sqref="B25"/>
    </sheetView>
  </sheetViews>
  <sheetFormatPr defaultRowHeight="15.75" x14ac:dyDescent="0.25"/>
  <cols>
    <col min="1" max="1" width="65.42578125" style="1" bestFit="1" customWidth="1"/>
    <col min="2" max="4" width="11.28515625" style="1" bestFit="1" customWidth="1"/>
    <col min="5" max="5" width="11.42578125" style="1" bestFit="1" customWidth="1"/>
    <col min="6" max="10" width="12.140625" style="1" bestFit="1" customWidth="1"/>
    <col min="11" max="12" width="11.85546875" style="1" bestFit="1" customWidth="1"/>
    <col min="13" max="14" width="12.140625" style="1" bestFit="1" customWidth="1"/>
    <col min="15" max="18" width="11.85546875" style="1" bestFit="1" customWidth="1"/>
    <col min="19" max="16384" width="9.140625" style="1"/>
  </cols>
  <sheetData>
    <row r="1" spans="1:18" ht="28.5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6"/>
      <c r="P1" s="12"/>
      <c r="Q1" s="12"/>
      <c r="R1" s="13"/>
    </row>
    <row r="2" spans="1:18" s="8" customFormat="1" x14ac:dyDescent="0.25">
      <c r="A2" s="9" t="s">
        <v>1</v>
      </c>
      <c r="B2" s="5">
        <v>2000</v>
      </c>
      <c r="C2" s="5">
        <v>2005</v>
      </c>
      <c r="D2" s="5">
        <v>2006</v>
      </c>
      <c r="E2" s="5">
        <v>2007</v>
      </c>
      <c r="F2" s="5">
        <v>2008</v>
      </c>
      <c r="G2" s="5">
        <v>2009</v>
      </c>
      <c r="H2" s="5">
        <v>2010</v>
      </c>
      <c r="I2" s="5">
        <v>2011</v>
      </c>
      <c r="J2" s="5">
        <v>2012</v>
      </c>
      <c r="K2" s="5">
        <v>2013</v>
      </c>
      <c r="L2" s="5">
        <v>2014</v>
      </c>
      <c r="M2" s="5">
        <v>2015</v>
      </c>
      <c r="N2" s="5">
        <v>2016</v>
      </c>
      <c r="O2" s="5">
        <v>2017</v>
      </c>
      <c r="P2" s="5">
        <v>2018</v>
      </c>
      <c r="Q2" s="5">
        <v>2019</v>
      </c>
      <c r="R2" s="5">
        <v>2020</v>
      </c>
    </row>
    <row r="3" spans="1:18" x14ac:dyDescent="0.25">
      <c r="A3" s="3" t="s">
        <v>2</v>
      </c>
      <c r="B3" s="6">
        <v>47569</v>
      </c>
      <c r="C3" s="10">
        <v>49720</v>
      </c>
      <c r="D3" s="10">
        <v>49630</v>
      </c>
      <c r="E3" s="10">
        <v>49961</v>
      </c>
      <c r="F3" s="17">
        <v>50235</v>
      </c>
      <c r="G3" s="17">
        <v>49448</v>
      </c>
      <c r="H3" s="17">
        <v>49448</v>
      </c>
      <c r="I3" s="17">
        <v>49448</v>
      </c>
      <c r="J3" s="17">
        <v>49448</v>
      </c>
      <c r="K3" s="17">
        <v>49440</v>
      </c>
      <c r="L3" s="17">
        <v>49440</v>
      </c>
      <c r="M3" s="17">
        <v>49440</v>
      </c>
      <c r="N3" s="17">
        <v>49440</v>
      </c>
      <c r="O3" s="17">
        <v>49440</v>
      </c>
      <c r="P3" s="17">
        <v>49440</v>
      </c>
      <c r="Q3" s="17">
        <v>49440</v>
      </c>
      <c r="R3" s="17">
        <v>49440</v>
      </c>
    </row>
    <row r="4" spans="1:18" x14ac:dyDescent="0.25">
      <c r="A4" s="3" t="s">
        <v>3</v>
      </c>
      <c r="B4" s="6">
        <v>60783</v>
      </c>
      <c r="C4" s="10">
        <v>60692</v>
      </c>
      <c r="D4" s="10">
        <v>60799</v>
      </c>
      <c r="E4" s="10">
        <v>60931</v>
      </c>
      <c r="F4" s="17">
        <v>59639</v>
      </c>
      <c r="G4" s="17">
        <v>59349</v>
      </c>
      <c r="H4" s="17">
        <v>59349</v>
      </c>
      <c r="I4" s="17">
        <v>59349</v>
      </c>
      <c r="J4" s="17">
        <v>59349</v>
      </c>
      <c r="K4" s="17">
        <v>59349</v>
      </c>
      <c r="L4" s="17">
        <v>59349</v>
      </c>
      <c r="M4" s="17">
        <v>59349</v>
      </c>
      <c r="N4" s="17">
        <v>59349</v>
      </c>
      <c r="O4" s="17">
        <v>59349</v>
      </c>
      <c r="P4" s="17">
        <v>59349</v>
      </c>
      <c r="Q4" s="17">
        <v>59349</v>
      </c>
      <c r="R4" s="17">
        <v>59349</v>
      </c>
    </row>
    <row r="5" spans="1:18" x14ac:dyDescent="0.25">
      <c r="A5" s="3" t="s">
        <v>4</v>
      </c>
      <c r="B5" s="6">
        <v>1911</v>
      </c>
      <c r="C5" s="10">
        <v>1876</v>
      </c>
      <c r="D5" s="10">
        <v>1876</v>
      </c>
      <c r="E5" s="10">
        <v>2842</v>
      </c>
      <c r="F5" s="17">
        <v>2721</v>
      </c>
      <c r="G5" s="17">
        <v>2678</v>
      </c>
      <c r="H5" s="17">
        <v>2678</v>
      </c>
      <c r="I5" s="17">
        <v>2741</v>
      </c>
      <c r="J5" s="17">
        <v>2741</v>
      </c>
      <c r="K5" s="17">
        <v>2822</v>
      </c>
      <c r="L5" s="17">
        <v>2822</v>
      </c>
      <c r="M5" s="17">
        <v>2822</v>
      </c>
      <c r="N5" s="17">
        <v>2822</v>
      </c>
      <c r="O5" s="17">
        <v>2822</v>
      </c>
      <c r="P5" s="17">
        <v>2822</v>
      </c>
      <c r="Q5" s="17">
        <v>2822</v>
      </c>
      <c r="R5" s="17">
        <v>2822</v>
      </c>
    </row>
    <row r="6" spans="1:18" ht="16.5" thickBot="1" x14ac:dyDescent="0.3">
      <c r="A6" s="4" t="s">
        <v>5</v>
      </c>
      <c r="B6" s="7">
        <v>0</v>
      </c>
      <c r="C6" s="11">
        <v>0</v>
      </c>
      <c r="D6" s="11">
        <v>0</v>
      </c>
      <c r="E6" s="11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9</v>
      </c>
      <c r="M6" s="18">
        <v>22</v>
      </c>
      <c r="N6" s="18">
        <v>22</v>
      </c>
      <c r="O6" s="18">
        <v>22</v>
      </c>
      <c r="P6" s="18">
        <v>24</v>
      </c>
      <c r="Q6" s="18">
        <v>24</v>
      </c>
      <c r="R6" s="18">
        <v>24</v>
      </c>
    </row>
    <row r="7" spans="1:18" s="2" customFormat="1" x14ac:dyDescent="0.25">
      <c r="A7" s="19" t="s">
        <v>6</v>
      </c>
      <c r="B7" s="20">
        <f>SUM(B$3:B$6)</f>
        <v>110263</v>
      </c>
      <c r="C7" s="20">
        <f t="shared" ref="C7:R7" si="0">SUM(C$3:C$6)</f>
        <v>112288</v>
      </c>
      <c r="D7" s="20">
        <f t="shared" si="0"/>
        <v>112305</v>
      </c>
      <c r="E7" s="20">
        <f t="shared" si="0"/>
        <v>113734</v>
      </c>
      <c r="F7" s="21">
        <f t="shared" si="0"/>
        <v>112595</v>
      </c>
      <c r="G7" s="21">
        <f t="shared" si="0"/>
        <v>111475</v>
      </c>
      <c r="H7" s="21">
        <f t="shared" si="0"/>
        <v>111475</v>
      </c>
      <c r="I7" s="21">
        <f t="shared" si="0"/>
        <v>111538</v>
      </c>
      <c r="J7" s="21">
        <f t="shared" si="0"/>
        <v>111538</v>
      </c>
      <c r="K7" s="21">
        <f t="shared" si="0"/>
        <v>111611</v>
      </c>
      <c r="L7" s="21">
        <f t="shared" si="0"/>
        <v>111620</v>
      </c>
      <c r="M7" s="21">
        <f t="shared" si="0"/>
        <v>111633</v>
      </c>
      <c r="N7" s="21">
        <f t="shared" si="0"/>
        <v>111633</v>
      </c>
      <c r="O7" s="21">
        <f t="shared" si="0"/>
        <v>111633</v>
      </c>
      <c r="P7" s="21">
        <f t="shared" si="0"/>
        <v>111635</v>
      </c>
      <c r="Q7" s="21">
        <f t="shared" si="0"/>
        <v>111635</v>
      </c>
      <c r="R7" s="21">
        <f t="shared" si="0"/>
        <v>111635</v>
      </c>
    </row>
    <row r="8" spans="1:18" s="2" customFormat="1" x14ac:dyDescent="0.25">
      <c r="A8" s="22" t="s">
        <v>8</v>
      </c>
      <c r="B8" s="23"/>
      <c r="C8" s="23"/>
      <c r="D8" s="23"/>
      <c r="E8" s="23"/>
      <c r="F8" s="24">
        <f>F$7/F$9</f>
        <v>0.1344461254273272</v>
      </c>
      <c r="G8" s="24">
        <f t="shared" ref="G8:R8" si="1">G$7/G$9</f>
        <v>0.1316835531110867</v>
      </c>
      <c r="H8" s="24">
        <f t="shared" si="1"/>
        <v>0.1316835531110867</v>
      </c>
      <c r="I8" s="24">
        <f t="shared" si="1"/>
        <v>0.1317245191035864</v>
      </c>
      <c r="J8" s="24">
        <f t="shared" si="1"/>
        <v>0.1311212158260526</v>
      </c>
      <c r="K8" s="24">
        <f t="shared" si="1"/>
        <v>0.13159362329024735</v>
      </c>
      <c r="L8" s="24">
        <f t="shared" si="1"/>
        <v>0.13151631405558514</v>
      </c>
      <c r="M8" s="24">
        <f t="shared" si="1"/>
        <v>0.13152217838136518</v>
      </c>
      <c r="N8" s="24">
        <f t="shared" si="1"/>
        <v>0.13148918126244125</v>
      </c>
      <c r="O8" s="24">
        <f t="shared" si="1"/>
        <v>0.13147152763383518</v>
      </c>
      <c r="P8" s="24">
        <f t="shared" si="1"/>
        <v>0.13146676087852557</v>
      </c>
      <c r="Q8" s="24">
        <f t="shared" si="1"/>
        <v>0.13146676087852557</v>
      </c>
      <c r="R8" s="24">
        <f t="shared" si="1"/>
        <v>0.13150253439963058</v>
      </c>
    </row>
    <row r="9" spans="1:18" s="2" customFormat="1" x14ac:dyDescent="0.25">
      <c r="A9" s="25" t="s">
        <v>7</v>
      </c>
      <c r="B9" s="26">
        <v>815878</v>
      </c>
      <c r="C9" s="26">
        <v>839019</v>
      </c>
      <c r="D9" s="26">
        <v>839031</v>
      </c>
      <c r="E9" s="26">
        <v>844702</v>
      </c>
      <c r="F9" s="27">
        <v>837473</v>
      </c>
      <c r="G9" s="27">
        <v>846537</v>
      </c>
      <c r="H9" s="27">
        <v>846537</v>
      </c>
      <c r="I9" s="27">
        <v>846752</v>
      </c>
      <c r="J9" s="27">
        <v>850648</v>
      </c>
      <c r="K9" s="27">
        <v>848149</v>
      </c>
      <c r="L9" s="27">
        <v>848716</v>
      </c>
      <c r="M9" s="27">
        <v>848777</v>
      </c>
      <c r="N9" s="27">
        <v>848990</v>
      </c>
      <c r="O9" s="27">
        <v>849104</v>
      </c>
      <c r="P9" s="27">
        <v>849150</v>
      </c>
      <c r="Q9" s="27">
        <v>849150</v>
      </c>
      <c r="R9" s="27">
        <v>848919</v>
      </c>
    </row>
  </sheetData>
  <mergeCells count="1">
    <mergeCell ref="A1:O1"/>
  </mergeCells>
  <conditionalFormatting sqref="F3:R9">
    <cfRule type="expression" dxfId="4" priority="1">
      <formula>$I3-$H3&lt;0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56E3-A247-4D9D-BEE4-520A0B1D0341}">
  <dimension ref="A1:L35"/>
  <sheetViews>
    <sheetView tabSelected="1" workbookViewId="0">
      <pane ySplit="1" topLeftCell="A2" activePane="bottomLeft" state="frozen"/>
      <selection pane="bottomLeft" activeCell="K5" sqref="K5"/>
    </sheetView>
  </sheetViews>
  <sheetFormatPr defaultRowHeight="15" x14ac:dyDescent="0.25"/>
  <cols>
    <col min="1" max="1" width="50.5703125" bestFit="1" customWidth="1"/>
    <col min="2" max="2" width="6.42578125" bestFit="1" customWidth="1"/>
    <col min="3" max="3" width="16.42578125" bestFit="1" customWidth="1"/>
    <col min="4" max="4" width="9.5703125" bestFit="1" customWidth="1"/>
    <col min="5" max="5" width="12" bestFit="1" customWidth="1"/>
    <col min="6" max="6" width="15.140625" bestFit="1" customWidth="1"/>
    <col min="7" max="7" width="13.140625" bestFit="1" customWidth="1"/>
    <col min="10" max="10" width="13.140625" bestFit="1" customWidth="1"/>
    <col min="11" max="11" width="10.28515625" bestFit="1" customWidth="1"/>
  </cols>
  <sheetData>
    <row r="1" spans="1:12" ht="32.25" customHeight="1" x14ac:dyDescent="0.25">
      <c r="A1" s="28" t="s">
        <v>9</v>
      </c>
      <c r="B1" s="28" t="s">
        <v>10</v>
      </c>
      <c r="C1" s="28" t="s">
        <v>11</v>
      </c>
      <c r="D1" s="28" t="s">
        <v>12</v>
      </c>
      <c r="E1" s="28" t="s">
        <v>13</v>
      </c>
      <c r="F1" s="31" t="s">
        <v>47</v>
      </c>
      <c r="G1" s="28" t="s">
        <v>48</v>
      </c>
    </row>
    <row r="2" spans="1:12" x14ac:dyDescent="0.25">
      <c r="A2" t="s">
        <v>42</v>
      </c>
      <c r="B2" s="29">
        <v>8.5</v>
      </c>
      <c r="C2" s="30">
        <v>14</v>
      </c>
      <c r="D2" s="36">
        <v>4.5</v>
      </c>
      <c r="E2" t="s">
        <v>15</v>
      </c>
      <c r="F2" s="32">
        <f>$B2/$D2</f>
        <v>1.8888888888888888</v>
      </c>
      <c r="G2" t="str" cm="1">
        <f t="array" ref="G2">_xlfn.IFS($D2&gt;=$I$15,$J$15,$D2&gt;=$I$14,$J$14,$D2&gt;=$I$13,$J$13,$D2&gt;=$I$12,$J$12,$D2&gt;=$I$11,$J$11,$D2,$J$10)</f>
        <v>Kicsit lassú</v>
      </c>
    </row>
    <row r="3" spans="1:12" x14ac:dyDescent="0.25">
      <c r="A3" t="s">
        <v>36</v>
      </c>
      <c r="B3" s="29">
        <v>2.7</v>
      </c>
      <c r="C3" s="30">
        <v>15</v>
      </c>
      <c r="D3" s="36">
        <v>2.5</v>
      </c>
      <c r="E3" t="s">
        <v>15</v>
      </c>
      <c r="F3" s="32">
        <f t="shared" ref="F3:F32" si="0">$B3/$D3</f>
        <v>1.08</v>
      </c>
      <c r="G3" t="str" cm="1">
        <f t="array" ref="G3">_xlfn.IFS($D3&gt;=$I$15,$J$15,$D3&gt;=$I$14,$J$14,$D3&gt;=$I$13,$J$13,$D3&gt;=$I$12,$J$12,$D3&gt;=$I$11,$J$11,$D3,$J$10)</f>
        <v>Gyors</v>
      </c>
    </row>
    <row r="4" spans="1:12" x14ac:dyDescent="0.25">
      <c r="A4" t="s">
        <v>17</v>
      </c>
      <c r="B4" s="29">
        <v>7.5</v>
      </c>
      <c r="C4" s="30">
        <v>18</v>
      </c>
      <c r="D4" s="36">
        <v>3</v>
      </c>
      <c r="E4" t="s">
        <v>15</v>
      </c>
      <c r="F4" s="32">
        <f t="shared" si="0"/>
        <v>2.5</v>
      </c>
      <c r="G4" t="str" cm="1">
        <f t="array" ref="G4">_xlfn.IFS($D4&gt;=$I$15,$J$15,$D4&gt;=$I$14,$J$14,$D4&gt;=$I$13,$J$13,$D4&gt;=$I$12,$J$12,$D4&gt;=$I$11,$J$11,$D4,$J$10)</f>
        <v>Átlagos</v>
      </c>
      <c r="I4" t="s">
        <v>56</v>
      </c>
      <c r="L4" t="str" cm="1">
        <f t="array" ref="L4">INDEX($A$2:$A$32,MATCH(MAX($B$2:$B$32),$B$2:$B$32,0),0)</f>
        <v>Magaspart tanösvény</v>
      </c>
    </row>
    <row r="5" spans="1:12" x14ac:dyDescent="0.25">
      <c r="A5" t="s">
        <v>33</v>
      </c>
      <c r="B5" s="29">
        <v>4.8</v>
      </c>
      <c r="C5" s="30">
        <v>12</v>
      </c>
      <c r="D5" s="36">
        <v>2.5</v>
      </c>
      <c r="E5" t="s">
        <v>15</v>
      </c>
      <c r="F5" s="32">
        <f t="shared" si="0"/>
        <v>1.92</v>
      </c>
      <c r="G5" t="str" cm="1">
        <f t="array" ref="G5">_xlfn.IFS($D5&gt;=$I$15,$J$15,$D5&gt;=$I$14,$J$14,$D5&gt;=$I$13,$J$13,$D5&gt;=$I$12,$J$12,$D5&gt;=$I$11,$J$11,$D5,$J$10)</f>
        <v>Gyors</v>
      </c>
    </row>
    <row r="6" spans="1:12" x14ac:dyDescent="0.25">
      <c r="A6" t="s">
        <v>24</v>
      </c>
      <c r="B6" s="29">
        <v>5</v>
      </c>
      <c r="C6" s="30">
        <v>3</v>
      </c>
      <c r="D6" s="36">
        <v>2</v>
      </c>
      <c r="E6" t="s">
        <v>21</v>
      </c>
      <c r="F6" s="32">
        <f t="shared" si="0"/>
        <v>2.5</v>
      </c>
      <c r="G6" t="str" cm="1">
        <f t="array" ref="G6">_xlfn.IFS($D6&gt;=$I$15,$J$15,$D6&gt;=$I$14,$J$14,$D6&gt;=$I$13,$J$13,$D6&gt;=$I$12,$J$12,$D6&gt;=$I$11,$J$11,$D6,$J$10)</f>
        <v>Gyors</v>
      </c>
    </row>
    <row r="7" spans="1:12" x14ac:dyDescent="0.25">
      <c r="A7" t="s">
        <v>20</v>
      </c>
      <c r="B7" s="29">
        <v>2.5</v>
      </c>
      <c r="C7" s="30">
        <v>7</v>
      </c>
      <c r="D7" s="36">
        <v>1</v>
      </c>
      <c r="E7" t="s">
        <v>21</v>
      </c>
      <c r="F7" s="32">
        <f t="shared" si="0"/>
        <v>2.5</v>
      </c>
      <c r="G7" t="str" cm="1">
        <f t="array" ref="G7">_xlfn.IFS($D7&gt;=$I$15,$J$15,$D7&gt;=$I$14,$J$14,$D7&gt;=$I$13,$J$13,$D7&gt;=$I$12,$J$12,$D7&gt;=$I$11,$J$11,$D7,$J$10)</f>
        <v>Szuper gyors</v>
      </c>
    </row>
    <row r="8" spans="1:12" x14ac:dyDescent="0.25">
      <c r="A8" t="s">
        <v>43</v>
      </c>
      <c r="B8" s="29">
        <v>2.8</v>
      </c>
      <c r="C8" s="30">
        <v>12</v>
      </c>
      <c r="D8" s="36">
        <v>3</v>
      </c>
      <c r="E8" t="s">
        <v>15</v>
      </c>
      <c r="F8" s="32">
        <f t="shared" si="0"/>
        <v>0.93333333333333324</v>
      </c>
      <c r="G8" t="str" cm="1">
        <f t="array" ref="G8">_xlfn.IFS($D8&gt;=$I$15,$J$15,$D8&gt;=$I$14,$J$14,$D8&gt;=$I$13,$J$13,$D8&gt;=$I$12,$J$12,$D8&gt;=$I$11,$J$11,$D8,$J$10)</f>
        <v>Átlagos</v>
      </c>
    </row>
    <row r="9" spans="1:12" x14ac:dyDescent="0.25">
      <c r="A9" t="s">
        <v>26</v>
      </c>
      <c r="B9" s="29">
        <v>10</v>
      </c>
      <c r="C9" s="30">
        <v>20</v>
      </c>
      <c r="D9" s="36">
        <v>4.5</v>
      </c>
      <c r="E9" t="s">
        <v>15</v>
      </c>
      <c r="F9" s="32">
        <f t="shared" si="0"/>
        <v>2.2222222222222223</v>
      </c>
      <c r="G9" t="str" cm="1">
        <f t="array" ref="G9">_xlfn.IFS($D9&gt;=$I$15,$J$15,$D9&gt;=$I$14,$J$14,$D9&gt;=$I$13,$J$13,$D9&gt;=$I$12,$J$12,$D9&gt;=$I$11,$J$11,$D9,$J$10)</f>
        <v>Kicsit lassú</v>
      </c>
      <c r="I9" s="33" t="s">
        <v>12</v>
      </c>
      <c r="J9" s="33" t="s">
        <v>48</v>
      </c>
      <c r="K9" s="33" t="s">
        <v>49</v>
      </c>
    </row>
    <row r="10" spans="1:12" x14ac:dyDescent="0.25">
      <c r="A10" t="s">
        <v>34</v>
      </c>
      <c r="B10" s="29">
        <v>3.2</v>
      </c>
      <c r="C10" s="30">
        <v>10</v>
      </c>
      <c r="D10" s="36">
        <v>3</v>
      </c>
      <c r="E10" t="s">
        <v>15</v>
      </c>
      <c r="F10" s="32">
        <f t="shared" si="0"/>
        <v>1.0666666666666667</v>
      </c>
      <c r="G10" t="str" cm="1">
        <f t="array" ref="G10">_xlfn.IFS($D10&gt;=$I$15,$J$15,$D10&gt;=$I$14,$J$14,$D10&gt;=$I$13,$J$13,$D10&gt;=$I$12,$J$12,$D10&gt;=$I$11,$J$11,$D10,$J$10)</f>
        <v>Átlagos</v>
      </c>
      <c r="I10" s="34">
        <v>1</v>
      </c>
      <c r="J10" s="35" t="s">
        <v>50</v>
      </c>
      <c r="K10" s="35">
        <f>COUNTIF($G$2:$G$32,$J10)</f>
        <v>7</v>
      </c>
    </row>
    <row r="11" spans="1:12" x14ac:dyDescent="0.25">
      <c r="A11" t="s">
        <v>18</v>
      </c>
      <c r="B11" s="29">
        <v>2</v>
      </c>
      <c r="C11" s="30">
        <v>12</v>
      </c>
      <c r="D11" s="36">
        <v>1.5</v>
      </c>
      <c r="E11" t="s">
        <v>15</v>
      </c>
      <c r="F11" s="32">
        <f t="shared" si="0"/>
        <v>1.3333333333333333</v>
      </c>
      <c r="G11" t="str" cm="1">
        <f t="array" ref="G11">_xlfn.IFS($D11&gt;=$I$15,$J$15,$D11&gt;=$I$14,$J$14,$D11&gt;=$I$13,$J$13,$D11&gt;=$I$12,$J$12,$D11&gt;=$I$11,$J$11,$D11,$J$10)</f>
        <v>Szuper gyors</v>
      </c>
      <c r="I11" s="34">
        <v>2</v>
      </c>
      <c r="J11" s="35" t="s">
        <v>51</v>
      </c>
      <c r="K11" s="35">
        <f t="shared" ref="K11:K15" si="1">COUNTIF($G$2:$G$32,$J11)</f>
        <v>6</v>
      </c>
    </row>
    <row r="12" spans="1:12" x14ac:dyDescent="0.25">
      <c r="A12" t="s">
        <v>44</v>
      </c>
      <c r="B12" s="29">
        <v>3.2</v>
      </c>
      <c r="C12" s="30">
        <v>11</v>
      </c>
      <c r="D12" s="36">
        <v>2</v>
      </c>
      <c r="E12" t="s">
        <v>15</v>
      </c>
      <c r="F12" s="32">
        <f t="shared" si="0"/>
        <v>1.6</v>
      </c>
      <c r="G12" t="str" cm="1">
        <f t="array" ref="G12">_xlfn.IFS($D12&gt;=$I$15,$J$15,$D12&gt;=$I$14,$J$14,$D12&gt;=$I$13,$J$13,$D12&gt;=$I$12,$J$12,$D12&gt;=$I$11,$J$11,$D12,$J$10)</f>
        <v>Gyors</v>
      </c>
      <c r="I12" s="34">
        <v>3</v>
      </c>
      <c r="J12" s="35" t="s">
        <v>52</v>
      </c>
      <c r="K12" s="35">
        <f t="shared" si="1"/>
        <v>9</v>
      </c>
    </row>
    <row r="13" spans="1:12" x14ac:dyDescent="0.25">
      <c r="A13" t="s">
        <v>14</v>
      </c>
      <c r="B13" s="29">
        <v>3</v>
      </c>
      <c r="C13" s="30">
        <v>4</v>
      </c>
      <c r="D13" s="36">
        <v>1</v>
      </c>
      <c r="E13" t="s">
        <v>15</v>
      </c>
      <c r="F13" s="32">
        <f t="shared" si="0"/>
        <v>3</v>
      </c>
      <c r="G13" t="str" cm="1">
        <f t="array" ref="G13">_xlfn.IFS($D13&gt;=$I$15,$J$15,$D13&gt;=$I$14,$J$14,$D13&gt;=$I$13,$J$13,$D13&gt;=$I$12,$J$12,$D13&gt;=$I$11,$J$11,$D13,$J$10)</f>
        <v>Szuper gyors</v>
      </c>
      <c r="I13" s="34">
        <v>4</v>
      </c>
      <c r="J13" s="35" t="s">
        <v>53</v>
      </c>
      <c r="K13" s="35">
        <f t="shared" si="1"/>
        <v>5</v>
      </c>
    </row>
    <row r="14" spans="1:12" x14ac:dyDescent="0.25">
      <c r="A14" t="s">
        <v>25</v>
      </c>
      <c r="B14" s="29">
        <v>4</v>
      </c>
      <c r="C14" s="30">
        <v>2</v>
      </c>
      <c r="D14" s="36">
        <v>2</v>
      </c>
      <c r="E14" t="s">
        <v>15</v>
      </c>
      <c r="F14" s="32">
        <f t="shared" si="0"/>
        <v>2</v>
      </c>
      <c r="G14" t="str" cm="1">
        <f t="array" ref="G14">_xlfn.IFS($D14&gt;=$I$15,$J$15,$D14&gt;=$I$14,$J$14,$D14&gt;=$I$13,$J$13,$D14&gt;=$I$12,$J$12,$D14&gt;=$I$11,$J$11,$D14,$J$10)</f>
        <v>Gyors</v>
      </c>
      <c r="I14" s="34">
        <v>5</v>
      </c>
      <c r="J14" s="35" t="s">
        <v>54</v>
      </c>
      <c r="K14" s="35">
        <f t="shared" si="1"/>
        <v>1</v>
      </c>
    </row>
    <row r="15" spans="1:12" x14ac:dyDescent="0.25">
      <c r="A15" t="s">
        <v>38</v>
      </c>
      <c r="B15" s="29">
        <v>25.6</v>
      </c>
      <c r="C15" s="30">
        <v>21</v>
      </c>
      <c r="D15" s="36">
        <v>7</v>
      </c>
      <c r="E15" t="s">
        <v>15</v>
      </c>
      <c r="F15" s="32">
        <f t="shared" si="0"/>
        <v>3.6571428571428575</v>
      </c>
      <c r="G15" t="str" cm="1">
        <f t="array" ref="G15">_xlfn.IFS($D15&gt;=$I$15,$J$15,$D15&gt;=$I$14,$J$14,$D15&gt;=$I$13,$J$13,$D15&gt;=$I$12,$J$12,$D15&gt;=$I$11,$J$11,$D15,$J$10)</f>
        <v>Nagyon lassú</v>
      </c>
      <c r="I15" s="34">
        <v>6</v>
      </c>
      <c r="J15" s="35" t="s">
        <v>55</v>
      </c>
      <c r="K15" s="35">
        <f t="shared" si="1"/>
        <v>3</v>
      </c>
    </row>
    <row r="16" spans="1:12" x14ac:dyDescent="0.25">
      <c r="A16" t="s">
        <v>32</v>
      </c>
      <c r="B16" s="29">
        <v>5</v>
      </c>
      <c r="C16" s="30">
        <v>24</v>
      </c>
      <c r="D16" s="36">
        <v>4</v>
      </c>
      <c r="E16" t="s">
        <v>15</v>
      </c>
      <c r="F16" s="32">
        <f t="shared" si="0"/>
        <v>1.25</v>
      </c>
      <c r="G16" t="str" cm="1">
        <f t="array" ref="G16">_xlfn.IFS($D16&gt;=$I$15,$J$15,$D16&gt;=$I$14,$J$14,$D16&gt;=$I$13,$J$13,$D16&gt;=$I$12,$J$12,$D16&gt;=$I$11,$J$11,$D16,$J$10)</f>
        <v>Kicsit lassú</v>
      </c>
    </row>
    <row r="17" spans="1:7" x14ac:dyDescent="0.25">
      <c r="A17" t="s">
        <v>28</v>
      </c>
      <c r="B17" s="29">
        <v>4.8</v>
      </c>
      <c r="C17" s="30">
        <v>6</v>
      </c>
      <c r="D17" s="36">
        <v>3.5</v>
      </c>
      <c r="E17" t="s">
        <v>15</v>
      </c>
      <c r="F17" s="32">
        <f t="shared" si="0"/>
        <v>1.3714285714285714</v>
      </c>
      <c r="G17" t="str" cm="1">
        <f t="array" ref="G17">_xlfn.IFS($D17&gt;=$I$15,$J$15,$D17&gt;=$I$14,$J$14,$D17&gt;=$I$13,$J$13,$D17&gt;=$I$12,$J$12,$D17&gt;=$I$11,$J$11,$D17,$J$10)</f>
        <v>Átlagos</v>
      </c>
    </row>
    <row r="18" spans="1:7" x14ac:dyDescent="0.25">
      <c r="A18" t="s">
        <v>40</v>
      </c>
      <c r="B18" s="29">
        <v>15</v>
      </c>
      <c r="C18" s="30">
        <v>13</v>
      </c>
      <c r="D18" s="36">
        <v>5.5</v>
      </c>
      <c r="E18" t="s">
        <v>15</v>
      </c>
      <c r="F18" s="32">
        <f t="shared" si="0"/>
        <v>2.7272727272727271</v>
      </c>
      <c r="G18" t="str" cm="1">
        <f t="array" ref="G18">_xlfn.IFS($D18&gt;=$I$15,$J$15,$D18&gt;=$I$14,$J$14,$D18&gt;=$I$13,$J$13,$D18&gt;=$I$12,$J$12,$D18&gt;=$I$11,$J$11,$D18,$J$10)</f>
        <v>Lassú</v>
      </c>
    </row>
    <row r="19" spans="1:7" x14ac:dyDescent="0.25">
      <c r="A19" t="s">
        <v>37</v>
      </c>
      <c r="B19" s="29">
        <v>1.4</v>
      </c>
      <c r="C19" s="30">
        <v>4</v>
      </c>
      <c r="D19" s="36">
        <v>1</v>
      </c>
      <c r="E19" t="s">
        <v>15</v>
      </c>
      <c r="F19" s="32">
        <f t="shared" si="0"/>
        <v>1.4</v>
      </c>
      <c r="G19" t="str" cm="1">
        <f t="array" ref="G19">_xlfn.IFS($D19&gt;=$I$15,$J$15,$D19&gt;=$I$14,$J$14,$D19&gt;=$I$13,$J$13,$D19&gt;=$I$12,$J$12,$D19&gt;=$I$11,$J$11,$D19,$J$10)</f>
        <v>Szuper gyors</v>
      </c>
    </row>
    <row r="20" spans="1:7" x14ac:dyDescent="0.25">
      <c r="A20" t="s">
        <v>30</v>
      </c>
      <c r="B20" s="29">
        <v>2</v>
      </c>
      <c r="C20" s="30">
        <v>6</v>
      </c>
      <c r="D20" s="36">
        <v>1.5</v>
      </c>
      <c r="E20" t="s">
        <v>15</v>
      </c>
      <c r="F20" s="32">
        <f t="shared" si="0"/>
        <v>1.3333333333333333</v>
      </c>
      <c r="G20" t="str" cm="1">
        <f t="array" ref="G20">_xlfn.IFS($D20&gt;=$I$15,$J$15,$D20&gt;=$I$14,$J$14,$D20&gt;=$I$13,$J$13,$D20&gt;=$I$12,$J$12,$D20&gt;=$I$11,$J$11,$D20,$J$10)</f>
        <v>Szuper gyors</v>
      </c>
    </row>
    <row r="21" spans="1:7" x14ac:dyDescent="0.25">
      <c r="A21" t="s">
        <v>39</v>
      </c>
      <c r="B21" s="29">
        <v>26</v>
      </c>
      <c r="C21" s="30">
        <v>14</v>
      </c>
      <c r="D21" s="36">
        <v>8</v>
      </c>
      <c r="E21" t="s">
        <v>15</v>
      </c>
      <c r="F21" s="32">
        <f t="shared" si="0"/>
        <v>3.25</v>
      </c>
      <c r="G21" t="str" cm="1">
        <f t="array" ref="G21">_xlfn.IFS($D21&gt;=$I$15,$J$15,$D21&gt;=$I$14,$J$14,$D21&gt;=$I$13,$J$13,$D21&gt;=$I$12,$J$12,$D21&gt;=$I$11,$J$11,$D21,$J$10)</f>
        <v>Nagyon lassú</v>
      </c>
    </row>
    <row r="22" spans="1:7" x14ac:dyDescent="0.25">
      <c r="A22" t="s">
        <v>46</v>
      </c>
      <c r="B22" s="29">
        <v>2.2000000000000002</v>
      </c>
      <c r="C22" s="30">
        <v>7</v>
      </c>
      <c r="D22" s="36">
        <v>1.33</v>
      </c>
      <c r="E22" t="s">
        <v>15</v>
      </c>
      <c r="F22" s="32">
        <f t="shared" si="0"/>
        <v>1.6541353383458648</v>
      </c>
      <c r="G22" t="str" cm="1">
        <f t="array" ref="G22">_xlfn.IFS($D22&gt;=$I$15,$J$15,$D22&gt;=$I$14,$J$14,$D22&gt;=$I$13,$J$13,$D22&gt;=$I$12,$J$12,$D22&gt;=$I$11,$J$11,$D22,$J$10)</f>
        <v>Szuper gyors</v>
      </c>
    </row>
    <row r="23" spans="1:7" x14ac:dyDescent="0.25">
      <c r="A23" t="s">
        <v>41</v>
      </c>
      <c r="B23" s="29">
        <v>8.5</v>
      </c>
      <c r="C23" s="30">
        <v>11</v>
      </c>
      <c r="D23" s="36">
        <v>4</v>
      </c>
      <c r="E23" t="s">
        <v>15</v>
      </c>
      <c r="F23" s="32">
        <f t="shared" si="0"/>
        <v>2.125</v>
      </c>
      <c r="G23" t="str" cm="1">
        <f t="array" ref="G23">_xlfn.IFS($D23&gt;=$I$15,$J$15,$D23&gt;=$I$14,$J$14,$D23&gt;=$I$13,$J$13,$D23&gt;=$I$12,$J$12,$D23&gt;=$I$11,$J$11,$D23,$J$10)</f>
        <v>Kicsit lassú</v>
      </c>
    </row>
    <row r="24" spans="1:7" x14ac:dyDescent="0.25">
      <c r="A24" t="s">
        <v>31</v>
      </c>
      <c r="B24" s="29">
        <v>3</v>
      </c>
      <c r="C24" s="30">
        <v>9</v>
      </c>
      <c r="D24" s="36">
        <v>3</v>
      </c>
      <c r="E24" t="s">
        <v>15</v>
      </c>
      <c r="F24" s="32">
        <f t="shared" si="0"/>
        <v>1</v>
      </c>
      <c r="G24" t="str" cm="1">
        <f t="array" ref="G24">_xlfn.IFS($D24&gt;=$I$15,$J$15,$D24&gt;=$I$14,$J$14,$D24&gt;=$I$13,$J$13,$D24&gt;=$I$12,$J$12,$D24&gt;=$I$11,$J$11,$D24,$J$10)</f>
        <v>Átlagos</v>
      </c>
    </row>
    <row r="25" spans="1:7" x14ac:dyDescent="0.25">
      <c r="A25" t="s">
        <v>35</v>
      </c>
      <c r="B25" s="29">
        <v>4.2</v>
      </c>
      <c r="C25" s="30">
        <v>2</v>
      </c>
      <c r="D25" s="36">
        <v>3</v>
      </c>
      <c r="E25" t="s">
        <v>15</v>
      </c>
      <c r="F25" s="32">
        <f t="shared" si="0"/>
        <v>1.4000000000000001</v>
      </c>
      <c r="G25" t="str" cm="1">
        <f t="array" ref="G25">_xlfn.IFS($D25&gt;=$I$15,$J$15,$D25&gt;=$I$14,$J$14,$D25&gt;=$I$13,$J$13,$D25&gt;=$I$12,$J$12,$D25&gt;=$I$11,$J$11,$D25,$J$10)</f>
        <v>Átlagos</v>
      </c>
    </row>
    <row r="26" spans="1:7" x14ac:dyDescent="0.25">
      <c r="A26" t="s">
        <v>27</v>
      </c>
      <c r="B26" s="29">
        <v>9</v>
      </c>
      <c r="C26" s="30">
        <v>12</v>
      </c>
      <c r="D26" s="36">
        <v>4.5</v>
      </c>
      <c r="E26" t="s">
        <v>15</v>
      </c>
      <c r="F26" s="32">
        <f t="shared" si="0"/>
        <v>2</v>
      </c>
      <c r="G26" t="str" cm="1">
        <f t="array" ref="G26">_xlfn.IFS($D26&gt;=$I$15,$J$15,$D26&gt;=$I$14,$J$14,$D26&gt;=$I$13,$J$13,$D26&gt;=$I$12,$J$12,$D26&gt;=$I$11,$J$11,$D26,$J$10)</f>
        <v>Kicsit lassú</v>
      </c>
    </row>
    <row r="27" spans="1:7" x14ac:dyDescent="0.25">
      <c r="A27" t="s">
        <v>16</v>
      </c>
      <c r="B27" s="29">
        <v>4.5</v>
      </c>
      <c r="C27" s="30">
        <v>12</v>
      </c>
      <c r="D27" s="36">
        <v>3</v>
      </c>
      <c r="E27" t="s">
        <v>15</v>
      </c>
      <c r="F27" s="32">
        <f t="shared" si="0"/>
        <v>1.5</v>
      </c>
      <c r="G27" t="str" cm="1">
        <f t="array" ref="G27">_xlfn.IFS($D27&gt;=$I$15,$J$15,$D27&gt;=$I$14,$J$14,$D27&gt;=$I$13,$J$13,$D27&gt;=$I$12,$J$12,$D27&gt;=$I$11,$J$11,$D27,$J$10)</f>
        <v>Átlagos</v>
      </c>
    </row>
    <row r="28" spans="1:7" x14ac:dyDescent="0.25">
      <c r="A28" t="s">
        <v>29</v>
      </c>
      <c r="B28" s="29">
        <v>3.5</v>
      </c>
      <c r="C28" s="30">
        <v>12</v>
      </c>
      <c r="D28" s="36">
        <v>1.5</v>
      </c>
      <c r="E28" t="s">
        <v>15</v>
      </c>
      <c r="F28" s="32">
        <f t="shared" si="0"/>
        <v>2.3333333333333335</v>
      </c>
      <c r="G28" t="str" cm="1">
        <f t="array" ref="G28">_xlfn.IFS($D28&gt;=$I$15,$J$15,$D28&gt;=$I$14,$J$14,$D28&gt;=$I$13,$J$13,$D28&gt;=$I$12,$J$12,$D28&gt;=$I$11,$J$11,$D28,$J$10)</f>
        <v>Szuper gyors</v>
      </c>
    </row>
    <row r="29" spans="1:7" x14ac:dyDescent="0.25">
      <c r="A29" t="s">
        <v>23</v>
      </c>
      <c r="B29" s="29">
        <v>4</v>
      </c>
      <c r="C29" s="30">
        <v>6</v>
      </c>
      <c r="D29" s="36">
        <v>3</v>
      </c>
      <c r="E29" t="s">
        <v>15</v>
      </c>
      <c r="F29" s="32">
        <f t="shared" si="0"/>
        <v>1.3333333333333333</v>
      </c>
      <c r="G29" t="str" cm="1">
        <f t="array" ref="G29">_xlfn.IFS($D29&gt;=$I$15,$J$15,$D29&gt;=$I$14,$J$14,$D29&gt;=$I$13,$J$13,$D29&gt;=$I$12,$J$12,$D29&gt;=$I$11,$J$11,$D29,$J$10)</f>
        <v>Átlagos</v>
      </c>
    </row>
    <row r="30" spans="1:7" x14ac:dyDescent="0.25">
      <c r="A30" t="s">
        <v>45</v>
      </c>
      <c r="B30" s="29">
        <v>4.2</v>
      </c>
      <c r="C30" s="30">
        <v>8</v>
      </c>
      <c r="D30" s="36">
        <v>3</v>
      </c>
      <c r="E30" t="s">
        <v>15</v>
      </c>
      <c r="F30" s="32">
        <f t="shared" si="0"/>
        <v>1.4000000000000001</v>
      </c>
      <c r="G30" t="str" cm="1">
        <f t="array" ref="G30">_xlfn.IFS($D30&gt;=$I$15,$J$15,$D30&gt;=$I$14,$J$14,$D30&gt;=$I$13,$J$13,$D30&gt;=$I$12,$J$12,$D30&gt;=$I$11,$J$11,$D30,$J$10)</f>
        <v>Átlagos</v>
      </c>
    </row>
    <row r="31" spans="1:7" x14ac:dyDescent="0.25">
      <c r="A31" t="s">
        <v>22</v>
      </c>
      <c r="B31" s="29">
        <v>4.5</v>
      </c>
      <c r="C31" s="30">
        <v>12</v>
      </c>
      <c r="D31" s="36">
        <v>2.5</v>
      </c>
      <c r="E31" t="s">
        <v>15</v>
      </c>
      <c r="F31" s="32">
        <f t="shared" si="0"/>
        <v>1.8</v>
      </c>
      <c r="G31" t="str" cm="1">
        <f t="array" ref="G31">_xlfn.IFS($D31&gt;=$I$15,$J$15,$D31&gt;=$I$14,$J$14,$D31&gt;=$I$13,$J$13,$D31&gt;=$I$12,$J$12,$D31&gt;=$I$11,$J$11,$D31,$J$10)</f>
        <v>Gyors</v>
      </c>
    </row>
    <row r="32" spans="1:7" x14ac:dyDescent="0.25">
      <c r="A32" t="s">
        <v>19</v>
      </c>
      <c r="B32" s="29">
        <v>9</v>
      </c>
      <c r="C32" s="30">
        <v>25</v>
      </c>
      <c r="D32" s="36">
        <v>6</v>
      </c>
      <c r="E32" t="s">
        <v>15</v>
      </c>
      <c r="F32" s="32">
        <f t="shared" si="0"/>
        <v>1.5</v>
      </c>
      <c r="G32" t="str" cm="1">
        <f t="array" ref="G32">_xlfn.IFS($D32&gt;=$I$15,$J$15,$D32&gt;=$I$14,$J$14,$D32&gt;=$I$13,$J$13,$D32&gt;=$I$12,$J$12,$D32&gt;=$I$11,$J$11,$D32,$J$10)</f>
        <v>Nagyon lassú</v>
      </c>
    </row>
    <row r="35" spans="2:2" x14ac:dyDescent="0.25">
      <c r="B35" s="29"/>
    </row>
  </sheetData>
  <sortState xmlns:xlrd2="http://schemas.microsoft.com/office/spreadsheetml/2017/richdata2" ref="A2:E32">
    <sortCondition ref="A2:A32"/>
  </sortState>
  <conditionalFormatting sqref="A2:G32">
    <cfRule type="expression" dxfId="0" priority="1">
      <formula>$B2&gt;AVERAGE($B$2:$B$32)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Statisztika</vt:lpstr>
      <vt:lpstr>Tanösvények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Artúr Ódor</dc:creator>
  <cp:lastModifiedBy>Artúr Ódor</cp:lastModifiedBy>
  <dcterms:created xsi:type="dcterms:W3CDTF">2025-11-15T09:37:21Z</dcterms:created>
  <dcterms:modified xsi:type="dcterms:W3CDTF">2025-11-15T10:57:03Z</dcterms:modified>
</cp:coreProperties>
</file>