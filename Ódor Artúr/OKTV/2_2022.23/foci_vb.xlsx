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rtúr\fakt2025\Ódor Artúr\OKTV\2_2022.23\"/>
    </mc:Choice>
  </mc:AlternateContent>
  <xr:revisionPtr revIDLastSave="0" documentId="13_ncr:1_{EB9D66BC-A31E-4772-8919-8C3D168EAFF3}" xr6:coauthVersionLast="36" xr6:coauthVersionMax="36" xr10:uidLastSave="{00000000-0000-0000-0000-000000000000}"/>
  <bookViews>
    <workbookView xWindow="0" yWindow="0" windowWidth="21600" windowHeight="8805" activeTab="1" xr2:uid="{5B778591-2CFC-4777-A1A5-F45A1CCFBF81}"/>
  </bookViews>
  <sheets>
    <sheet name="Éremtábla" sheetId="1" r:id="rId1"/>
    <sheet name="Góllövők" sheetId="2" r:id="rId2"/>
  </sheets>
  <definedNames>
    <definedName name="GalambSándor">Góllövők!$A$1:$E$102</definedName>
    <definedName name="kutyatáp">Góllövők!$A$1:$E$102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N10" i="2"/>
  <c r="N9" i="2"/>
  <c r="I11" i="2" s="1"/>
  <c r="N5" i="2"/>
  <c r="I8" i="2" s="1"/>
  <c r="I9" i="1"/>
  <c r="E2" i="2"/>
  <c r="I18" i="1"/>
  <c r="I15" i="1"/>
  <c r="G3" i="1"/>
  <c r="G4" i="1"/>
  <c r="G5" i="1"/>
  <c r="G6" i="1"/>
  <c r="G7" i="1"/>
  <c r="I2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J11" i="2" l="1"/>
</calcChain>
</file>

<file path=xl/sharedStrings.xml><?xml version="1.0" encoding="utf-8"?>
<sst xmlns="http://schemas.openxmlformats.org/spreadsheetml/2006/main" count="246" uniqueCount="148">
  <si>
    <t>Nemzet</t>
  </si>
  <si>
    <t>Győzelmek száma</t>
  </si>
  <si>
    <t>Ezüstérmek száma</t>
  </si>
  <si>
    <t>Bronzérmek száma</t>
  </si>
  <si>
    <t>Brazília</t>
  </si>
  <si>
    <t>Németország</t>
  </si>
  <si>
    <t>Olaszország</t>
  </si>
  <si>
    <t>Argentína</t>
  </si>
  <si>
    <t>Franciaország</t>
  </si>
  <si>
    <t>Uruguay</t>
  </si>
  <si>
    <t>Anglia</t>
  </si>
  <si>
    <t>Spanyolország</t>
  </si>
  <si>
    <t>Hollandia</t>
  </si>
  <si>
    <t>Csehszlovákia</t>
  </si>
  <si>
    <t>Magyarország</t>
  </si>
  <si>
    <t>Svédország</t>
  </si>
  <si>
    <t>Horvátország</t>
  </si>
  <si>
    <t>Lengyelország</t>
  </si>
  <si>
    <t>Egyesült Államok</t>
  </si>
  <si>
    <t>Jugoszlávia</t>
  </si>
  <si>
    <t>Ausztria</t>
  </si>
  <si>
    <t>Chile</t>
  </si>
  <si>
    <t>Portugália</t>
  </si>
  <si>
    <t>Törökország</t>
  </si>
  <si>
    <t>Belgium</t>
  </si>
  <si>
    <t>Játékos</t>
  </si>
  <si>
    <t>Ország</t>
  </si>
  <si>
    <t>Gólok száma</t>
  </si>
  <si>
    <t>Meccsek száma</t>
  </si>
  <si>
    <t>Meccsenként</t>
  </si>
  <si>
    <t>Miroslav Klose</t>
  </si>
  <si>
    <t>Ronaldo</t>
  </si>
  <si>
    <t>Gerd Müller</t>
  </si>
  <si>
    <t>Just Fontaine</t>
  </si>
  <si>
    <t>Lionel Messi</t>
  </si>
  <si>
    <t>Pelé</t>
  </si>
  <si>
    <t>Kylian Mbappé</t>
  </si>
  <si>
    <t>Kocsis Sándor</t>
  </si>
  <si>
    <t>Jürgen Klinsmann</t>
  </si>
  <si>
    <t>Helmut Rahn</t>
  </si>
  <si>
    <t>Gary Lineker</t>
  </si>
  <si>
    <t>Gabriel Batistuta</t>
  </si>
  <si>
    <t>Teófilo Cubillas</t>
  </si>
  <si>
    <t>Peru</t>
  </si>
  <si>
    <t>Thomas Müller</t>
  </si>
  <si>
    <t>Grzegorz Lato</t>
  </si>
  <si>
    <t>Ademir</t>
  </si>
  <si>
    <t>Eusébio</t>
  </si>
  <si>
    <t>Christian Vieri</t>
  </si>
  <si>
    <t>Vavá</t>
  </si>
  <si>
    <t>David Villa</t>
  </si>
  <si>
    <t>Paolo Rossi</t>
  </si>
  <si>
    <t>Jairzinho</t>
  </si>
  <si>
    <t>Roberto Baggio</t>
  </si>
  <si>
    <t>Karl-Heinz Rummenigge</t>
  </si>
  <si>
    <t>Uwe Seeler</t>
  </si>
  <si>
    <t>Guillermo Stábile</t>
  </si>
  <si>
    <t>Leônidas</t>
  </si>
  <si>
    <t>Óscar Míguez</t>
  </si>
  <si>
    <t>Harry Kane</t>
  </si>
  <si>
    <t>Neymar</t>
  </si>
  <si>
    <t>Rivaldo</t>
  </si>
  <si>
    <t>Rudi Völler</t>
  </si>
  <si>
    <t>Diego Maradona</t>
  </si>
  <si>
    <t>Cristiano Ronaldo</t>
  </si>
  <si>
    <t>Oldřich Nejedlý</t>
  </si>
  <si>
    <t>Csehország</t>
  </si>
  <si>
    <t>Tichy Lajos</t>
  </si>
  <si>
    <t>Careca</t>
  </si>
  <si>
    <t>Johnny Rep</t>
  </si>
  <si>
    <t>Andrzej Szarmach</t>
  </si>
  <si>
    <t>Hans Schäfer</t>
  </si>
  <si>
    <t>Luis Suárez</t>
  </si>
  <si>
    <t>Josef Hügi</t>
  </si>
  <si>
    <t>Svájc</t>
  </si>
  <si>
    <t>Oleg Salenko</t>
  </si>
  <si>
    <t>Oroszország</t>
  </si>
  <si>
    <t>Sárosi György</t>
  </si>
  <si>
    <t>Max Morlock</t>
  </si>
  <si>
    <t>Erich Probst</t>
  </si>
  <si>
    <t>Enner Valencia</t>
  </si>
  <si>
    <t>Ecuador</t>
  </si>
  <si>
    <t>Salvatore Schillaci</t>
  </si>
  <si>
    <t>Davor Šuker</t>
  </si>
  <si>
    <t>James Rodríguez</t>
  </si>
  <si>
    <t>Kolumbia</t>
  </si>
  <si>
    <t>Helmut Haller</t>
  </si>
  <si>
    <t>Hristo Stoichkov</t>
  </si>
  <si>
    <t>Bulgária</t>
  </si>
  <si>
    <t>Diego Forlán</t>
  </si>
  <si>
    <t>Asamoah Gyan</t>
  </si>
  <si>
    <t>Ghána</t>
  </si>
  <si>
    <t>Dennis Bergkamp</t>
  </si>
  <si>
    <t>Rob Rensenbrink</t>
  </si>
  <si>
    <t>Rivellino</t>
  </si>
  <si>
    <t>Bebeto</t>
  </si>
  <si>
    <t>Arjen Robben</t>
  </si>
  <si>
    <t>Zbigniew Boniek</t>
  </si>
  <si>
    <t>Thierry Henry</t>
  </si>
  <si>
    <t>Robin van Persie</t>
  </si>
  <si>
    <t>Wesley Sneijder</t>
  </si>
  <si>
    <t>Ivan Perišić</t>
  </si>
  <si>
    <t>Mario Kempes</t>
  </si>
  <si>
    <t>Lothar Matthäus</t>
  </si>
  <si>
    <t>Pedro Cea</t>
  </si>
  <si>
    <t>Silvio Piola</t>
  </si>
  <si>
    <t>Zsengellér Gyula</t>
  </si>
  <si>
    <t>Peter McParland</t>
  </si>
  <si>
    <t>Észak-Írország</t>
  </si>
  <si>
    <t>Tomáš Skuhravý</t>
  </si>
  <si>
    <t>Juan Alberto Schiaffino</t>
  </si>
  <si>
    <t>Geoff Hurst</t>
  </si>
  <si>
    <t>Jon Dahl Tomasson</t>
  </si>
  <si>
    <t>Dánia</t>
  </si>
  <si>
    <t>Alessandro Altobelli</t>
  </si>
  <si>
    <t>Kennet Andersson</t>
  </si>
  <si>
    <t>Fernando Morientes</t>
  </si>
  <si>
    <t>Romário</t>
  </si>
  <si>
    <t>Marc Wilmots</t>
  </si>
  <si>
    <t>Mario Mandžukić</t>
  </si>
  <si>
    <t>Valentin Ivanov</t>
  </si>
  <si>
    <t>Emilio Butragueño</t>
  </si>
  <si>
    <t>Roger Milla</t>
  </si>
  <si>
    <t>Kamerun</t>
  </si>
  <si>
    <t>Tim Cahill</t>
  </si>
  <si>
    <t>Ausztrália</t>
  </si>
  <si>
    <t>Hans Krankl</t>
  </si>
  <si>
    <t>Raúl</t>
  </si>
  <si>
    <t>Garrincha</t>
  </si>
  <si>
    <t>Johan Neeskens</t>
  </si>
  <si>
    <t>Fernando Hierro</t>
  </si>
  <si>
    <t>Zinedine Zidane</t>
  </si>
  <si>
    <t>Landon Donovan</t>
  </si>
  <si>
    <t>USA</t>
  </si>
  <si>
    <t>Romelu Lukaku</t>
  </si>
  <si>
    <t>Xherdan Shaqiri</t>
  </si>
  <si>
    <t>Henrik Larsson</t>
  </si>
  <si>
    <t>Michel Platini</t>
  </si>
  <si>
    <t>Zico</t>
  </si>
  <si>
    <t>Gonzalo Higuaín</t>
  </si>
  <si>
    <t>Lukas Podolski</t>
  </si>
  <si>
    <t>Edinson Cavani</t>
  </si>
  <si>
    <t>Franz Beckenbauer</t>
  </si>
  <si>
    <t>Olivier Giroud</t>
  </si>
  <si>
    <t>&gt;1</t>
  </si>
  <si>
    <t>brazília</t>
  </si>
  <si>
    <t>&gt;0,4</t>
  </si>
  <si>
    <t>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</si>
</sst>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&quot; db&quot;"/>
    <numFmt numFmtId="172" formatCode="General&quot; gól&quot;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0" fillId="5" borderId="1" xfId="0" applyFill="1" applyBorder="1"/>
    <xf numFmtId="2" fontId="0" fillId="5" borderId="1" xfId="0" applyNumberFormat="1" applyFill="1" applyBorder="1"/>
    <xf numFmtId="0" fontId="0" fillId="5" borderId="1" xfId="0" applyFill="1" applyBorder="1" applyAlignment="1"/>
    <xf numFmtId="171" fontId="0" fillId="0" borderId="0" xfId="0" applyNumberFormat="1"/>
    <xf numFmtId="172" fontId="0" fillId="0" borderId="0" xfId="0" applyNumberFormat="1"/>
  </cellXfs>
  <cellStyles count="1">
    <cellStyle name="Normá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3CD9-EBE8-448D-98E6-7EFDF900D063}">
  <dimension ref="A1:I22"/>
  <sheetViews>
    <sheetView workbookViewId="0">
      <selection activeCell="D12" sqref="D12"/>
    </sheetView>
  </sheetViews>
  <sheetFormatPr defaultColWidth="8.7109375" defaultRowHeight="15" x14ac:dyDescent="0.25"/>
  <cols>
    <col min="1" max="1" width="16.28515625" bestFit="1" customWidth="1"/>
    <col min="2" max="2" width="17" bestFit="1" customWidth="1"/>
    <col min="3" max="3" width="17.42578125" bestFit="1" customWidth="1"/>
    <col min="4" max="4" width="17.85546875" bestFit="1" customWidth="1"/>
    <col min="7" max="7" width="6.28515625" customWidth="1"/>
    <col min="9" max="9" width="12.7109375" bestFit="1" customWidth="1"/>
  </cols>
  <sheetData>
    <row r="1" spans="1:9" ht="15.75" thickBot="1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9" x14ac:dyDescent="0.25">
      <c r="A2" s="3" t="s">
        <v>4</v>
      </c>
      <c r="B2" s="3">
        <v>5</v>
      </c>
      <c r="C2" s="3">
        <v>2</v>
      </c>
      <c r="D2" s="3">
        <v>2</v>
      </c>
      <c r="G2">
        <f>SUM(B2:D2)</f>
        <v>9</v>
      </c>
      <c r="I2" s="1" t="str">
        <f>IF($G$7&lt;LARGE(G2:G22, 2),"Több ilyen","Nincs ilyen")</f>
        <v>Több ilyen</v>
      </c>
    </row>
    <row r="3" spans="1:9" x14ac:dyDescent="0.25">
      <c r="A3" s="2" t="s">
        <v>5</v>
      </c>
      <c r="B3" s="2">
        <v>4</v>
      </c>
      <c r="C3" s="2">
        <v>4</v>
      </c>
      <c r="D3" s="2">
        <v>4</v>
      </c>
      <c r="G3">
        <f t="shared" ref="G3:G22" si="0">SUM(B3:D3)</f>
        <v>12</v>
      </c>
    </row>
    <row r="4" spans="1:9" x14ac:dyDescent="0.25">
      <c r="A4" s="2" t="s">
        <v>6</v>
      </c>
      <c r="B4" s="2">
        <v>4</v>
      </c>
      <c r="C4" s="2">
        <v>2</v>
      </c>
      <c r="D4" s="2">
        <v>1</v>
      </c>
      <c r="G4">
        <f t="shared" si="0"/>
        <v>7</v>
      </c>
    </row>
    <row r="5" spans="1:9" x14ac:dyDescent="0.25">
      <c r="A5" s="2" t="s">
        <v>7</v>
      </c>
      <c r="B5" s="2">
        <v>3</v>
      </c>
      <c r="C5" s="2">
        <v>3</v>
      </c>
      <c r="D5" s="2">
        <v>0</v>
      </c>
      <c r="G5">
        <f t="shared" si="0"/>
        <v>6</v>
      </c>
    </row>
    <row r="6" spans="1:9" x14ac:dyDescent="0.25">
      <c r="A6" s="2" t="s">
        <v>8</v>
      </c>
      <c r="B6" s="2">
        <v>2</v>
      </c>
      <c r="C6" s="2">
        <v>2</v>
      </c>
      <c r="D6" s="2">
        <v>2</v>
      </c>
      <c r="G6">
        <f t="shared" si="0"/>
        <v>6</v>
      </c>
    </row>
    <row r="7" spans="1:9" x14ac:dyDescent="0.25">
      <c r="A7" s="2" t="s">
        <v>9</v>
      </c>
      <c r="B7" s="2">
        <v>2</v>
      </c>
      <c r="C7" s="2">
        <v>0</v>
      </c>
      <c r="D7" s="2">
        <v>0</v>
      </c>
      <c r="G7">
        <f t="shared" si="0"/>
        <v>2</v>
      </c>
    </row>
    <row r="8" spans="1:9" x14ac:dyDescent="0.25">
      <c r="A8" s="2" t="s">
        <v>10</v>
      </c>
      <c r="B8" s="2">
        <v>1</v>
      </c>
      <c r="C8" s="2">
        <v>0</v>
      </c>
      <c r="D8" s="2">
        <v>0</v>
      </c>
      <c r="G8">
        <f t="shared" si="0"/>
        <v>1</v>
      </c>
    </row>
    <row r="9" spans="1:9" x14ac:dyDescent="0.25">
      <c r="A9" s="2" t="s">
        <v>11</v>
      </c>
      <c r="B9" s="2">
        <v>1</v>
      </c>
      <c r="C9" s="2">
        <v>0</v>
      </c>
      <c r="D9" s="2">
        <v>0</v>
      </c>
      <c r="G9">
        <f t="shared" si="0"/>
        <v>1</v>
      </c>
      <c r="I9" s="1">
        <f>COUNTIF(A2:A22,B2:B22&lt;C2:C22)</f>
        <v>0</v>
      </c>
    </row>
    <row r="10" spans="1:9" x14ac:dyDescent="0.25">
      <c r="A10" s="2" t="s">
        <v>12</v>
      </c>
      <c r="B10" s="2">
        <v>0</v>
      </c>
      <c r="C10" s="2">
        <v>3</v>
      </c>
      <c r="D10" s="2">
        <v>1</v>
      </c>
      <c r="G10">
        <f t="shared" si="0"/>
        <v>4</v>
      </c>
    </row>
    <row r="11" spans="1:9" x14ac:dyDescent="0.25">
      <c r="A11" s="2" t="s">
        <v>13</v>
      </c>
      <c r="B11" s="2">
        <v>0</v>
      </c>
      <c r="C11" s="2">
        <v>2</v>
      </c>
      <c r="D11" s="2">
        <v>0</v>
      </c>
      <c r="G11">
        <f t="shared" si="0"/>
        <v>2</v>
      </c>
    </row>
    <row r="12" spans="1:9" x14ac:dyDescent="0.25">
      <c r="A12" s="2" t="s">
        <v>14</v>
      </c>
      <c r="B12" s="2">
        <v>0</v>
      </c>
      <c r="C12" s="2">
        <v>2</v>
      </c>
      <c r="D12" s="2">
        <v>0</v>
      </c>
      <c r="G12">
        <f t="shared" si="0"/>
        <v>2</v>
      </c>
    </row>
    <row r="13" spans="1:9" x14ac:dyDescent="0.25">
      <c r="A13" s="2" t="s">
        <v>15</v>
      </c>
      <c r="B13" s="2">
        <v>0</v>
      </c>
      <c r="C13" s="2">
        <v>1</v>
      </c>
      <c r="D13" s="2">
        <v>2</v>
      </c>
      <c r="G13">
        <f t="shared" si="0"/>
        <v>3</v>
      </c>
    </row>
    <row r="14" spans="1:9" x14ac:dyDescent="0.25">
      <c r="A14" s="2" t="s">
        <v>16</v>
      </c>
      <c r="B14" s="2">
        <v>0</v>
      </c>
      <c r="C14" s="2">
        <v>1</v>
      </c>
      <c r="D14" s="2">
        <v>2</v>
      </c>
      <c r="G14">
        <f t="shared" si="0"/>
        <v>3</v>
      </c>
    </row>
    <row r="15" spans="1:9" x14ac:dyDescent="0.25">
      <c r="A15" s="2" t="s">
        <v>17</v>
      </c>
      <c r="B15" s="2">
        <v>0</v>
      </c>
      <c r="C15" s="2">
        <v>0</v>
      </c>
      <c r="D15" s="2">
        <v>2</v>
      </c>
      <c r="G15">
        <f t="shared" si="0"/>
        <v>2</v>
      </c>
      <c r="I15" s="1" t="str">
        <f>INDEX(A2:A22,MATCH(MAX(G2:G22),G2:G22,0))</f>
        <v>Németország</v>
      </c>
    </row>
    <row r="16" spans="1:9" x14ac:dyDescent="0.25">
      <c r="A16" s="2" t="s">
        <v>18</v>
      </c>
      <c r="B16" s="2">
        <v>0</v>
      </c>
      <c r="C16" s="2">
        <v>0</v>
      </c>
      <c r="D16" s="2">
        <v>1</v>
      </c>
      <c r="G16">
        <f t="shared" si="0"/>
        <v>1</v>
      </c>
    </row>
    <row r="17" spans="1:9" x14ac:dyDescent="0.25">
      <c r="A17" s="2" t="s">
        <v>19</v>
      </c>
      <c r="B17" s="2">
        <v>0</v>
      </c>
      <c r="C17" s="2">
        <v>0</v>
      </c>
      <c r="D17" s="2">
        <v>1</v>
      </c>
      <c r="G17">
        <f t="shared" si="0"/>
        <v>1</v>
      </c>
    </row>
    <row r="18" spans="1:9" x14ac:dyDescent="0.25">
      <c r="A18" s="2" t="s">
        <v>20</v>
      </c>
      <c r="B18" s="2">
        <v>0</v>
      </c>
      <c r="C18" s="2">
        <v>0</v>
      </c>
      <c r="D18" s="2">
        <v>1</v>
      </c>
      <c r="G18">
        <f t="shared" si="0"/>
        <v>1</v>
      </c>
      <c r="I18" s="1">
        <f>SUMIFS(B2:D22,B2:D22,ROW(B2)=MATCH(MAX(B1:B22),B1:B22,0))</f>
        <v>0</v>
      </c>
    </row>
    <row r="19" spans="1:9" x14ac:dyDescent="0.25">
      <c r="A19" s="2" t="s">
        <v>21</v>
      </c>
      <c r="B19" s="2">
        <v>0</v>
      </c>
      <c r="C19" s="2">
        <v>0</v>
      </c>
      <c r="D19" s="2">
        <v>1</v>
      </c>
      <c r="G19">
        <f t="shared" si="0"/>
        <v>1</v>
      </c>
    </row>
    <row r="20" spans="1:9" x14ac:dyDescent="0.25">
      <c r="A20" s="2" t="s">
        <v>22</v>
      </c>
      <c r="B20" s="2">
        <v>0</v>
      </c>
      <c r="C20" s="2">
        <v>0</v>
      </c>
      <c r="D20" s="2">
        <v>1</v>
      </c>
      <c r="G20">
        <f t="shared" si="0"/>
        <v>1</v>
      </c>
    </row>
    <row r="21" spans="1:9" x14ac:dyDescent="0.25">
      <c r="A21" s="2" t="s">
        <v>23</v>
      </c>
      <c r="B21" s="2">
        <v>0</v>
      </c>
      <c r="C21" s="2">
        <v>0</v>
      </c>
      <c r="D21" s="2">
        <v>1</v>
      </c>
      <c r="G21">
        <f t="shared" si="0"/>
        <v>1</v>
      </c>
    </row>
    <row r="22" spans="1:9" x14ac:dyDescent="0.25">
      <c r="A22" s="2" t="s">
        <v>24</v>
      </c>
      <c r="B22" s="2">
        <v>0</v>
      </c>
      <c r="C22" s="2">
        <v>0</v>
      </c>
      <c r="D22" s="2">
        <v>1</v>
      </c>
      <c r="G22">
        <f t="shared" si="0"/>
        <v>1</v>
      </c>
    </row>
  </sheetData>
  <conditionalFormatting sqref="A2:D22">
    <cfRule type="expression" dxfId="0" priority="1">
      <formula>$C2=$G2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EDEA-0D2B-4D56-8E81-15FEFAB64A41}">
  <dimension ref="A1:P102"/>
  <sheetViews>
    <sheetView tabSelected="1" workbookViewId="0">
      <selection activeCell="K4" sqref="K4"/>
    </sheetView>
  </sheetViews>
  <sheetFormatPr defaultRowHeight="15" x14ac:dyDescent="0.25"/>
  <cols>
    <col min="1" max="1" width="22.7109375" bestFit="1" customWidth="1"/>
    <col min="2" max="2" width="13.7109375" bestFit="1" customWidth="1"/>
    <col min="3" max="3" width="12" bestFit="1" customWidth="1"/>
    <col min="4" max="4" width="14.5703125" bestFit="1" customWidth="1"/>
    <col min="5" max="5" width="12.7109375" bestFit="1" customWidth="1"/>
    <col min="13" max="13" width="13.140625" bestFit="1" customWidth="1"/>
    <col min="14" max="14" width="12.140625" bestFit="1" customWidth="1"/>
  </cols>
  <sheetData>
    <row r="1" spans="1:16" s="7" customFormat="1" x14ac:dyDescent="0.25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</row>
    <row r="2" spans="1:16" x14ac:dyDescent="0.25">
      <c r="A2" s="9" t="s">
        <v>30</v>
      </c>
      <c r="B2" s="9" t="s">
        <v>5</v>
      </c>
      <c r="C2" s="9">
        <v>16</v>
      </c>
      <c r="D2" s="9">
        <v>24</v>
      </c>
      <c r="E2" s="10">
        <f>C2/D2</f>
        <v>0.66666666666666663</v>
      </c>
    </row>
    <row r="3" spans="1:16" x14ac:dyDescent="0.25">
      <c r="A3" s="9" t="s">
        <v>31</v>
      </c>
      <c r="B3" s="9" t="s">
        <v>4</v>
      </c>
      <c r="C3" s="9">
        <v>15</v>
      </c>
      <c r="D3" s="9">
        <v>19</v>
      </c>
      <c r="E3" s="10">
        <f t="shared" ref="E3:E66" si="0">C3/D3</f>
        <v>0.78947368421052633</v>
      </c>
    </row>
    <row r="4" spans="1:16" x14ac:dyDescent="0.25">
      <c r="A4" s="9" t="s">
        <v>32</v>
      </c>
      <c r="B4" s="9" t="s">
        <v>5</v>
      </c>
      <c r="C4" s="9">
        <v>14</v>
      </c>
      <c r="D4" s="9">
        <v>13</v>
      </c>
      <c r="E4" s="10">
        <f t="shared" si="0"/>
        <v>1.0769230769230769</v>
      </c>
      <c r="I4" s="12">
        <f>COUNTA(A2:A102)-COUNTIF(A2:A102,"* *")</f>
        <v>16</v>
      </c>
      <c r="M4" s="8" t="s">
        <v>29</v>
      </c>
      <c r="N4" t="s">
        <v>27</v>
      </c>
    </row>
    <row r="5" spans="1:16" x14ac:dyDescent="0.25">
      <c r="A5" s="9" t="s">
        <v>33</v>
      </c>
      <c r="B5" s="9" t="s">
        <v>8</v>
      </c>
      <c r="C5" s="9">
        <v>13</v>
      </c>
      <c r="D5" s="9">
        <v>6</v>
      </c>
      <c r="E5" s="10">
        <f t="shared" si="0"/>
        <v>2.1666666666666665</v>
      </c>
      <c r="M5" s="10" t="s">
        <v>144</v>
      </c>
      <c r="N5">
        <f>DMAX(GalambSándor,C1,M4:M5)</f>
        <v>14</v>
      </c>
    </row>
    <row r="6" spans="1:16" x14ac:dyDescent="0.25">
      <c r="A6" s="9" t="s">
        <v>34</v>
      </c>
      <c r="B6" s="9" t="s">
        <v>7</v>
      </c>
      <c r="C6" s="9">
        <v>13</v>
      </c>
      <c r="D6" s="9">
        <v>26</v>
      </c>
      <c r="E6" s="10">
        <f t="shared" si="0"/>
        <v>0.5</v>
      </c>
    </row>
    <row r="7" spans="1:16" x14ac:dyDescent="0.25">
      <c r="A7" s="9" t="s">
        <v>35</v>
      </c>
      <c r="B7" s="9" t="s">
        <v>4</v>
      </c>
      <c r="C7" s="9">
        <v>12</v>
      </c>
      <c r="D7" s="9">
        <v>14</v>
      </c>
      <c r="E7" s="10">
        <f t="shared" si="0"/>
        <v>0.8571428571428571</v>
      </c>
    </row>
    <row r="8" spans="1:16" x14ac:dyDescent="0.25">
      <c r="A8" s="9" t="s">
        <v>36</v>
      </c>
      <c r="B8" s="9" t="s">
        <v>8</v>
      </c>
      <c r="C8" s="9">
        <v>12</v>
      </c>
      <c r="D8" s="9">
        <v>14</v>
      </c>
      <c r="E8" s="10">
        <f t="shared" si="0"/>
        <v>0.8571428571428571</v>
      </c>
      <c r="I8" s="12">
        <f>DGET(GalambSándor,C1,M4:N5)</f>
        <v>14</v>
      </c>
      <c r="M8" s="8" t="s">
        <v>26</v>
      </c>
      <c r="N8" s="8" t="s">
        <v>27</v>
      </c>
      <c r="O8" s="8" t="s">
        <v>29</v>
      </c>
      <c r="P8" s="8" t="s">
        <v>28</v>
      </c>
    </row>
    <row r="9" spans="1:16" x14ac:dyDescent="0.25">
      <c r="A9" s="9" t="s">
        <v>37</v>
      </c>
      <c r="B9" s="9" t="s">
        <v>14</v>
      </c>
      <c r="C9" s="9">
        <v>11</v>
      </c>
      <c r="D9" s="9">
        <v>5</v>
      </c>
      <c r="E9" s="10">
        <f t="shared" si="0"/>
        <v>2.2000000000000002</v>
      </c>
      <c r="M9" s="9" t="s">
        <v>14</v>
      </c>
      <c r="N9" s="9" t="str">
        <f>"&gt;"&amp;DAVERAGE(GalambSándor,C1,M14:M15)</f>
        <v>&gt;8</v>
      </c>
      <c r="O9" s="10"/>
      <c r="P9" s="9"/>
    </row>
    <row r="10" spans="1:16" x14ac:dyDescent="0.25">
      <c r="A10" s="9" t="s">
        <v>38</v>
      </c>
      <c r="B10" s="9" t="s">
        <v>5</v>
      </c>
      <c r="C10" s="9">
        <v>11</v>
      </c>
      <c r="D10" s="9">
        <v>17</v>
      </c>
      <c r="E10" s="10">
        <f t="shared" si="0"/>
        <v>0.6470588235294118</v>
      </c>
      <c r="M10" s="9" t="s">
        <v>8</v>
      </c>
      <c r="N10" t="str">
        <f>"&gt;"&amp;DAVERAGE(GalambSándor,C1,M14:M15)</f>
        <v>&gt;8</v>
      </c>
    </row>
    <row r="11" spans="1:16" x14ac:dyDescent="0.25">
      <c r="A11" s="9" t="s">
        <v>39</v>
      </c>
      <c r="B11" s="9" t="s">
        <v>5</v>
      </c>
      <c r="C11" s="9">
        <v>10</v>
      </c>
      <c r="D11" s="11">
        <v>10</v>
      </c>
      <c r="E11" s="10">
        <f t="shared" si="0"/>
        <v>1</v>
      </c>
      <c r="I11" s="12">
        <f>DCOUNT(GalambSándor,C1,M8:P11)</f>
        <v>5</v>
      </c>
      <c r="J11" s="13">
        <f>DAVERAGE(GalambSándor,C1,M8:P11)</f>
        <v>12.2</v>
      </c>
      <c r="M11" s="9" t="s">
        <v>5</v>
      </c>
      <c r="O11" t="s">
        <v>146</v>
      </c>
      <c r="P11" t="s">
        <v>147</v>
      </c>
    </row>
    <row r="12" spans="1:16" x14ac:dyDescent="0.25">
      <c r="A12" s="9" t="s">
        <v>40</v>
      </c>
      <c r="B12" s="9" t="s">
        <v>10</v>
      </c>
      <c r="C12" s="9">
        <v>10</v>
      </c>
      <c r="D12" s="9">
        <v>12</v>
      </c>
      <c r="E12" s="10">
        <f t="shared" si="0"/>
        <v>0.83333333333333337</v>
      </c>
    </row>
    <row r="13" spans="1:16" x14ac:dyDescent="0.25">
      <c r="A13" s="9" t="s">
        <v>41</v>
      </c>
      <c r="B13" s="9" t="s">
        <v>7</v>
      </c>
      <c r="C13" s="9">
        <v>10</v>
      </c>
      <c r="D13" s="9">
        <v>12</v>
      </c>
      <c r="E13" s="10">
        <f t="shared" si="0"/>
        <v>0.83333333333333337</v>
      </c>
    </row>
    <row r="14" spans="1:16" x14ac:dyDescent="0.25">
      <c r="A14" s="9" t="s">
        <v>42</v>
      </c>
      <c r="B14" s="9" t="s">
        <v>43</v>
      </c>
      <c r="C14" s="9">
        <v>10</v>
      </c>
      <c r="D14" s="9">
        <v>13</v>
      </c>
      <c r="E14" s="10">
        <f t="shared" si="0"/>
        <v>0.76923076923076927</v>
      </c>
      <c r="M14" s="8" t="s">
        <v>26</v>
      </c>
    </row>
    <row r="15" spans="1:16" x14ac:dyDescent="0.25">
      <c r="A15" s="9" t="s">
        <v>44</v>
      </c>
      <c r="B15" s="9" t="s">
        <v>5</v>
      </c>
      <c r="C15" s="9">
        <v>10</v>
      </c>
      <c r="D15" s="9">
        <v>19</v>
      </c>
      <c r="E15" s="10">
        <f t="shared" si="0"/>
        <v>0.52631578947368418</v>
      </c>
      <c r="M15" s="9" t="s">
        <v>145</v>
      </c>
    </row>
    <row r="16" spans="1:16" x14ac:dyDescent="0.25">
      <c r="A16" s="9" t="s">
        <v>45</v>
      </c>
      <c r="B16" s="9" t="s">
        <v>17</v>
      </c>
      <c r="C16" s="9">
        <v>10</v>
      </c>
      <c r="D16" s="9">
        <v>20</v>
      </c>
      <c r="E16" s="10">
        <f t="shared" si="0"/>
        <v>0.5</v>
      </c>
    </row>
    <row r="17" spans="1:5" x14ac:dyDescent="0.25">
      <c r="A17" s="9" t="s">
        <v>46</v>
      </c>
      <c r="B17" s="9" t="s">
        <v>4</v>
      </c>
      <c r="C17" s="9">
        <v>9</v>
      </c>
      <c r="D17" s="9">
        <v>6</v>
      </c>
      <c r="E17" s="10">
        <f t="shared" si="0"/>
        <v>1.5</v>
      </c>
    </row>
    <row r="18" spans="1:5" x14ac:dyDescent="0.25">
      <c r="A18" s="9" t="s">
        <v>47</v>
      </c>
      <c r="B18" s="9" t="s">
        <v>22</v>
      </c>
      <c r="C18" s="9">
        <v>9</v>
      </c>
      <c r="D18" s="9">
        <v>6</v>
      </c>
      <c r="E18" s="10">
        <f t="shared" si="0"/>
        <v>1.5</v>
      </c>
    </row>
    <row r="19" spans="1:5" x14ac:dyDescent="0.25">
      <c r="A19" s="9" t="s">
        <v>48</v>
      </c>
      <c r="B19" s="9" t="s">
        <v>6</v>
      </c>
      <c r="C19" s="9">
        <v>9</v>
      </c>
      <c r="D19" s="9">
        <v>9</v>
      </c>
      <c r="E19" s="10">
        <f t="shared" si="0"/>
        <v>1</v>
      </c>
    </row>
    <row r="20" spans="1:5" x14ac:dyDescent="0.25">
      <c r="A20" s="9" t="s">
        <v>49</v>
      </c>
      <c r="B20" s="9" t="s">
        <v>4</v>
      </c>
      <c r="C20" s="9">
        <v>9</v>
      </c>
      <c r="D20" s="9">
        <v>10</v>
      </c>
      <c r="E20" s="10">
        <f t="shared" si="0"/>
        <v>0.9</v>
      </c>
    </row>
    <row r="21" spans="1:5" x14ac:dyDescent="0.25">
      <c r="A21" s="9" t="s">
        <v>50</v>
      </c>
      <c r="B21" s="9" t="s">
        <v>11</v>
      </c>
      <c r="C21" s="9">
        <v>9</v>
      </c>
      <c r="D21" s="9">
        <v>12</v>
      </c>
      <c r="E21" s="10">
        <f t="shared" si="0"/>
        <v>0.75</v>
      </c>
    </row>
    <row r="22" spans="1:5" x14ac:dyDescent="0.25">
      <c r="A22" s="9" t="s">
        <v>51</v>
      </c>
      <c r="B22" s="9" t="s">
        <v>6</v>
      </c>
      <c r="C22" s="9">
        <v>9</v>
      </c>
      <c r="D22" s="9">
        <v>14</v>
      </c>
      <c r="E22" s="10">
        <f t="shared" si="0"/>
        <v>0.6428571428571429</v>
      </c>
    </row>
    <row r="23" spans="1:5" x14ac:dyDescent="0.25">
      <c r="A23" s="9" t="s">
        <v>52</v>
      </c>
      <c r="B23" s="9" t="s">
        <v>4</v>
      </c>
      <c r="C23" s="9">
        <v>9</v>
      </c>
      <c r="D23" s="9">
        <v>16</v>
      </c>
      <c r="E23" s="10">
        <f t="shared" si="0"/>
        <v>0.5625</v>
      </c>
    </row>
    <row r="24" spans="1:5" x14ac:dyDescent="0.25">
      <c r="A24" s="9" t="s">
        <v>53</v>
      </c>
      <c r="B24" s="9" t="s">
        <v>6</v>
      </c>
      <c r="C24" s="9">
        <v>9</v>
      </c>
      <c r="D24" s="9">
        <v>16</v>
      </c>
      <c r="E24" s="10">
        <f t="shared" si="0"/>
        <v>0.5625</v>
      </c>
    </row>
    <row r="25" spans="1:5" x14ac:dyDescent="0.25">
      <c r="A25" s="9" t="s">
        <v>54</v>
      </c>
      <c r="B25" s="9" t="s">
        <v>5</v>
      </c>
      <c r="C25" s="9">
        <v>9</v>
      </c>
      <c r="D25" s="9">
        <v>19</v>
      </c>
      <c r="E25" s="10">
        <f t="shared" si="0"/>
        <v>0.47368421052631576</v>
      </c>
    </row>
    <row r="26" spans="1:5" x14ac:dyDescent="0.25">
      <c r="A26" s="9" t="s">
        <v>55</v>
      </c>
      <c r="B26" s="9" t="s">
        <v>5</v>
      </c>
      <c r="C26" s="9">
        <v>9</v>
      </c>
      <c r="D26" s="9">
        <v>21</v>
      </c>
      <c r="E26" s="10">
        <f t="shared" si="0"/>
        <v>0.42857142857142855</v>
      </c>
    </row>
    <row r="27" spans="1:5" x14ac:dyDescent="0.25">
      <c r="A27" s="9" t="s">
        <v>56</v>
      </c>
      <c r="B27" s="9" t="s">
        <v>7</v>
      </c>
      <c r="C27" s="9">
        <v>8</v>
      </c>
      <c r="D27" s="9">
        <v>4</v>
      </c>
      <c r="E27" s="10">
        <f t="shared" si="0"/>
        <v>2</v>
      </c>
    </row>
    <row r="28" spans="1:5" x14ac:dyDescent="0.25">
      <c r="A28" s="9" t="s">
        <v>57</v>
      </c>
      <c r="B28" s="9" t="s">
        <v>4</v>
      </c>
      <c r="C28" s="9">
        <v>8</v>
      </c>
      <c r="D28" s="9">
        <v>5</v>
      </c>
      <c r="E28" s="10">
        <f t="shared" si="0"/>
        <v>1.6</v>
      </c>
    </row>
    <row r="29" spans="1:5" x14ac:dyDescent="0.25">
      <c r="A29" s="9" t="s">
        <v>58</v>
      </c>
      <c r="B29" s="9" t="s">
        <v>9</v>
      </c>
      <c r="C29" s="9">
        <v>8</v>
      </c>
      <c r="D29" s="9">
        <v>7</v>
      </c>
      <c r="E29" s="10">
        <f t="shared" si="0"/>
        <v>1.1428571428571428</v>
      </c>
    </row>
    <row r="30" spans="1:5" x14ac:dyDescent="0.25">
      <c r="A30" s="9" t="s">
        <v>59</v>
      </c>
      <c r="B30" s="9" t="s">
        <v>10</v>
      </c>
      <c r="C30" s="9">
        <v>8</v>
      </c>
      <c r="D30" s="9">
        <v>11</v>
      </c>
      <c r="E30" s="10">
        <f t="shared" si="0"/>
        <v>0.72727272727272729</v>
      </c>
    </row>
    <row r="31" spans="1:5" x14ac:dyDescent="0.25">
      <c r="A31" s="9" t="s">
        <v>60</v>
      </c>
      <c r="B31" s="9" t="s">
        <v>4</v>
      </c>
      <c r="C31" s="9">
        <v>8</v>
      </c>
      <c r="D31" s="9">
        <v>13</v>
      </c>
      <c r="E31" s="10">
        <f t="shared" si="0"/>
        <v>0.61538461538461542</v>
      </c>
    </row>
    <row r="32" spans="1:5" x14ac:dyDescent="0.25">
      <c r="A32" s="9" t="s">
        <v>61</v>
      </c>
      <c r="B32" s="9" t="s">
        <v>4</v>
      </c>
      <c r="C32" s="9">
        <v>8</v>
      </c>
      <c r="D32" s="9">
        <v>14</v>
      </c>
      <c r="E32" s="10">
        <f t="shared" si="0"/>
        <v>0.5714285714285714</v>
      </c>
    </row>
    <row r="33" spans="1:5" x14ac:dyDescent="0.25">
      <c r="A33" s="9" t="s">
        <v>62</v>
      </c>
      <c r="B33" s="9" t="s">
        <v>5</v>
      </c>
      <c r="C33" s="9">
        <v>8</v>
      </c>
      <c r="D33" s="9">
        <v>15</v>
      </c>
      <c r="E33" s="10">
        <f t="shared" si="0"/>
        <v>0.53333333333333333</v>
      </c>
    </row>
    <row r="34" spans="1:5" x14ac:dyDescent="0.25">
      <c r="A34" s="9" t="s">
        <v>63</v>
      </c>
      <c r="B34" s="9" t="s">
        <v>7</v>
      </c>
      <c r="C34" s="9">
        <v>8</v>
      </c>
      <c r="D34" s="9">
        <v>21</v>
      </c>
      <c r="E34" s="10">
        <f t="shared" si="0"/>
        <v>0.38095238095238093</v>
      </c>
    </row>
    <row r="35" spans="1:5" x14ac:dyDescent="0.25">
      <c r="A35" s="9" t="s">
        <v>64</v>
      </c>
      <c r="B35" s="9" t="s">
        <v>22</v>
      </c>
      <c r="C35" s="9">
        <v>8</v>
      </c>
      <c r="D35" s="9">
        <v>22</v>
      </c>
      <c r="E35" s="10">
        <f t="shared" si="0"/>
        <v>0.36363636363636365</v>
      </c>
    </row>
    <row r="36" spans="1:5" x14ac:dyDescent="0.25">
      <c r="A36" s="9" t="s">
        <v>65</v>
      </c>
      <c r="B36" s="9" t="s">
        <v>66</v>
      </c>
      <c r="C36" s="9">
        <v>7</v>
      </c>
      <c r="D36" s="9">
        <v>6</v>
      </c>
      <c r="E36" s="10">
        <f t="shared" si="0"/>
        <v>1.1666666666666667</v>
      </c>
    </row>
    <row r="37" spans="1:5" x14ac:dyDescent="0.25">
      <c r="A37" s="9" t="s">
        <v>67</v>
      </c>
      <c r="B37" s="9" t="s">
        <v>14</v>
      </c>
      <c r="C37" s="9">
        <v>7</v>
      </c>
      <c r="D37" s="9">
        <v>8</v>
      </c>
      <c r="E37" s="10">
        <f t="shared" si="0"/>
        <v>0.875</v>
      </c>
    </row>
    <row r="38" spans="1:5" x14ac:dyDescent="0.25">
      <c r="A38" s="9" t="s">
        <v>68</v>
      </c>
      <c r="B38" s="9" t="s">
        <v>4</v>
      </c>
      <c r="C38" s="9">
        <v>7</v>
      </c>
      <c r="D38" s="9">
        <v>9</v>
      </c>
      <c r="E38" s="10">
        <f t="shared" si="0"/>
        <v>0.77777777777777779</v>
      </c>
    </row>
    <row r="39" spans="1:5" x14ac:dyDescent="0.25">
      <c r="A39" s="9" t="s">
        <v>69</v>
      </c>
      <c r="B39" s="9" t="s">
        <v>12</v>
      </c>
      <c r="C39" s="9">
        <v>7</v>
      </c>
      <c r="D39" s="9">
        <v>13</v>
      </c>
      <c r="E39" s="10">
        <f t="shared" si="0"/>
        <v>0.53846153846153844</v>
      </c>
    </row>
    <row r="40" spans="1:5" x14ac:dyDescent="0.25">
      <c r="A40" s="9" t="s">
        <v>70</v>
      </c>
      <c r="B40" s="9" t="s">
        <v>17</v>
      </c>
      <c r="C40" s="9">
        <v>7</v>
      </c>
      <c r="D40" s="9">
        <v>13</v>
      </c>
      <c r="E40" s="10">
        <f t="shared" si="0"/>
        <v>0.53846153846153844</v>
      </c>
    </row>
    <row r="41" spans="1:5" x14ac:dyDescent="0.25">
      <c r="A41" s="9" t="s">
        <v>71</v>
      </c>
      <c r="B41" s="9" t="s">
        <v>5</v>
      </c>
      <c r="C41" s="9">
        <v>7</v>
      </c>
      <c r="D41" s="9">
        <v>15</v>
      </c>
      <c r="E41" s="10">
        <f t="shared" si="0"/>
        <v>0.46666666666666667</v>
      </c>
    </row>
    <row r="42" spans="1:5" x14ac:dyDescent="0.25">
      <c r="A42" s="9" t="s">
        <v>72</v>
      </c>
      <c r="B42" s="9" t="s">
        <v>9</v>
      </c>
      <c r="C42" s="9">
        <v>7</v>
      </c>
      <c r="D42" s="9">
        <v>16</v>
      </c>
      <c r="E42" s="10">
        <f t="shared" si="0"/>
        <v>0.4375</v>
      </c>
    </row>
    <row r="43" spans="1:5" x14ac:dyDescent="0.25">
      <c r="A43" s="9" t="s">
        <v>73</v>
      </c>
      <c r="B43" s="9" t="s">
        <v>74</v>
      </c>
      <c r="C43" s="9">
        <v>6</v>
      </c>
      <c r="D43" s="9">
        <v>3</v>
      </c>
      <c r="E43" s="10">
        <f t="shared" si="0"/>
        <v>2</v>
      </c>
    </row>
    <row r="44" spans="1:5" x14ac:dyDescent="0.25">
      <c r="A44" s="9" t="s">
        <v>75</v>
      </c>
      <c r="B44" s="9" t="s">
        <v>76</v>
      </c>
      <c r="C44" s="9">
        <v>6</v>
      </c>
      <c r="D44" s="9">
        <v>3</v>
      </c>
      <c r="E44" s="10">
        <f t="shared" si="0"/>
        <v>2</v>
      </c>
    </row>
    <row r="45" spans="1:5" x14ac:dyDescent="0.25">
      <c r="A45" s="9" t="s">
        <v>77</v>
      </c>
      <c r="B45" s="9" t="s">
        <v>14</v>
      </c>
      <c r="C45" s="9">
        <v>6</v>
      </c>
      <c r="D45" s="9">
        <v>5</v>
      </c>
      <c r="E45" s="10">
        <f t="shared" si="0"/>
        <v>1.2</v>
      </c>
    </row>
    <row r="46" spans="1:5" x14ac:dyDescent="0.25">
      <c r="A46" s="9" t="s">
        <v>78</v>
      </c>
      <c r="B46" s="9" t="s">
        <v>5</v>
      </c>
      <c r="C46" s="9">
        <v>6</v>
      </c>
      <c r="D46" s="9">
        <v>5</v>
      </c>
      <c r="E46" s="10">
        <f t="shared" si="0"/>
        <v>1.2</v>
      </c>
    </row>
    <row r="47" spans="1:5" x14ac:dyDescent="0.25">
      <c r="A47" s="9" t="s">
        <v>79</v>
      </c>
      <c r="B47" s="9" t="s">
        <v>20</v>
      </c>
      <c r="C47" s="9">
        <v>6</v>
      </c>
      <c r="D47" s="9">
        <v>5</v>
      </c>
      <c r="E47" s="10">
        <f t="shared" si="0"/>
        <v>1.2</v>
      </c>
    </row>
    <row r="48" spans="1:5" x14ac:dyDescent="0.25">
      <c r="A48" s="9" t="s">
        <v>80</v>
      </c>
      <c r="B48" s="9" t="s">
        <v>81</v>
      </c>
      <c r="C48" s="9">
        <v>6</v>
      </c>
      <c r="D48" s="9">
        <v>6</v>
      </c>
      <c r="E48" s="10">
        <f t="shared" si="0"/>
        <v>1</v>
      </c>
    </row>
    <row r="49" spans="1:5" x14ac:dyDescent="0.25">
      <c r="A49" s="9" t="s">
        <v>82</v>
      </c>
      <c r="B49" s="9" t="s">
        <v>6</v>
      </c>
      <c r="C49" s="9">
        <v>6</v>
      </c>
      <c r="D49" s="9">
        <v>7</v>
      </c>
      <c r="E49" s="10">
        <f t="shared" si="0"/>
        <v>0.8571428571428571</v>
      </c>
    </row>
    <row r="50" spans="1:5" x14ac:dyDescent="0.25">
      <c r="A50" s="9" t="s">
        <v>83</v>
      </c>
      <c r="B50" s="9" t="s">
        <v>16</v>
      </c>
      <c r="C50" s="9">
        <v>6</v>
      </c>
      <c r="D50" s="9">
        <v>8</v>
      </c>
      <c r="E50" s="10">
        <f t="shared" si="0"/>
        <v>0.75</v>
      </c>
    </row>
    <row r="51" spans="1:5" x14ac:dyDescent="0.25">
      <c r="A51" s="9" t="s">
        <v>84</v>
      </c>
      <c r="B51" s="9" t="s">
        <v>85</v>
      </c>
      <c r="C51" s="9">
        <v>6</v>
      </c>
      <c r="D51" s="9">
        <v>8</v>
      </c>
      <c r="E51" s="10">
        <f t="shared" si="0"/>
        <v>0.75</v>
      </c>
    </row>
    <row r="52" spans="1:5" x14ac:dyDescent="0.25">
      <c r="A52" s="9" t="s">
        <v>86</v>
      </c>
      <c r="B52" s="9" t="s">
        <v>5</v>
      </c>
      <c r="C52" s="9">
        <v>6</v>
      </c>
      <c r="D52" s="9">
        <v>9</v>
      </c>
      <c r="E52" s="10">
        <f t="shared" si="0"/>
        <v>0.66666666666666663</v>
      </c>
    </row>
    <row r="53" spans="1:5" x14ac:dyDescent="0.25">
      <c r="A53" s="9" t="s">
        <v>87</v>
      </c>
      <c r="B53" s="9" t="s">
        <v>88</v>
      </c>
      <c r="C53" s="9">
        <v>6</v>
      </c>
      <c r="D53" s="9">
        <v>10</v>
      </c>
      <c r="E53" s="10">
        <f t="shared" si="0"/>
        <v>0.6</v>
      </c>
    </row>
    <row r="54" spans="1:5" x14ac:dyDescent="0.25">
      <c r="A54" s="9" t="s">
        <v>89</v>
      </c>
      <c r="B54" s="9" t="s">
        <v>9</v>
      </c>
      <c r="C54" s="9">
        <v>6</v>
      </c>
      <c r="D54" s="9">
        <v>10</v>
      </c>
      <c r="E54" s="10">
        <f t="shared" si="0"/>
        <v>0.6</v>
      </c>
    </row>
    <row r="55" spans="1:5" x14ac:dyDescent="0.25">
      <c r="A55" s="9" t="s">
        <v>90</v>
      </c>
      <c r="B55" s="9" t="s">
        <v>91</v>
      </c>
      <c r="C55" s="9">
        <v>6</v>
      </c>
      <c r="D55" s="9">
        <v>11</v>
      </c>
      <c r="E55" s="10">
        <f t="shared" si="0"/>
        <v>0.54545454545454541</v>
      </c>
    </row>
    <row r="56" spans="1:5" x14ac:dyDescent="0.25">
      <c r="A56" s="9" t="s">
        <v>92</v>
      </c>
      <c r="B56" s="9" t="s">
        <v>12</v>
      </c>
      <c r="C56" s="9">
        <v>6</v>
      </c>
      <c r="D56" s="9">
        <v>12</v>
      </c>
      <c r="E56" s="10">
        <f t="shared" si="0"/>
        <v>0.5</v>
      </c>
    </row>
    <row r="57" spans="1:5" x14ac:dyDescent="0.25">
      <c r="A57" s="9" t="s">
        <v>93</v>
      </c>
      <c r="B57" s="9" t="s">
        <v>12</v>
      </c>
      <c r="C57" s="9">
        <v>6</v>
      </c>
      <c r="D57" s="9">
        <v>13</v>
      </c>
      <c r="E57" s="10">
        <f t="shared" si="0"/>
        <v>0.46153846153846156</v>
      </c>
    </row>
    <row r="58" spans="1:5" x14ac:dyDescent="0.25">
      <c r="A58" s="9" t="s">
        <v>94</v>
      </c>
      <c r="B58" s="9" t="s">
        <v>4</v>
      </c>
      <c r="C58" s="9">
        <v>6</v>
      </c>
      <c r="D58" s="9">
        <v>15</v>
      </c>
      <c r="E58" s="10">
        <f t="shared" si="0"/>
        <v>0.4</v>
      </c>
    </row>
    <row r="59" spans="1:5" x14ac:dyDescent="0.25">
      <c r="A59" s="9" t="s">
        <v>95</v>
      </c>
      <c r="B59" s="9" t="s">
        <v>4</v>
      </c>
      <c r="C59" s="9">
        <v>6</v>
      </c>
      <c r="D59" s="9">
        <v>15</v>
      </c>
      <c r="E59" s="10">
        <f t="shared" si="0"/>
        <v>0.4</v>
      </c>
    </row>
    <row r="60" spans="1:5" x14ac:dyDescent="0.25">
      <c r="A60" s="9" t="s">
        <v>96</v>
      </c>
      <c r="B60" s="9" t="s">
        <v>12</v>
      </c>
      <c r="C60" s="9">
        <v>6</v>
      </c>
      <c r="D60" s="9">
        <v>15</v>
      </c>
      <c r="E60" s="10">
        <f t="shared" si="0"/>
        <v>0.4</v>
      </c>
    </row>
    <row r="61" spans="1:5" x14ac:dyDescent="0.25">
      <c r="A61" s="9" t="s">
        <v>97</v>
      </c>
      <c r="B61" s="9" t="s">
        <v>17</v>
      </c>
      <c r="C61" s="9">
        <v>6</v>
      </c>
      <c r="D61" s="9">
        <v>16</v>
      </c>
      <c r="E61" s="10">
        <f t="shared" si="0"/>
        <v>0.375</v>
      </c>
    </row>
    <row r="62" spans="1:5" x14ac:dyDescent="0.25">
      <c r="A62" s="9" t="s">
        <v>98</v>
      </c>
      <c r="B62" s="9" t="s">
        <v>8</v>
      </c>
      <c r="C62" s="9">
        <v>6</v>
      </c>
      <c r="D62" s="9">
        <v>17</v>
      </c>
      <c r="E62" s="10">
        <f t="shared" si="0"/>
        <v>0.35294117647058826</v>
      </c>
    </row>
    <row r="63" spans="1:5" x14ac:dyDescent="0.25">
      <c r="A63" s="9" t="s">
        <v>99</v>
      </c>
      <c r="B63" s="9" t="s">
        <v>12</v>
      </c>
      <c r="C63" s="9">
        <v>6</v>
      </c>
      <c r="D63" s="9">
        <v>17</v>
      </c>
      <c r="E63" s="10">
        <f t="shared" si="0"/>
        <v>0.35294117647058826</v>
      </c>
    </row>
    <row r="64" spans="1:5" x14ac:dyDescent="0.25">
      <c r="A64" s="9" t="s">
        <v>100</v>
      </c>
      <c r="B64" s="9" t="s">
        <v>12</v>
      </c>
      <c r="C64" s="9">
        <v>6</v>
      </c>
      <c r="D64" s="9">
        <v>17</v>
      </c>
      <c r="E64" s="10">
        <f t="shared" si="0"/>
        <v>0.35294117647058826</v>
      </c>
    </row>
    <row r="65" spans="1:5" x14ac:dyDescent="0.25">
      <c r="A65" s="9" t="s">
        <v>101</v>
      </c>
      <c r="B65" s="9" t="s">
        <v>16</v>
      </c>
      <c r="C65" s="9">
        <v>6</v>
      </c>
      <c r="D65" s="9">
        <v>17</v>
      </c>
      <c r="E65" s="10">
        <f t="shared" si="0"/>
        <v>0.35294117647058826</v>
      </c>
    </row>
    <row r="66" spans="1:5" x14ac:dyDescent="0.25">
      <c r="A66" s="9" t="s">
        <v>102</v>
      </c>
      <c r="B66" s="9" t="s">
        <v>7</v>
      </c>
      <c r="C66" s="9">
        <v>6</v>
      </c>
      <c r="D66" s="9">
        <v>18</v>
      </c>
      <c r="E66" s="10">
        <f t="shared" si="0"/>
        <v>0.33333333333333331</v>
      </c>
    </row>
    <row r="67" spans="1:5" x14ac:dyDescent="0.25">
      <c r="A67" s="9" t="s">
        <v>103</v>
      </c>
      <c r="B67" s="9" t="s">
        <v>5</v>
      </c>
      <c r="C67" s="9">
        <v>6</v>
      </c>
      <c r="D67" s="9">
        <v>25</v>
      </c>
      <c r="E67" s="10">
        <f t="shared" ref="E67:E102" si="1">C67/D67</f>
        <v>0.24</v>
      </c>
    </row>
    <row r="68" spans="1:5" x14ac:dyDescent="0.25">
      <c r="A68" s="9" t="s">
        <v>104</v>
      </c>
      <c r="B68" s="9" t="s">
        <v>9</v>
      </c>
      <c r="C68" s="9">
        <v>5</v>
      </c>
      <c r="D68" s="9">
        <v>4</v>
      </c>
      <c r="E68" s="10">
        <f t="shared" si="1"/>
        <v>1.25</v>
      </c>
    </row>
    <row r="69" spans="1:5" x14ac:dyDescent="0.25">
      <c r="A69" s="9" t="s">
        <v>105</v>
      </c>
      <c r="B69" s="9" t="s">
        <v>6</v>
      </c>
      <c r="C69" s="9">
        <v>5</v>
      </c>
      <c r="D69" s="9">
        <v>4</v>
      </c>
      <c r="E69" s="10">
        <f t="shared" si="1"/>
        <v>1.25</v>
      </c>
    </row>
    <row r="70" spans="1:5" x14ac:dyDescent="0.25">
      <c r="A70" s="9" t="s">
        <v>106</v>
      </c>
      <c r="B70" s="9" t="s">
        <v>14</v>
      </c>
      <c r="C70" s="9">
        <v>5</v>
      </c>
      <c r="D70" s="9">
        <v>4</v>
      </c>
      <c r="E70" s="10">
        <f t="shared" si="1"/>
        <v>1.25</v>
      </c>
    </row>
    <row r="71" spans="1:5" x14ac:dyDescent="0.25">
      <c r="A71" s="9" t="s">
        <v>107</v>
      </c>
      <c r="B71" s="9" t="s">
        <v>108</v>
      </c>
      <c r="C71" s="9">
        <v>5</v>
      </c>
      <c r="D71" s="9">
        <v>5</v>
      </c>
      <c r="E71" s="10">
        <f t="shared" si="1"/>
        <v>1</v>
      </c>
    </row>
    <row r="72" spans="1:5" x14ac:dyDescent="0.25">
      <c r="A72" s="9" t="s">
        <v>109</v>
      </c>
      <c r="B72" s="9" t="s">
        <v>66</v>
      </c>
      <c r="C72" s="9">
        <v>5</v>
      </c>
      <c r="D72" s="9">
        <v>5</v>
      </c>
      <c r="E72" s="10">
        <f t="shared" si="1"/>
        <v>1</v>
      </c>
    </row>
    <row r="73" spans="1:5" x14ac:dyDescent="0.25">
      <c r="A73" s="9" t="s">
        <v>110</v>
      </c>
      <c r="B73" s="9" t="s">
        <v>9</v>
      </c>
      <c r="C73" s="9">
        <v>5</v>
      </c>
      <c r="D73" s="9">
        <v>6</v>
      </c>
      <c r="E73" s="10">
        <f t="shared" si="1"/>
        <v>0.83333333333333337</v>
      </c>
    </row>
    <row r="74" spans="1:5" x14ac:dyDescent="0.25">
      <c r="A74" s="9" t="s">
        <v>111</v>
      </c>
      <c r="B74" s="9" t="s">
        <v>10</v>
      </c>
      <c r="C74" s="9">
        <v>5</v>
      </c>
      <c r="D74" s="9">
        <v>6</v>
      </c>
      <c r="E74" s="10">
        <f t="shared" si="1"/>
        <v>0.83333333333333337</v>
      </c>
    </row>
    <row r="75" spans="1:5" x14ac:dyDescent="0.25">
      <c r="A75" s="9" t="s">
        <v>112</v>
      </c>
      <c r="B75" s="9" t="s">
        <v>113</v>
      </c>
      <c r="C75" s="9">
        <v>5</v>
      </c>
      <c r="D75" s="9">
        <v>6</v>
      </c>
      <c r="E75" s="10">
        <f t="shared" si="1"/>
        <v>0.83333333333333337</v>
      </c>
    </row>
    <row r="76" spans="1:5" x14ac:dyDescent="0.25">
      <c r="A76" s="9" t="s">
        <v>114</v>
      </c>
      <c r="B76" s="9" t="s">
        <v>6</v>
      </c>
      <c r="C76" s="9">
        <v>5</v>
      </c>
      <c r="D76" s="9">
        <v>7</v>
      </c>
      <c r="E76" s="10">
        <f t="shared" si="1"/>
        <v>0.7142857142857143</v>
      </c>
    </row>
    <row r="77" spans="1:5" x14ac:dyDescent="0.25">
      <c r="A77" s="9" t="s">
        <v>115</v>
      </c>
      <c r="B77" s="9" t="s">
        <v>15</v>
      </c>
      <c r="C77" s="9">
        <v>5</v>
      </c>
      <c r="D77" s="9">
        <v>7</v>
      </c>
      <c r="E77" s="10">
        <f t="shared" si="1"/>
        <v>0.7142857142857143</v>
      </c>
    </row>
    <row r="78" spans="1:5" x14ac:dyDescent="0.25">
      <c r="A78" s="9" t="s">
        <v>116</v>
      </c>
      <c r="B78" s="9" t="s">
        <v>11</v>
      </c>
      <c r="C78" s="9">
        <v>5</v>
      </c>
      <c r="D78" s="9">
        <v>7</v>
      </c>
      <c r="E78" s="10">
        <f t="shared" si="1"/>
        <v>0.7142857142857143</v>
      </c>
    </row>
    <row r="79" spans="1:5" x14ac:dyDescent="0.25">
      <c r="A79" s="9" t="s">
        <v>117</v>
      </c>
      <c r="B79" s="9" t="s">
        <v>4</v>
      </c>
      <c r="C79" s="9">
        <v>5</v>
      </c>
      <c r="D79" s="9">
        <v>8</v>
      </c>
      <c r="E79" s="10">
        <f t="shared" si="1"/>
        <v>0.625</v>
      </c>
    </row>
    <row r="80" spans="1:5" x14ac:dyDescent="0.25">
      <c r="A80" s="9" t="s">
        <v>118</v>
      </c>
      <c r="B80" s="9" t="s">
        <v>24</v>
      </c>
      <c r="C80" s="9">
        <v>5</v>
      </c>
      <c r="D80" s="9">
        <v>8</v>
      </c>
      <c r="E80" s="10">
        <f t="shared" si="1"/>
        <v>0.625</v>
      </c>
    </row>
    <row r="81" spans="1:5" x14ac:dyDescent="0.25">
      <c r="A81" s="9" t="s">
        <v>119</v>
      </c>
      <c r="B81" s="9" t="s">
        <v>16</v>
      </c>
      <c r="C81" s="9">
        <v>5</v>
      </c>
      <c r="D81" s="9">
        <v>8</v>
      </c>
      <c r="E81" s="10">
        <f t="shared" si="1"/>
        <v>0.625</v>
      </c>
    </row>
    <row r="82" spans="1:5" x14ac:dyDescent="0.25">
      <c r="A82" s="9" t="s">
        <v>120</v>
      </c>
      <c r="B82" s="9" t="s">
        <v>76</v>
      </c>
      <c r="C82" s="9">
        <v>5</v>
      </c>
      <c r="D82" s="9">
        <v>9</v>
      </c>
      <c r="E82" s="10">
        <f t="shared" si="1"/>
        <v>0.55555555555555558</v>
      </c>
    </row>
    <row r="83" spans="1:5" x14ac:dyDescent="0.25">
      <c r="A83" s="9" t="s">
        <v>121</v>
      </c>
      <c r="B83" s="9" t="s">
        <v>11</v>
      </c>
      <c r="C83" s="9">
        <v>5</v>
      </c>
      <c r="D83" s="9">
        <v>9</v>
      </c>
      <c r="E83" s="10">
        <f t="shared" si="1"/>
        <v>0.55555555555555558</v>
      </c>
    </row>
    <row r="84" spans="1:5" x14ac:dyDescent="0.25">
      <c r="A84" s="9" t="s">
        <v>122</v>
      </c>
      <c r="B84" s="9" t="s">
        <v>123</v>
      </c>
      <c r="C84" s="9">
        <v>5</v>
      </c>
      <c r="D84" s="9">
        <v>9</v>
      </c>
      <c r="E84" s="10">
        <f t="shared" si="1"/>
        <v>0.55555555555555558</v>
      </c>
    </row>
    <row r="85" spans="1:5" x14ac:dyDescent="0.25">
      <c r="A85" s="9" t="s">
        <v>124</v>
      </c>
      <c r="B85" s="9" t="s">
        <v>125</v>
      </c>
      <c r="C85" s="9">
        <v>5</v>
      </c>
      <c r="D85" s="9">
        <v>9</v>
      </c>
      <c r="E85" s="10">
        <f t="shared" si="1"/>
        <v>0.55555555555555558</v>
      </c>
    </row>
    <row r="86" spans="1:5" x14ac:dyDescent="0.25">
      <c r="A86" s="9" t="s">
        <v>126</v>
      </c>
      <c r="B86" s="9" t="s">
        <v>20</v>
      </c>
      <c r="C86" s="9">
        <v>5</v>
      </c>
      <c r="D86" s="9">
        <v>10</v>
      </c>
      <c r="E86" s="10">
        <f t="shared" si="1"/>
        <v>0.5</v>
      </c>
    </row>
    <row r="87" spans="1:5" x14ac:dyDescent="0.25">
      <c r="A87" s="9" t="s">
        <v>127</v>
      </c>
      <c r="B87" s="9" t="s">
        <v>11</v>
      </c>
      <c r="C87" s="9">
        <v>5</v>
      </c>
      <c r="D87" s="9">
        <v>11</v>
      </c>
      <c r="E87" s="10">
        <f t="shared" si="1"/>
        <v>0.45454545454545453</v>
      </c>
    </row>
    <row r="88" spans="1:5" x14ac:dyDescent="0.25">
      <c r="A88" s="9" t="s">
        <v>128</v>
      </c>
      <c r="B88" s="9" t="s">
        <v>4</v>
      </c>
      <c r="C88" s="9">
        <v>5</v>
      </c>
      <c r="D88" s="9">
        <v>12</v>
      </c>
      <c r="E88" s="10">
        <f t="shared" si="1"/>
        <v>0.41666666666666669</v>
      </c>
    </row>
    <row r="89" spans="1:5" x14ac:dyDescent="0.25">
      <c r="A89" s="9" t="s">
        <v>129</v>
      </c>
      <c r="B89" s="9" t="s">
        <v>12</v>
      </c>
      <c r="C89" s="9">
        <v>5</v>
      </c>
      <c r="D89" s="9">
        <v>12</v>
      </c>
      <c r="E89" s="10">
        <f t="shared" si="1"/>
        <v>0.41666666666666669</v>
      </c>
    </row>
    <row r="90" spans="1:5" x14ac:dyDescent="0.25">
      <c r="A90" s="9" t="s">
        <v>130</v>
      </c>
      <c r="B90" s="9" t="s">
        <v>11</v>
      </c>
      <c r="C90" s="9">
        <v>5</v>
      </c>
      <c r="D90" s="9">
        <v>12</v>
      </c>
      <c r="E90" s="10">
        <f t="shared" si="1"/>
        <v>0.41666666666666669</v>
      </c>
    </row>
    <row r="91" spans="1:5" x14ac:dyDescent="0.25">
      <c r="A91" s="9" t="s">
        <v>131</v>
      </c>
      <c r="B91" s="9" t="s">
        <v>8</v>
      </c>
      <c r="C91" s="9">
        <v>5</v>
      </c>
      <c r="D91" s="9">
        <v>12</v>
      </c>
      <c r="E91" s="10">
        <f t="shared" si="1"/>
        <v>0.41666666666666669</v>
      </c>
    </row>
    <row r="92" spans="1:5" x14ac:dyDescent="0.25">
      <c r="A92" s="9" t="s">
        <v>132</v>
      </c>
      <c r="B92" s="9" t="s">
        <v>133</v>
      </c>
      <c r="C92" s="9">
        <v>5</v>
      </c>
      <c r="D92" s="9">
        <v>12</v>
      </c>
      <c r="E92" s="10">
        <f t="shared" si="1"/>
        <v>0.41666666666666669</v>
      </c>
    </row>
    <row r="93" spans="1:5" x14ac:dyDescent="0.25">
      <c r="A93" s="9" t="s">
        <v>134</v>
      </c>
      <c r="B93" s="9" t="s">
        <v>24</v>
      </c>
      <c r="C93" s="9">
        <v>5</v>
      </c>
      <c r="D93" s="9">
        <v>12</v>
      </c>
      <c r="E93" s="10">
        <f t="shared" si="1"/>
        <v>0.41666666666666669</v>
      </c>
    </row>
    <row r="94" spans="1:5" x14ac:dyDescent="0.25">
      <c r="A94" s="9" t="s">
        <v>135</v>
      </c>
      <c r="B94" s="9" t="s">
        <v>74</v>
      </c>
      <c r="C94" s="9">
        <v>5</v>
      </c>
      <c r="D94" s="9">
        <v>12</v>
      </c>
      <c r="E94" s="10">
        <f t="shared" si="1"/>
        <v>0.41666666666666669</v>
      </c>
    </row>
    <row r="95" spans="1:5" x14ac:dyDescent="0.25">
      <c r="A95" s="9" t="s">
        <v>136</v>
      </c>
      <c r="B95" s="9" t="s">
        <v>15</v>
      </c>
      <c r="C95" s="9">
        <v>5</v>
      </c>
      <c r="D95" s="9">
        <v>13</v>
      </c>
      <c r="E95" s="10">
        <f t="shared" si="1"/>
        <v>0.38461538461538464</v>
      </c>
    </row>
    <row r="96" spans="1:5" x14ac:dyDescent="0.25">
      <c r="A96" s="9" t="s">
        <v>137</v>
      </c>
      <c r="B96" s="9" t="s">
        <v>8</v>
      </c>
      <c r="C96" s="9">
        <v>5</v>
      </c>
      <c r="D96" s="9">
        <v>14</v>
      </c>
      <c r="E96" s="10">
        <f t="shared" si="1"/>
        <v>0.35714285714285715</v>
      </c>
    </row>
    <row r="97" spans="1:5" x14ac:dyDescent="0.25">
      <c r="A97" s="9" t="s">
        <v>138</v>
      </c>
      <c r="B97" s="9" t="s">
        <v>4</v>
      </c>
      <c r="C97" s="9">
        <v>5</v>
      </c>
      <c r="D97" s="9">
        <v>14</v>
      </c>
      <c r="E97" s="10">
        <f t="shared" si="1"/>
        <v>0.35714285714285715</v>
      </c>
    </row>
    <row r="98" spans="1:5" x14ac:dyDescent="0.25">
      <c r="A98" s="9" t="s">
        <v>139</v>
      </c>
      <c r="B98" s="9" t="s">
        <v>7</v>
      </c>
      <c r="C98" s="9">
        <v>5</v>
      </c>
      <c r="D98" s="9">
        <v>14</v>
      </c>
      <c r="E98" s="10">
        <f t="shared" si="1"/>
        <v>0.35714285714285715</v>
      </c>
    </row>
    <row r="99" spans="1:5" x14ac:dyDescent="0.25">
      <c r="A99" s="9" t="s">
        <v>140</v>
      </c>
      <c r="B99" s="9" t="s">
        <v>5</v>
      </c>
      <c r="C99" s="9">
        <v>5</v>
      </c>
      <c r="D99" s="9">
        <v>15</v>
      </c>
      <c r="E99" s="10">
        <f t="shared" si="1"/>
        <v>0.33333333333333331</v>
      </c>
    </row>
    <row r="100" spans="1:5" x14ac:dyDescent="0.25">
      <c r="A100" s="9" t="s">
        <v>141</v>
      </c>
      <c r="B100" s="9" t="s">
        <v>9</v>
      </c>
      <c r="C100" s="9">
        <v>5</v>
      </c>
      <c r="D100" s="9">
        <v>17</v>
      </c>
      <c r="E100" s="10">
        <f t="shared" si="1"/>
        <v>0.29411764705882354</v>
      </c>
    </row>
    <row r="101" spans="1:5" x14ac:dyDescent="0.25">
      <c r="A101" s="9" t="s">
        <v>142</v>
      </c>
      <c r="B101" s="9" t="s">
        <v>5</v>
      </c>
      <c r="C101" s="9">
        <v>5</v>
      </c>
      <c r="D101" s="9">
        <v>18</v>
      </c>
      <c r="E101" s="10">
        <f t="shared" si="1"/>
        <v>0.27777777777777779</v>
      </c>
    </row>
    <row r="102" spans="1:5" x14ac:dyDescent="0.25">
      <c r="A102" s="9" t="s">
        <v>143</v>
      </c>
      <c r="B102" s="9" t="s">
        <v>8</v>
      </c>
      <c r="C102" s="9">
        <v>5</v>
      </c>
      <c r="D102" s="9">
        <v>18</v>
      </c>
      <c r="E102" s="10">
        <f t="shared" si="1"/>
        <v>0.27777777777777779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2</vt:i4>
      </vt:variant>
    </vt:vector>
  </HeadingPairs>
  <TitlesOfParts>
    <vt:vector size="4" baseType="lpstr">
      <vt:lpstr>Éremtábla</vt:lpstr>
      <vt:lpstr>Góllövők</vt:lpstr>
      <vt:lpstr>GalambSándor</vt:lpstr>
      <vt:lpstr>kutyatáp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europa04@server</dc:creator>
  <cp:lastModifiedBy>europa04@server</cp:lastModifiedBy>
  <dcterms:created xsi:type="dcterms:W3CDTF">2026-03-25T07:23:04Z</dcterms:created>
  <dcterms:modified xsi:type="dcterms:W3CDTF">2026-03-25T08:50:04Z</dcterms:modified>
</cp:coreProperties>
</file>