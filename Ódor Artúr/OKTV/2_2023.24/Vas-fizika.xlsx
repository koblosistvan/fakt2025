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21c437aeb2245f/Dokumentumok/fakt2025/Ódor Artúr/OKTV/2_2023.24/"/>
    </mc:Choice>
  </mc:AlternateContent>
  <xr:revisionPtr revIDLastSave="324" documentId="8_{A3F3F45B-04F5-4CE1-BE1B-5222077EE20F}" xr6:coauthVersionLast="47" xr6:coauthVersionMax="47" xr10:uidLastSave="{7D0F4E3F-F0BA-4182-BCC2-BE2869381E90}"/>
  <bookViews>
    <workbookView xWindow="-120" yWindow="-120" windowWidth="20730" windowHeight="11040" activeTab="2" xr2:uid="{5E8ED15F-4E5B-4ECD-9A1C-AA9F3EC56373}"/>
  </bookViews>
  <sheets>
    <sheet name="Elemek" sheetId="1" r:id="rId1"/>
    <sheet name="Vas" sheetId="2" r:id="rId2"/>
    <sheet name="Izotópok" sheetId="3" r:id="rId3"/>
  </sheets>
  <definedNames>
    <definedName name="_xlnm._FilterDatabase" localSheetId="0" hidden="1">Elemek!$A$1:$J$113</definedName>
    <definedName name="_xlnm._FilterDatabase" localSheetId="2" hidden="1">Izotópok!$A$1:$F$990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3" l="1"/>
  <c r="H23" i="3"/>
  <c r="H24" i="3"/>
  <c r="H25" i="3"/>
  <c r="H26" i="3"/>
  <c r="H27" i="3"/>
  <c r="H28" i="3"/>
  <c r="H29" i="3"/>
  <c r="H31" i="3"/>
  <c r="H32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3" i="3"/>
  <c r="H4" i="3"/>
  <c r="H6" i="3"/>
  <c r="H8" i="3"/>
  <c r="H9" i="3"/>
  <c r="H10" i="3"/>
  <c r="H11" i="3"/>
  <c r="H12" i="3"/>
  <c r="H14" i="3"/>
  <c r="H15" i="3"/>
  <c r="H17" i="3"/>
  <c r="H18" i="3"/>
  <c r="H19" i="3"/>
  <c r="H20" i="3"/>
  <c r="H21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2" i="3"/>
  <c r="Q3" i="3" l="1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2" i="3"/>
  <c r="B7" i="2"/>
  <c r="B10" i="2"/>
  <c r="B4" i="2"/>
  <c r="B5" i="2"/>
  <c r="B6" i="2"/>
  <c r="B8" i="2"/>
  <c r="B9" i="2"/>
  <c r="A9" i="2" l="1"/>
  <c r="A8" i="2"/>
  <c r="A7" i="2"/>
  <c r="A6" i="2"/>
  <c r="A5" i="2"/>
  <c r="A4" i="2"/>
  <c r="H7" i="3"/>
  <c r="H30" i="3"/>
  <c r="H143" i="3"/>
  <c r="H13" i="3"/>
  <c r="H5" i="3"/>
  <c r="H16" i="3"/>
  <c r="H2" i="3"/>
  <c r="H33" i="3"/>
</calcChain>
</file>

<file path=xl/sharedStrings.xml><?xml version="1.0" encoding="utf-8"?>
<sst xmlns="http://schemas.openxmlformats.org/spreadsheetml/2006/main" count="3161" uniqueCount="1202">
  <si>
    <t>Elem</t>
  </si>
  <si>
    <t>Vegyjel</t>
  </si>
  <si>
    <t>Rendszám</t>
  </si>
  <si>
    <t>Atomtömeg</t>
  </si>
  <si>
    <t>Sűrűség</t>
  </si>
  <si>
    <t>Olvadáspont</t>
  </si>
  <si>
    <t>Forráspont</t>
  </si>
  <si>
    <t>Izotópok száma</t>
  </si>
  <si>
    <t>Felfedező</t>
  </si>
  <si>
    <t>Felfedezés éve</t>
  </si>
  <si>
    <t>  Aktínium</t>
  </si>
  <si>
    <t>Ac</t>
  </si>
  <si>
    <t>Debierne</t>
  </si>
  <si>
    <t>  Alumínium</t>
  </si>
  <si>
    <t>Al</t>
  </si>
  <si>
    <t>Wöhler</t>
  </si>
  <si>
    <t>  Amerícium</t>
  </si>
  <si>
    <t>Am</t>
  </si>
  <si>
    <t>Seaborg et al.</t>
  </si>
  <si>
    <t>  Antimon</t>
  </si>
  <si>
    <t>Sb</t>
  </si>
  <si>
    <t>Early historic times</t>
  </si>
  <si>
    <t>-</t>
  </si>
  <si>
    <t>  Arany</t>
  </si>
  <si>
    <t>Au</t>
  </si>
  <si>
    <t>  Argon</t>
  </si>
  <si>
    <t>Ar</t>
  </si>
  <si>
    <t>Rayleigh and Ramsay</t>
  </si>
  <si>
    <t>  Arzén</t>
  </si>
  <si>
    <t>As</t>
  </si>
  <si>
    <t>Albertus Magnus</t>
  </si>
  <si>
    <t>1250?</t>
  </si>
  <si>
    <t>  Asztácium</t>
  </si>
  <si>
    <t>At</t>
  </si>
  <si>
    <t>Corson et al.</t>
  </si>
  <si>
    <t>  Bárium</t>
  </si>
  <si>
    <t>Ba</t>
  </si>
  <si>
    <t>Davy</t>
  </si>
  <si>
    <t>  Berillium</t>
  </si>
  <si>
    <t>Be</t>
  </si>
  <si>
    <t>Vauquelin</t>
  </si>
  <si>
    <t>  Berkélium</t>
  </si>
  <si>
    <t>Bk</t>
  </si>
  <si>
    <t>  Bizmut</t>
  </si>
  <si>
    <t>Bi</t>
  </si>
  <si>
    <t>Geoffroy</t>
  </si>
  <si>
    <t>  Bór</t>
  </si>
  <si>
    <t>B</t>
  </si>
  <si>
    <t>Gay-Lussac and</t>
  </si>
  <si>
    <t>Thénard; Davy</t>
  </si>
  <si>
    <t>  Bórium</t>
  </si>
  <si>
    <t>Bh</t>
  </si>
  <si>
    <t>Armbruster and Münzenberg</t>
  </si>
  <si>
    <t>  Bróm</t>
  </si>
  <si>
    <t>Br</t>
  </si>
  <si>
    <t>Balard</t>
  </si>
  <si>
    <t>  Cérium</t>
  </si>
  <si>
    <t>Ce</t>
  </si>
  <si>
    <t>Berzelius and</t>
  </si>
  <si>
    <t>Hisinger; Klaproth</t>
  </si>
  <si>
    <t>  Cézium</t>
  </si>
  <si>
    <t>Cs</t>
  </si>
  <si>
    <t>Bunsen and Kirchoff</t>
  </si>
  <si>
    <t>  Cink</t>
  </si>
  <si>
    <t>Zn</t>
  </si>
  <si>
    <t>  Cirkónium</t>
  </si>
  <si>
    <t>Zr</t>
  </si>
  <si>
    <t>Klaproth</t>
  </si>
  <si>
    <t>  Diszprózium</t>
  </si>
  <si>
    <t>Dy</t>
  </si>
  <si>
    <t>Boisbaudran</t>
  </si>
  <si>
    <t>  Dubnium</t>
  </si>
  <si>
    <t>Db</t>
  </si>
  <si>
    <t>Ghiorso et al,</t>
  </si>
  <si>
    <t>  Einsteinium</t>
  </si>
  <si>
    <t>Es</t>
  </si>
  <si>
    <t>  Erbium</t>
  </si>
  <si>
    <t>Er</t>
  </si>
  <si>
    <t>Mosander</t>
  </si>
  <si>
    <t>  Európium</t>
  </si>
  <si>
    <t>Eu</t>
  </si>
  <si>
    <t>Demarcay</t>
  </si>
  <si>
    <t>  Ezüst</t>
  </si>
  <si>
    <t>Ag</t>
  </si>
  <si>
    <t>  Fermium</t>
  </si>
  <si>
    <t>Fm</t>
  </si>
  <si>
    <t>  Fluor</t>
  </si>
  <si>
    <t>F</t>
  </si>
  <si>
    <t>Moissan</t>
  </si>
  <si>
    <t>  Foszfor</t>
  </si>
  <si>
    <t>P</t>
  </si>
  <si>
    <t>Brand</t>
  </si>
  <si>
    <t>  Francium</t>
  </si>
  <si>
    <t>Fr</t>
  </si>
  <si>
    <t>Perey</t>
  </si>
  <si>
    <t>  Gadolínium</t>
  </si>
  <si>
    <t>Gd</t>
  </si>
  <si>
    <t>Marignac</t>
  </si>
  <si>
    <t>  Gallium</t>
  </si>
  <si>
    <t>Ga</t>
  </si>
  <si>
    <t>  Germánium</t>
  </si>
  <si>
    <t>Ge</t>
  </si>
  <si>
    <t>Winkler</t>
  </si>
  <si>
    <t>  Hafnium</t>
  </si>
  <si>
    <t>Hf</t>
  </si>
  <si>
    <t>Coster and von Hevesy</t>
  </si>
  <si>
    <t>  Hassium</t>
  </si>
  <si>
    <t>Hs</t>
  </si>
  <si>
    <t>  Hélium</t>
  </si>
  <si>
    <t>He</t>
  </si>
  <si>
    <t>Janssen</t>
  </si>
  <si>
    <t>  Hidrogén</t>
  </si>
  <si>
    <t>H</t>
  </si>
  <si>
    <t>Cavendish</t>
  </si>
  <si>
    <t>  Higany</t>
  </si>
  <si>
    <t>Hg</t>
  </si>
  <si>
    <t>  Holmium</t>
  </si>
  <si>
    <t>Ho</t>
  </si>
  <si>
    <t>Delafontaine and Soret</t>
  </si>
  <si>
    <t>  Indium</t>
  </si>
  <si>
    <t>In</t>
  </si>
  <si>
    <t>Reich and Richter</t>
  </si>
  <si>
    <t>  Irídium</t>
  </si>
  <si>
    <t>Ir</t>
  </si>
  <si>
    <t>Tennant</t>
  </si>
  <si>
    <t>  Itterbium</t>
  </si>
  <si>
    <t>Yb</t>
  </si>
  <si>
    <t>  Ittrium</t>
  </si>
  <si>
    <t>Y</t>
  </si>
  <si>
    <t>Gadolin</t>
  </si>
  <si>
    <t>  Jód</t>
  </si>
  <si>
    <t>I</t>
  </si>
  <si>
    <t>Cortois</t>
  </si>
  <si>
    <t>  Kadmium</t>
  </si>
  <si>
    <t>Cd</t>
  </si>
  <si>
    <t>Stromeyer</t>
  </si>
  <si>
    <t>  Kalcium</t>
  </si>
  <si>
    <t>Ca</t>
  </si>
  <si>
    <t>  Kalifornium</t>
  </si>
  <si>
    <t>Cf</t>
  </si>
  <si>
    <t>  Kálium</t>
  </si>
  <si>
    <t>K</t>
  </si>
  <si>
    <t>  Kén</t>
  </si>
  <si>
    <t>S</t>
  </si>
  <si>
    <t>  Klór</t>
  </si>
  <si>
    <t>Cl</t>
  </si>
  <si>
    <t>Scheele</t>
  </si>
  <si>
    <t>  Kobalt</t>
  </si>
  <si>
    <t>Co</t>
  </si>
  <si>
    <t>Brandt</t>
  </si>
  <si>
    <t>c,1735</t>
  </si>
  <si>
    <t>  Kripton</t>
  </si>
  <si>
    <t>Kr</t>
  </si>
  <si>
    <t>Ramsay and Travers</t>
  </si>
  <si>
    <t>  Króm</t>
  </si>
  <si>
    <t>Cr</t>
  </si>
  <si>
    <t>  Kűrium</t>
  </si>
  <si>
    <t>Cm</t>
  </si>
  <si>
    <t>Seaborg et al,</t>
  </si>
  <si>
    <t>  Lantán</t>
  </si>
  <si>
    <t>La</t>
  </si>
  <si>
    <t>  Laurencium</t>
  </si>
  <si>
    <t>Lr</t>
  </si>
  <si>
    <t>  Lítium</t>
  </si>
  <si>
    <t>Li</t>
  </si>
  <si>
    <t>Arfvedson</t>
  </si>
  <si>
    <t>  Lutécium</t>
  </si>
  <si>
    <t>Lu</t>
  </si>
  <si>
    <t>Urbain</t>
  </si>
  <si>
    <t>  Magnézium</t>
  </si>
  <si>
    <t>Mg</t>
  </si>
  <si>
    <t>Black</t>
  </si>
  <si>
    <t>  Mangán</t>
  </si>
  <si>
    <t>Mn</t>
  </si>
  <si>
    <t>Gahn, Scheele, and</t>
  </si>
  <si>
    <t>Bergman</t>
  </si>
  <si>
    <t>  Meitnerium</t>
  </si>
  <si>
    <t>Mt</t>
  </si>
  <si>
    <t>GSI, Darmstadt, West Germany</t>
  </si>
  <si>
    <t>  Mendelévium</t>
  </si>
  <si>
    <t>Md</t>
  </si>
  <si>
    <t>  Molibdén</t>
  </si>
  <si>
    <t>Mo</t>
  </si>
  <si>
    <t>  Nátrium</t>
  </si>
  <si>
    <t>Na</t>
  </si>
  <si>
    <t>  Neodímium</t>
  </si>
  <si>
    <t>Nd</t>
  </si>
  <si>
    <t>von Welsbach</t>
  </si>
  <si>
    <t>  Neon</t>
  </si>
  <si>
    <t>Ne</t>
  </si>
  <si>
    <t>  Neptúnium</t>
  </si>
  <si>
    <t>Np</t>
  </si>
  <si>
    <t>McMillan and Abelson</t>
  </si>
  <si>
    <t>  Nikkel</t>
  </si>
  <si>
    <t>Ni</t>
  </si>
  <si>
    <t>Cronstedt</t>
  </si>
  <si>
    <t>  Nióbium</t>
  </si>
  <si>
    <t>Nb</t>
  </si>
  <si>
    <t>Hatchett</t>
  </si>
  <si>
    <t>  Nitrogén</t>
  </si>
  <si>
    <t>N</t>
  </si>
  <si>
    <t>Rutherford</t>
  </si>
  <si>
    <t>  Nobélium</t>
  </si>
  <si>
    <t>No</t>
  </si>
  <si>
    <t>  Ólom</t>
  </si>
  <si>
    <t>Pb</t>
  </si>
  <si>
    <t>  Ón</t>
  </si>
  <si>
    <t>Sn</t>
  </si>
  <si>
    <t>  Oxigén</t>
  </si>
  <si>
    <t>O</t>
  </si>
  <si>
    <t>Priestley</t>
  </si>
  <si>
    <t>  Ozmium</t>
  </si>
  <si>
    <t>Os</t>
  </si>
  <si>
    <t>  Palládium</t>
  </si>
  <si>
    <t>Pd</t>
  </si>
  <si>
    <t>Wollaston</t>
  </si>
  <si>
    <t>  Platina</t>
  </si>
  <si>
    <t>Pt</t>
  </si>
  <si>
    <t>Ulloa</t>
  </si>
  <si>
    <t>  Plutónium</t>
  </si>
  <si>
    <t>Pu</t>
  </si>
  <si>
    <t>  Polónium</t>
  </si>
  <si>
    <t>Po</t>
  </si>
  <si>
    <t>Curie</t>
  </si>
  <si>
    <t>  Prazeodímium</t>
  </si>
  <si>
    <t>Pr</t>
  </si>
  <si>
    <t>von Weisbach</t>
  </si>
  <si>
    <t>  Prométium</t>
  </si>
  <si>
    <t>Pm</t>
  </si>
  <si>
    <t>Marinsky et al,</t>
  </si>
  <si>
    <t>  Protaktínium</t>
  </si>
  <si>
    <t>Pa</t>
  </si>
  <si>
    <t>Hahn and Meitner</t>
  </si>
  <si>
    <t>  Rádium</t>
  </si>
  <si>
    <t>Ra</t>
  </si>
  <si>
    <t>Marie and Pierre Curie</t>
  </si>
  <si>
    <t>  Radon</t>
  </si>
  <si>
    <t>Rn</t>
  </si>
  <si>
    <t>Dorn</t>
  </si>
  <si>
    <t>  Rénium</t>
  </si>
  <si>
    <t>Re</t>
  </si>
  <si>
    <t>Noddack, Berg, and Tacke</t>
  </si>
  <si>
    <t>  Réz</t>
  </si>
  <si>
    <t>Cu</t>
  </si>
  <si>
    <t>  Ródium</t>
  </si>
  <si>
    <t>Rh</t>
  </si>
  <si>
    <t>  Rubídium</t>
  </si>
  <si>
    <t>Rb</t>
  </si>
  <si>
    <t>  Ruténium</t>
  </si>
  <si>
    <t>Ru</t>
  </si>
  <si>
    <t>Klaus</t>
  </si>
  <si>
    <t>  Rutherfordium</t>
  </si>
  <si>
    <t>Rf</t>
  </si>
  <si>
    <t>  Seaborgium</t>
  </si>
  <si>
    <t>Sg</t>
  </si>
  <si>
    <t>  Stroncium</t>
  </si>
  <si>
    <t>Sr</t>
  </si>
  <si>
    <t>  Szamárium</t>
  </si>
  <si>
    <t>Sm</t>
  </si>
  <si>
    <t>  Szelén</t>
  </si>
  <si>
    <t>Se</t>
  </si>
  <si>
    <t>Berzelius</t>
  </si>
  <si>
    <t>  Szén</t>
  </si>
  <si>
    <t>C</t>
  </si>
  <si>
    <t>  Szilícium</t>
  </si>
  <si>
    <t>Si</t>
  </si>
  <si>
    <t>  Szkandium</t>
  </si>
  <si>
    <t>Sc</t>
  </si>
  <si>
    <t>Nilson</t>
  </si>
  <si>
    <t>  Tallium</t>
  </si>
  <si>
    <t>Tl</t>
  </si>
  <si>
    <t>Crookes</t>
  </si>
  <si>
    <t>  Tantál</t>
  </si>
  <si>
    <t>Ta</t>
  </si>
  <si>
    <t>Ekeberg</t>
  </si>
  <si>
    <t>  Technécium</t>
  </si>
  <si>
    <t>Tc</t>
  </si>
  <si>
    <t>Perrier and Segré</t>
  </si>
  <si>
    <t>  Tellúr</t>
  </si>
  <si>
    <t>Te</t>
  </si>
  <si>
    <t>von Reichenstein</t>
  </si>
  <si>
    <t>  Terbium</t>
  </si>
  <si>
    <t>Tb</t>
  </si>
  <si>
    <t>  Titán</t>
  </si>
  <si>
    <t>Ti</t>
  </si>
  <si>
    <t>Gregor</t>
  </si>
  <si>
    <t>  Tórium</t>
  </si>
  <si>
    <t>Th</t>
  </si>
  <si>
    <t>  Túlium</t>
  </si>
  <si>
    <t>Tm</t>
  </si>
  <si>
    <t>Cleve</t>
  </si>
  <si>
    <t>  Uránium</t>
  </si>
  <si>
    <t>U</t>
  </si>
  <si>
    <t>Peligot</t>
  </si>
  <si>
    <t>  Vanádium</t>
  </si>
  <si>
    <t>V</t>
  </si>
  <si>
    <t>del Rio</t>
  </si>
  <si>
    <t>Fe</t>
  </si>
  <si>
    <t>  Volfrám</t>
  </si>
  <si>
    <t>W</t>
  </si>
  <si>
    <t>J, and F, d'Elhuyar</t>
  </si>
  <si>
    <t>  Xenon</t>
  </si>
  <si>
    <t>Xe</t>
  </si>
  <si>
    <t xml:space="preserve">  Vas</t>
  </si>
  <si>
    <t>Halmazállapot</t>
  </si>
  <si>
    <t>ssz</t>
  </si>
  <si>
    <t>Z</t>
  </si>
  <si>
    <t>E</t>
  </si>
  <si>
    <t>9.153567</t>
  </si>
  <si>
    <t>9.147877</t>
  </si>
  <si>
    <t>9.145862</t>
  </si>
  <si>
    <t>9.142938</t>
  </si>
  <si>
    <t>9.137037</t>
  </si>
  <si>
    <t>9.127119</t>
  </si>
  <si>
    <t>9.126046</t>
  </si>
  <si>
    <t>9.125633</t>
  </si>
  <si>
    <t>9.124129</t>
  </si>
  <si>
    <t>9.120611</t>
  </si>
  <si>
    <t>9.119754</t>
  </si>
  <si>
    <t>9.115258</t>
  </si>
  <si>
    <t>9.114435</t>
  </si>
  <si>
    <t>9.112272</t>
  </si>
  <si>
    <t>9.106154</t>
  </si>
  <si>
    <t>9.100845</t>
  </si>
  <si>
    <t>9.099861</t>
  </si>
  <si>
    <t>9.094884</t>
  </si>
  <si>
    <t>9.084468</t>
  </si>
  <si>
    <t>9.081488</t>
  </si>
  <si>
    <t>9.079465</t>
  </si>
  <si>
    <t>9.079372</t>
  </si>
  <si>
    <t>9.076078</t>
  </si>
  <si>
    <t>9.070438</t>
  </si>
  <si>
    <t>9.063522</t>
  </si>
  <si>
    <t>9.062323</t>
  </si>
  <si>
    <t>9.061485</t>
  </si>
  <si>
    <t>9.059218</t>
  </si>
  <si>
    <t>9.058842</t>
  </si>
  <si>
    <t>9.057631</t>
  </si>
  <si>
    <t>9.056743</t>
  </si>
  <si>
    <t>9.05416</t>
  </si>
  <si>
    <t>9.054126</t>
  </si>
  <si>
    <t>9.052649</t>
  </si>
  <si>
    <t>9.048006</t>
  </si>
  <si>
    <t>9.046964</t>
  </si>
  <si>
    <t>9.045093</t>
  </si>
  <si>
    <t>9.044984</t>
  </si>
  <si>
    <t>9.040153</t>
  </si>
  <si>
    <t>9.037998</t>
  </si>
  <si>
    <t>9.037156</t>
  </si>
  <si>
    <t>9.034966</t>
  </si>
  <si>
    <t>9.03422</t>
  </si>
  <si>
    <t>9.033979</t>
  </si>
  <si>
    <t>9.032783</t>
  </si>
  <si>
    <t>9.030532</t>
  </si>
  <si>
    <t>9.027336</t>
  </si>
  <si>
    <t>9.013793</t>
  </si>
  <si>
    <t>9.011856</t>
  </si>
  <si>
    <t>9.009051</t>
  </si>
  <si>
    <t>8.996229</t>
  </si>
  <si>
    <t>8.994564</t>
  </si>
  <si>
    <t>8.989116</t>
  </si>
  <si>
    <t>8.98487</t>
  </si>
  <si>
    <t>8.983945</t>
  </si>
  <si>
    <t>8.973806</t>
  </si>
  <si>
    <t>8.971572</t>
  </si>
  <si>
    <t>8.964551</t>
  </si>
  <si>
    <t>8.963517</t>
  </si>
  <si>
    <t>8.956348</t>
  </si>
  <si>
    <t>8.951675</t>
  </si>
  <si>
    <t>8.947325</t>
  </si>
  <si>
    <t>8.944837</t>
  </si>
  <si>
    <t>8.942117</t>
  </si>
  <si>
    <t>8.938623</t>
  </si>
  <si>
    <t>8.938174</t>
  </si>
  <si>
    <t>8.930847</t>
  </si>
  <si>
    <t>8.92976</t>
  </si>
  <si>
    <t>8.92591</t>
  </si>
  <si>
    <t>8.923108</t>
  </si>
  <si>
    <t>8.91946</t>
  </si>
  <si>
    <t>8.913356</t>
  </si>
  <si>
    <t>8.900285</t>
  </si>
  <si>
    <t>8.900253</t>
  </si>
  <si>
    <t>8.897514</t>
  </si>
  <si>
    <t>8.892718</t>
  </si>
  <si>
    <t>8.885761</t>
  </si>
  <si>
    <t>8.8853</t>
  </si>
  <si>
    <t>8.884318</t>
  </si>
  <si>
    <t>8.876964</t>
  </si>
  <si>
    <t>8.859744</t>
  </si>
  <si>
    <t>8.838935</t>
  </si>
  <si>
    <t>8.826327</t>
  </si>
  <si>
    <t>8.880077</t>
  </si>
  <si>
    <t>8.875445</t>
  </si>
  <si>
    <t>8.865722</t>
  </si>
  <si>
    <t>8.862212</t>
  </si>
  <si>
    <t>8.860362</t>
  </si>
  <si>
    <t>8.854249</t>
  </si>
  <si>
    <t>8.848073</t>
  </si>
  <si>
    <t>8.843977</t>
  </si>
  <si>
    <t>8.830537</t>
  </si>
  <si>
    <t>8.828201</t>
  </si>
  <si>
    <t>8.811783</t>
  </si>
  <si>
    <t>8.811606</t>
  </si>
  <si>
    <t>8.801364</t>
  </si>
  <si>
    <t>8.796727</t>
  </si>
  <si>
    <t>8.786126</t>
  </si>
  <si>
    <t>8.783505</t>
  </si>
  <si>
    <t>8.773359</t>
  </si>
  <si>
    <t>8.771981</t>
  </si>
  <si>
    <t>8.762725</t>
  </si>
  <si>
    <t>8.758904</t>
  </si>
  <si>
    <t>8.747695</t>
  </si>
  <si>
    <t>8.746253</t>
  </si>
  <si>
    <t>8.735133</t>
  </si>
  <si>
    <t>8.733515</t>
  </si>
  <si>
    <t>8.724908</t>
  </si>
  <si>
    <t>8.722072</t>
  </si>
  <si>
    <t>8.711628</t>
  </si>
  <si>
    <t>8.710904</t>
  </si>
  <si>
    <t>8.708242</t>
  </si>
  <si>
    <t>8.700494</t>
  </si>
  <si>
    <t>8.698892</t>
  </si>
  <si>
    <t>8.694981</t>
  </si>
  <si>
    <t>8.681405</t>
  </si>
  <si>
    <t>8.676646</t>
  </si>
  <si>
    <t>8.651911</t>
  </si>
  <si>
    <t>8.599047</t>
  </si>
  <si>
    <t>8.536342</t>
  </si>
  <si>
    <t>8.522478</t>
  </si>
  <si>
    <t>8.518775</t>
  </si>
  <si>
    <t>8.50868</t>
  </si>
  <si>
    <t>8.485675</t>
  </si>
  <si>
    <t>8.478607</t>
  </si>
  <si>
    <t>8.473604</t>
  </si>
  <si>
    <t>8.436087</t>
  </si>
  <si>
    <t>8.423422</t>
  </si>
  <si>
    <t>8.36739</t>
  </si>
  <si>
    <t>8.34428</t>
  </si>
  <si>
    <t>8.149612</t>
  </si>
  <si>
    <t>8.118904</t>
  </si>
  <si>
    <t>8.114744</t>
  </si>
  <si>
    <t>8.071327</t>
  </si>
  <si>
    <t>8.064594</t>
  </si>
  <si>
    <t>7.866827</t>
  </si>
  <si>
    <t>7.830943</t>
  </si>
  <si>
    <t>7.465077</t>
  </si>
  <si>
    <t>7.283337</t>
  </si>
  <si>
    <t>6.866257</t>
  </si>
  <si>
    <t>6.810483</t>
  </si>
  <si>
    <t>5.941599</t>
  </si>
  <si>
    <t>5.723527</t>
  </si>
  <si>
    <t>3.094327</t>
  </si>
  <si>
    <t>1.503327</t>
  </si>
  <si>
    <t>0.782327</t>
  </si>
  <si>
    <t>9.043326</t>
  </si>
  <si>
    <t>9.039532</t>
  </si>
  <si>
    <t>9.031375</t>
  </si>
  <si>
    <t>8.933337</t>
  </si>
  <si>
    <t>8.918337</t>
  </si>
  <si>
    <t>8.911105</t>
  </si>
  <si>
    <t>8.80859</t>
  </si>
  <si>
    <t>8.658792</t>
  </si>
  <si>
    <t>8.585043</t>
  </si>
  <si>
    <t>8.563227</t>
  </si>
  <si>
    <t>8.549985</t>
  </si>
  <si>
    <t>8.536341</t>
  </si>
  <si>
    <t>8.473462</t>
  </si>
  <si>
    <t>8.464689</t>
  </si>
  <si>
    <t>8.462482</t>
  </si>
  <si>
    <t>8.45035</t>
  </si>
  <si>
    <t>8.446308</t>
  </si>
  <si>
    <t>8.433931</t>
  </si>
  <si>
    <t>8.428792</t>
  </si>
  <si>
    <t>8.418182</t>
  </si>
  <si>
    <t>8.415864</t>
  </si>
  <si>
    <t>8.404023</t>
  </si>
  <si>
    <t>8.398624</t>
  </si>
  <si>
    <t>8.386589</t>
  </si>
  <si>
    <t>8.338961</t>
  </si>
  <si>
    <t>8.308204</t>
  </si>
  <si>
    <t>8.263508</t>
  </si>
  <si>
    <t>8.250519</t>
  </si>
  <si>
    <t>8.250259</t>
  </si>
  <si>
    <t>8.239516</t>
  </si>
  <si>
    <t>8.237896</t>
  </si>
  <si>
    <t>8.229404</t>
  </si>
  <si>
    <t>8.227663</t>
  </si>
  <si>
    <t>8.219805</t>
  </si>
  <si>
    <t>8.218848</t>
  </si>
  <si>
    <t>8.208956</t>
  </si>
  <si>
    <t>8.206703</t>
  </si>
  <si>
    <t>8.19823</t>
  </si>
  <si>
    <t>8.192358</t>
  </si>
  <si>
    <t>8.187526</t>
  </si>
  <si>
    <t>8.942485</t>
  </si>
  <si>
    <t>8.319737</t>
  </si>
  <si>
    <t>8.336424</t>
  </si>
  <si>
    <t>8.175888</t>
  </si>
  <si>
    <t>8.186791</t>
  </si>
  <si>
    <t>8.77901</t>
  </si>
  <si>
    <t>8.179791</t>
  </si>
  <si>
    <t>8.816369</t>
  </si>
  <si>
    <t>8.893327</t>
  </si>
  <si>
    <t>8.728973</t>
  </si>
  <si>
    <t>9.109736</t>
  </si>
  <si>
    <t>8.324699</t>
  </si>
  <si>
    <t>9.11304</t>
  </si>
  <si>
    <t>8.741288</t>
  </si>
  <si>
    <t>8.8745</t>
  </si>
  <si>
    <t>9.01486</t>
  </si>
  <si>
    <t>8.194414</t>
  </si>
  <si>
    <t>8.862944</t>
  </si>
  <si>
    <t>8.967911</t>
  </si>
  <si>
    <t>8.258202</t>
  </si>
  <si>
    <t>8.222378</t>
  </si>
  <si>
    <t>8.496009</t>
  </si>
  <si>
    <t>8.640577</t>
  </si>
  <si>
    <t>8.275045</t>
  </si>
  <si>
    <t>9.102634</t>
  </si>
  <si>
    <t>9.047175</t>
  </si>
  <si>
    <t>8.299873</t>
  </si>
  <si>
    <t>9.065109</t>
  </si>
  <si>
    <t>8.290138</t>
  </si>
  <si>
    <t>8.594388</t>
  </si>
  <si>
    <t>8.666666</t>
  </si>
  <si>
    <t>8.353293</t>
  </si>
  <si>
    <t>8.23371</t>
  </si>
  <si>
    <t>8.541857</t>
  </si>
  <si>
    <t>8.625649</t>
  </si>
  <si>
    <t>9.076517</t>
  </si>
  <si>
    <t>8.365958</t>
  </si>
  <si>
    <t>8.370139</t>
  </si>
  <si>
    <t>8.523443</t>
  </si>
  <si>
    <t>8.550893</t>
  </si>
  <si>
    <t>8.34793</t>
  </si>
  <si>
    <t>8.897735</t>
  </si>
  <si>
    <t>8.424945</t>
  </si>
  <si>
    <t>8.705878</t>
  </si>
  <si>
    <t>8.381427</t>
  </si>
  <si>
    <t>9.009047</t>
  </si>
  <si>
    <t>8.375271</t>
  </si>
  <si>
    <t>8.999698</t>
  </si>
  <si>
    <t>8.782914</t>
  </si>
  <si>
    <t>8.492234</t>
  </si>
  <si>
    <t>8.707122</t>
  </si>
  <si>
    <t>8.860985</t>
  </si>
  <si>
    <t>8.796302</t>
  </si>
  <si>
    <t>8.632963</t>
  </si>
  <si>
    <t>8.260353</t>
  </si>
  <si>
    <t>8.342767</t>
  </si>
  <si>
    <t>8.494067</t>
  </si>
  <si>
    <t>8.506816</t>
  </si>
  <si>
    <t>8.277599</t>
  </si>
  <si>
    <t>8.291746</t>
  </si>
  <si>
    <t>8.589058</t>
  </si>
  <si>
    <t>8.516973</t>
  </si>
  <si>
    <t>8.480852</t>
  </si>
  <si>
    <t>8.437845</t>
  </si>
  <si>
    <t>8.970426</t>
  </si>
  <si>
    <t>8.743261</t>
  </si>
  <si>
    <t>8.778264</t>
  </si>
  <si>
    <t>9.022349</t>
  </si>
  <si>
    <t>8.706805</t>
  </si>
  <si>
    <t>9.034656</t>
  </si>
  <si>
    <t>8.742574</t>
  </si>
  <si>
    <t>9.017596</t>
  </si>
  <si>
    <t>8.992452</t>
  </si>
  <si>
    <t>8.836146</t>
  </si>
  <si>
    <t>8.158689</t>
  </si>
  <si>
    <t>8.961359</t>
  </si>
  <si>
    <t>8.766578</t>
  </si>
  <si>
    <t>8.562594</t>
  </si>
  <si>
    <t>8.933167</t>
  </si>
  <si>
    <t>8.565759</t>
  </si>
  <si>
    <t>8.347127</t>
  </si>
  <si>
    <t>9.055759</t>
  </si>
  <si>
    <t>8.392287</t>
  </si>
  <si>
    <t>8.859372</t>
  </si>
  <si>
    <t>8.607423</t>
  </si>
  <si>
    <t>8.652947</t>
  </si>
  <si>
    <t>8.302508</t>
  </si>
  <si>
    <t>8.84991</t>
  </si>
  <si>
    <t>8.562868</t>
  </si>
  <si>
    <t>8.31185</t>
  </si>
  <si>
    <t>8.267764</t>
  </si>
  <si>
    <t>8.610593</t>
  </si>
  <si>
    <t>8.69832</t>
  </si>
  <si>
    <t>9.043718</t>
  </si>
  <si>
    <t>8.291732</t>
  </si>
  <si>
    <t>8.374665</t>
  </si>
  <si>
    <t>7.918533</t>
  </si>
  <si>
    <t>7.872551</t>
  </si>
  <si>
    <t>8.909707</t>
  </si>
  <si>
    <t>7.897198</t>
  </si>
  <si>
    <t>8.626136</t>
  </si>
  <si>
    <t>7.826221</t>
  </si>
  <si>
    <t>9.01098</t>
  </si>
  <si>
    <t>7.89147</t>
  </si>
  <si>
    <t>8.187279</t>
  </si>
  <si>
    <t>8.757397</t>
  </si>
  <si>
    <t>7.806008</t>
  </si>
  <si>
    <t>8.324399</t>
  </si>
  <si>
    <t>8.897197</t>
  </si>
  <si>
    <t>8.970503</t>
  </si>
  <si>
    <t>8.953246</t>
  </si>
  <si>
    <t>9.103175</t>
  </si>
  <si>
    <t>9.094861</t>
  </si>
  <si>
    <t>8.140473</t>
  </si>
  <si>
    <t>7.881989</t>
  </si>
  <si>
    <t>8.576454</t>
  </si>
  <si>
    <t>9.008069</t>
  </si>
  <si>
    <t>6.810657</t>
  </si>
  <si>
    <t>8.528457</t>
  </si>
  <si>
    <t>8.720082</t>
  </si>
  <si>
    <t>8.540954</t>
  </si>
  <si>
    <t>7.845218</t>
  </si>
  <si>
    <t>8.162049</t>
  </si>
  <si>
    <t>7.799586</t>
  </si>
  <si>
    <t>8.89138</t>
  </si>
  <si>
    <t>9.03231</t>
  </si>
  <si>
    <t>7.908308</t>
  </si>
  <si>
    <t>8.754026</t>
  </si>
  <si>
    <t>9.030513</t>
  </si>
  <si>
    <t>8.953379</t>
  </si>
  <si>
    <t>8.295958</t>
  </si>
  <si>
    <t>7.912873</t>
  </si>
  <si>
    <t>7.887514</t>
  </si>
  <si>
    <t>8.928347</t>
  </si>
  <si>
    <t>9.107863</t>
  </si>
  <si>
    <t>7.937136</t>
  </si>
  <si>
    <t>8.707101</t>
  </si>
  <si>
    <t>8.199714</t>
  </si>
  <si>
    <t>7.926627</t>
  </si>
  <si>
    <t>7.868022</t>
  </si>
  <si>
    <t>8.990099</t>
  </si>
  <si>
    <t>7.822329</t>
  </si>
  <si>
    <t>7.779371</t>
  </si>
  <si>
    <t>7.836035</t>
  </si>
  <si>
    <t>7.942127</t>
  </si>
  <si>
    <t>7.862465</t>
  </si>
  <si>
    <t>7.85562</t>
  </si>
  <si>
    <t>7.816781</t>
  </si>
  <si>
    <t>8.478591</t>
  </si>
  <si>
    <t>9.004693</t>
  </si>
  <si>
    <t>7.966597</t>
  </si>
  <si>
    <t>7.806182</t>
  </si>
  <si>
    <t>8.451273</t>
  </si>
  <si>
    <t>7.775969</t>
  </si>
  <si>
    <t>9.023327</t>
  </si>
  <si>
    <t>8.237271</t>
  </si>
  <si>
    <t>8.881439</t>
  </si>
  <si>
    <t>7.851676</t>
  </si>
  <si>
    <t>7.791305</t>
  </si>
  <si>
    <t>7.796811</t>
  </si>
  <si>
    <t>8.923686</t>
  </si>
  <si>
    <t>8.251875</t>
  </si>
  <si>
    <t>8.511055</t>
  </si>
  <si>
    <t>7.841913</t>
  </si>
  <si>
    <t>8.823856</t>
  </si>
  <si>
    <t>8.149633</t>
  </si>
  <si>
    <t>9.11121</t>
  </si>
  <si>
    <t>8.565251</t>
  </si>
  <si>
    <t>7.877358</t>
  </si>
  <si>
    <t>8.586706</t>
  </si>
  <si>
    <t>8.522096</t>
  </si>
  <si>
    <t>7.922143</t>
  </si>
  <si>
    <t>8.924702</t>
  </si>
  <si>
    <t>8.249965</t>
  </si>
  <si>
    <t>8.808499</t>
  </si>
  <si>
    <t>8.569974</t>
  </si>
  <si>
    <t>8.890923</t>
  </si>
  <si>
    <t>8.168209</t>
  </si>
  <si>
    <t>8.703047</t>
  </si>
  <si>
    <t>7.836004</t>
  </si>
  <si>
    <t>9.026239</t>
  </si>
  <si>
    <t>8.141462</t>
  </si>
  <si>
    <t>7.957447</t>
  </si>
  <si>
    <t>7.831763</t>
  </si>
  <si>
    <t>8.631838</t>
  </si>
  <si>
    <t>7.85159</t>
  </si>
  <si>
    <t>8.550897</t>
  </si>
  <si>
    <t>7.78664</t>
  </si>
  <si>
    <t>3.087994</t>
  </si>
  <si>
    <t>9.029919</t>
  </si>
  <si>
    <t>8.729624</t>
  </si>
  <si>
    <t>8.5372</t>
  </si>
  <si>
    <t>8.238508</t>
  </si>
  <si>
    <t>7.94439</t>
  </si>
  <si>
    <t>8.615574</t>
  </si>
  <si>
    <t>9.098811</t>
  </si>
  <si>
    <t>8.534711</t>
  </si>
  <si>
    <t>8.190671</t>
  </si>
  <si>
    <t>8.390726</t>
  </si>
  <si>
    <t>8.936753</t>
  </si>
  <si>
    <t>8.92068</t>
  </si>
  <si>
    <t>8.155315</t>
  </si>
  <si>
    <t>7.889536</t>
  </si>
  <si>
    <t>8.777367</t>
  </si>
  <si>
    <t>9.116407</t>
  </si>
  <si>
    <t>7.769605</t>
  </si>
  <si>
    <t>8.609068</t>
  </si>
  <si>
    <t>8.306891</t>
  </si>
  <si>
    <t>8.719768</t>
  </si>
  <si>
    <t>8.41762</t>
  </si>
  <si>
    <t>7.953906</t>
  </si>
  <si>
    <t>8.399252</t>
  </si>
  <si>
    <t>8.352703</t>
  </si>
  <si>
    <t>8.400147</t>
  </si>
  <si>
    <t>7.764621</t>
  </si>
  <si>
    <t>8.883327</t>
  </si>
  <si>
    <t>7.896669</t>
  </si>
  <si>
    <t>8.885686</t>
  </si>
  <si>
    <t>8.636751</t>
  </si>
  <si>
    <t>8.62759</t>
  </si>
  <si>
    <t>7.800198</t>
  </si>
  <si>
    <t>7.790805</t>
  </si>
  <si>
    <t>9.05004</t>
  </si>
  <si>
    <t>9.100131</t>
  </si>
  <si>
    <t>8.629918</t>
  </si>
  <si>
    <t>7.748524</t>
  </si>
  <si>
    <t>9.112454</t>
  </si>
  <si>
    <t>9.056327</t>
  </si>
  <si>
    <t>8.651509</t>
  </si>
  <si>
    <t>8.865355</t>
  </si>
  <si>
    <t>9.085352</t>
  </si>
  <si>
    <t>8.547731</t>
  </si>
  <si>
    <t>8.238353</t>
  </si>
  <si>
    <t>8.238025</t>
  </si>
  <si>
    <t>8.31067</t>
  </si>
  <si>
    <t>7.84486</t>
  </si>
  <si>
    <t>8.978261</t>
  </si>
  <si>
    <t>8.361829</t>
  </si>
  <si>
    <t>8.800749</t>
  </si>
  <si>
    <t>8.506378</t>
  </si>
  <si>
    <t>8.147295</t>
  </si>
  <si>
    <t>8.696881</t>
  </si>
  <si>
    <t>8.785311</t>
  </si>
  <si>
    <t>8.423096</t>
  </si>
  <si>
    <t>8.562685</t>
  </si>
  <si>
    <t>8.337924</t>
  </si>
  <si>
    <t>9.033581</t>
  </si>
  <si>
    <t>8.853035</t>
  </si>
  <si>
    <t>8.326456</t>
  </si>
  <si>
    <t>8.765759</t>
  </si>
  <si>
    <t>9.029272</t>
  </si>
  <si>
    <t>7.726619</t>
  </si>
  <si>
    <t>8.30273</t>
  </si>
  <si>
    <t>8.436316</t>
  </si>
  <si>
    <t>8.584395</t>
  </si>
  <si>
    <t>8.89551</t>
  </si>
  <si>
    <t>9.024038</t>
  </si>
  <si>
    <t>8.979091</t>
  </si>
  <si>
    <t>9.021589</t>
  </si>
  <si>
    <t>9.043341</t>
  </si>
  <si>
    <t>9.072031</t>
  </si>
  <si>
    <t>8.305866</t>
  </si>
  <si>
    <t>8.495346</t>
  </si>
  <si>
    <t>9.103153</t>
  </si>
  <si>
    <t>8.321661</t>
  </si>
  <si>
    <t>8.382665</t>
  </si>
  <si>
    <t>8.277003</t>
  </si>
  <si>
    <t>9.02548</t>
  </si>
  <si>
    <t>8.972989</t>
  </si>
  <si>
    <t>8.976359</t>
  </si>
  <si>
    <t>7.751087</t>
  </si>
  <si>
    <t>8.777943</t>
  </si>
  <si>
    <t>8.782019</t>
  </si>
  <si>
    <t>9.020174</t>
  </si>
  <si>
    <t>8.586882</t>
  </si>
  <si>
    <t>5.81847</t>
  </si>
  <si>
    <t>7.715948</t>
  </si>
  <si>
    <t>9.039969</t>
  </si>
  <si>
    <t>8.846608</t>
  </si>
  <si>
    <t>8.592512</t>
  </si>
  <si>
    <t>8.195806</t>
  </si>
  <si>
    <t>7.88106</t>
  </si>
  <si>
    <t>8.835754</t>
  </si>
  <si>
    <t>9.099516</t>
  </si>
  <si>
    <t>8.333272</t>
  </si>
  <si>
    <t>8.5898</t>
  </si>
  <si>
    <t>8.900547</t>
  </si>
  <si>
    <t>7.741567</t>
  </si>
  <si>
    <t>8.9185</t>
  </si>
  <si>
    <t>8.766768</t>
  </si>
  <si>
    <t>8.984821</t>
  </si>
  <si>
    <t>8.907752</t>
  </si>
  <si>
    <t>8.744953</t>
  </si>
  <si>
    <t>9.020732</t>
  </si>
  <si>
    <t>7.848492</t>
  </si>
  <si>
    <t>8.677286</t>
  </si>
  <si>
    <t>8.428546</t>
  </si>
  <si>
    <t>7.699789</t>
  </si>
  <si>
    <t>9.080127</t>
  </si>
  <si>
    <t>7.855805</t>
  </si>
  <si>
    <t>7.910426</t>
  </si>
  <si>
    <t>8.998254</t>
  </si>
  <si>
    <t>8.869434</t>
  </si>
  <si>
    <t>7.897763</t>
  </si>
  <si>
    <t>8.598879</t>
  </si>
  <si>
    <t>8.354563</t>
  </si>
  <si>
    <t>7.933871</t>
  </si>
  <si>
    <t>7.759019</t>
  </si>
  <si>
    <t>7.957644</t>
  </si>
  <si>
    <t>9.033502</t>
  </si>
  <si>
    <t>7.757885</t>
  </si>
  <si>
    <t>9.028895</t>
  </si>
  <si>
    <t>7.931436</t>
  </si>
  <si>
    <t>8.920638</t>
  </si>
  <si>
    <t>8.935711</t>
  </si>
  <si>
    <t>8.99789</t>
  </si>
  <si>
    <t>8.26187</t>
  </si>
  <si>
    <t>8.174069</t>
  </si>
  <si>
    <t>8.520642</t>
  </si>
  <si>
    <t>7.973576</t>
  </si>
  <si>
    <t>8.830865</t>
  </si>
  <si>
    <t>8.652258</t>
  </si>
  <si>
    <t>8.274783</t>
  </si>
  <si>
    <t>8.706171</t>
  </si>
  <si>
    <t>8.769026</t>
  </si>
  <si>
    <t>8.66612</t>
  </si>
  <si>
    <t>8.757042</t>
  </si>
  <si>
    <t>8.199956</t>
  </si>
  <si>
    <t>8.264755</t>
  </si>
  <si>
    <t>8.733037</t>
  </si>
  <si>
    <t>7.994042</t>
  </si>
  <si>
    <t>9.055943</t>
  </si>
  <si>
    <t>8.602973</t>
  </si>
  <si>
    <t>7.805494</t>
  </si>
  <si>
    <t>8.272514</t>
  </si>
  <si>
    <t>7.975159</t>
  </si>
  <si>
    <t>8.743541</t>
  </si>
  <si>
    <t>8.758515</t>
  </si>
  <si>
    <t>8.431852</t>
  </si>
  <si>
    <t>8.575576</t>
  </si>
  <si>
    <t>8.445866</t>
  </si>
  <si>
    <t>8.15959</t>
  </si>
  <si>
    <t>9.0143</t>
  </si>
  <si>
    <t>8.890639</t>
  </si>
  <si>
    <t>8.409532</t>
  </si>
  <si>
    <t>8.738842</t>
  </si>
  <si>
    <t>7.723468</t>
  </si>
  <si>
    <t>8.866111</t>
  </si>
  <si>
    <t>8.490383</t>
  </si>
  <si>
    <t>7.8798</t>
  </si>
  <si>
    <t>8.401217</t>
  </si>
  <si>
    <t>8.731599</t>
  </si>
  <si>
    <t>8.168551</t>
  </si>
  <si>
    <t>8.230205</t>
  </si>
  <si>
    <t>9.033899</t>
  </si>
  <si>
    <t>8.814726</t>
  </si>
  <si>
    <t>8.609245</t>
  </si>
  <si>
    <t>8.808194</t>
  </si>
  <si>
    <t>9.046431</t>
  </si>
  <si>
    <t>8.520667</t>
  </si>
  <si>
    <t>8.531031</t>
  </si>
  <si>
    <t>8.730302</t>
  </si>
  <si>
    <t>8.318847</t>
  </si>
  <si>
    <t>7.81902</t>
  </si>
  <si>
    <t>8.801773</t>
  </si>
  <si>
    <t>8.59956</t>
  </si>
  <si>
    <t>8.972181</t>
  </si>
  <si>
    <t>7.900571</t>
  </si>
  <si>
    <t>8.965255</t>
  </si>
  <si>
    <t>7.924977</t>
  </si>
  <si>
    <t>8.383902</t>
  </si>
  <si>
    <t>8.775884</t>
  </si>
  <si>
    <t>8.754005</t>
  </si>
  <si>
    <t>7.997573</t>
  </si>
  <si>
    <t>7.987277</t>
  </si>
  <si>
    <t>8.923587</t>
  </si>
  <si>
    <t>8.448376</t>
  </si>
  <si>
    <t>8.673113</t>
  </si>
  <si>
    <t>9.014564</t>
  </si>
  <si>
    <t>9.025565</t>
  </si>
  <si>
    <t>9.024912</t>
  </si>
  <si>
    <t>9.069532</t>
  </si>
  <si>
    <t>8.716646</t>
  </si>
  <si>
    <t>8.704432</t>
  </si>
  <si>
    <t>8.217534</t>
  </si>
  <si>
    <t>8.206561</t>
  </si>
  <si>
    <t>7.757691</t>
  </si>
  <si>
    <t>8.258228</t>
  </si>
  <si>
    <t>8.867688</t>
  </si>
  <si>
    <t>8.95908</t>
  </si>
  <si>
    <t>8.939669</t>
  </si>
  <si>
    <t>8.795346</t>
  </si>
  <si>
    <t>9.027581</t>
  </si>
  <si>
    <t>8.220732</t>
  </si>
  <si>
    <t>8.226358</t>
  </si>
  <si>
    <t>9.032294</t>
  </si>
  <si>
    <t>8.321053</t>
  </si>
  <si>
    <t>8.404932</t>
  </si>
  <si>
    <t>9.076086</t>
  </si>
  <si>
    <t>8.924627</t>
  </si>
  <si>
    <t>8.738523</t>
  </si>
  <si>
    <t>9.022431</t>
  </si>
  <si>
    <t>8.44234</t>
  </si>
  <si>
    <t>8.363553</t>
  </si>
  <si>
    <t>7.864999</t>
  </si>
  <si>
    <t>8.537471</t>
  </si>
  <si>
    <t>9.071423</t>
  </si>
  <si>
    <t>7.791975</t>
  </si>
  <si>
    <t>8.581871</t>
  </si>
  <si>
    <t>8.193431</t>
  </si>
  <si>
    <t>7.871931</t>
  </si>
  <si>
    <t>7.856694</t>
  </si>
  <si>
    <t>8.399752</t>
  </si>
  <si>
    <t>8.408445</t>
  </si>
  <si>
    <t>9.017591</t>
  </si>
  <si>
    <t>8.545614</t>
  </si>
  <si>
    <t>8.183209</t>
  </si>
  <si>
    <t>8.998327</t>
  </si>
  <si>
    <t>7.811287</t>
  </si>
  <si>
    <t>8.229399</t>
  </si>
  <si>
    <t>8.2752</t>
  </si>
  <si>
    <t>8.67362</t>
  </si>
  <si>
    <t>9.0438</t>
  </si>
  <si>
    <t>9.031283</t>
  </si>
  <si>
    <t>8.823235</t>
  </si>
  <si>
    <t>8.584001</t>
  </si>
  <si>
    <t>8.237626</t>
  </si>
  <si>
    <t>7.940769</t>
  </si>
  <si>
    <t>7.810792</t>
  </si>
  <si>
    <t>9.055222</t>
  </si>
  <si>
    <t>8.907956</t>
  </si>
  <si>
    <t>9.016407</t>
  </si>
  <si>
    <t>9.013644</t>
  </si>
  <si>
    <t>8.696327</t>
  </si>
  <si>
    <t>8.414978</t>
  </si>
  <si>
    <t>8.642041</t>
  </si>
  <si>
    <t>7.774467</t>
  </si>
  <si>
    <t>8.996568</t>
  </si>
  <si>
    <t>8.749622</t>
  </si>
  <si>
    <t>7.635133</t>
  </si>
  <si>
    <t>7.916379</t>
  </si>
  <si>
    <t>8.244348</t>
  </si>
  <si>
    <t>8.452758</t>
  </si>
  <si>
    <t>8.720392</t>
  </si>
  <si>
    <t>7.963761</t>
  </si>
  <si>
    <t>8.48419</t>
  </si>
  <si>
    <t>8.557387</t>
  </si>
  <si>
    <t>9.022505</t>
  </si>
  <si>
    <t>8.206567</t>
  </si>
  <si>
    <t>9.018966</t>
  </si>
  <si>
    <t>7.924932</t>
  </si>
  <si>
    <t>7.766498</t>
  </si>
  <si>
    <t>8.272269</t>
  </si>
  <si>
    <t>8.284722</t>
  </si>
  <si>
    <t>8.391617</t>
  </si>
  <si>
    <t>8.963036</t>
  </si>
  <si>
    <t>8.526912</t>
  </si>
  <si>
    <t>8.922327</t>
  </si>
  <si>
    <t>8.316432</t>
  </si>
  <si>
    <t>7.944468</t>
  </si>
  <si>
    <t>8.96339</t>
  </si>
  <si>
    <t>8.202542</t>
  </si>
  <si>
    <t>8.842185</t>
  </si>
  <si>
    <t>8.607706</t>
  </si>
  <si>
    <t>8.927167</t>
  </si>
  <si>
    <t>8.717094</t>
  </si>
  <si>
    <t>8.770959</t>
  </si>
  <si>
    <t>7.742704</t>
  </si>
  <si>
    <t>8.328294</t>
  </si>
  <si>
    <t>8.225756</t>
  </si>
  <si>
    <t>8.713179</t>
  </si>
  <si>
    <t>8.661417</t>
  </si>
  <si>
    <t>8.202877</t>
  </si>
  <si>
    <t>8.502576</t>
  </si>
  <si>
    <t>8.698179</t>
  </si>
  <si>
    <t>8.244353</t>
  </si>
  <si>
    <t>8.545692</t>
  </si>
  <si>
    <t>9.053647</t>
  </si>
  <si>
    <t>8.536591</t>
  </si>
  <si>
    <t>8.27886</t>
  </si>
  <si>
    <t>8.768864</t>
  </si>
  <si>
    <t>8.926451</t>
  </si>
  <si>
    <t>8.281935</t>
  </si>
  <si>
    <t>8.975979</t>
  </si>
  <si>
    <t>8.996183</t>
  </si>
  <si>
    <t>8.40221</t>
  </si>
  <si>
    <t>8.513792</t>
  </si>
  <si>
    <t>8.422082</t>
  </si>
  <si>
    <t>8.979406</t>
  </si>
  <si>
    <t>8.993234</t>
  </si>
  <si>
    <t>8.112825</t>
  </si>
  <si>
    <t>8.989727</t>
  </si>
  <si>
    <t>8.289382</t>
  </si>
  <si>
    <t>7.851682</t>
  </si>
  <si>
    <t>9.023958</t>
  </si>
  <si>
    <t>9.056536</t>
  </si>
  <si>
    <t>8.875061</t>
  </si>
  <si>
    <t>8.786311</t>
  </si>
  <si>
    <t>8.309907</t>
  </si>
  <si>
    <t>9.093581</t>
  </si>
  <si>
    <t>8.204342</t>
  </si>
  <si>
    <t>8.740035</t>
  </si>
  <si>
    <t>8.905175</t>
  </si>
  <si>
    <t>8.39548</t>
  </si>
  <si>
    <t>7.864666</t>
  </si>
  <si>
    <t>8.231483</t>
  </si>
  <si>
    <t>8.177436</t>
  </si>
  <si>
    <t>8.996185</t>
  </si>
  <si>
    <t>8.172651</t>
  </si>
  <si>
    <t>8.264359</t>
  </si>
  <si>
    <t>8.106928</t>
  </si>
  <si>
    <t>8.370813</t>
  </si>
  <si>
    <t>7.813752</t>
  </si>
  <si>
    <t>8.283713</t>
  </si>
  <si>
    <t>8.462406</t>
  </si>
  <si>
    <t>8.976951</t>
  </si>
  <si>
    <t>7.825914</t>
  </si>
  <si>
    <t>8.517521</t>
  </si>
  <si>
    <t>8.990503</t>
  </si>
  <si>
    <t>9.036843</t>
  </si>
  <si>
    <t>8.516007</t>
  </si>
  <si>
    <t>8.196989</t>
  </si>
  <si>
    <t>9.057957</t>
  </si>
  <si>
    <t>8.711453</t>
  </si>
  <si>
    <t>8.732343</t>
  </si>
  <si>
    <t>7.898892</t>
  </si>
  <si>
    <t>8.304154</t>
  </si>
  <si>
    <t>7.778407</t>
  </si>
  <si>
    <t>8.917149</t>
  </si>
  <si>
    <t>9.000789</t>
  </si>
  <si>
    <t>8.396524</t>
  </si>
  <si>
    <t>8.513544</t>
  </si>
  <si>
    <t>8.128337</t>
  </si>
  <si>
    <t>8.363202</t>
  </si>
  <si>
    <t>8.444183</t>
  </si>
  <si>
    <t>7.730742</t>
  </si>
  <si>
    <t>8.408901</t>
  </si>
  <si>
    <t>8.212333</t>
  </si>
  <si>
    <t>8.126527</t>
  </si>
  <si>
    <t>9.005821</t>
  </si>
  <si>
    <t>7.89893</t>
  </si>
  <si>
    <t>8.691994</t>
  </si>
  <si>
    <t>8.884271</t>
  </si>
  <si>
    <t>8.999608</t>
  </si>
  <si>
    <t>8.523288</t>
  </si>
  <si>
    <t>8.750383</t>
  </si>
  <si>
    <t>7.944591</t>
  </si>
  <si>
    <t>8.620514</t>
  </si>
  <si>
    <t>8.154158</t>
  </si>
  <si>
    <t>8.962072</t>
  </si>
  <si>
    <t>7.72504</t>
  </si>
  <si>
    <t>8.844589</t>
  </si>
  <si>
    <t>8.659529</t>
  </si>
  <si>
    <t>8.132954</t>
  </si>
  <si>
    <t>8.841531</t>
  </si>
  <si>
    <t>8.210166</t>
  </si>
  <si>
    <t>7.76859</t>
  </si>
  <si>
    <t>8.665661</t>
  </si>
  <si>
    <t>8.485877</t>
  </si>
  <si>
    <t>8.814963</t>
  </si>
  <si>
    <t>7.833648</t>
  </si>
  <si>
    <t>8.242036</t>
  </si>
  <si>
    <t>8.857464</t>
  </si>
  <si>
    <t>8.690771</t>
  </si>
  <si>
    <t>8.966583</t>
  </si>
  <si>
    <t>8.98688</t>
  </si>
  <si>
    <t>9.026112</t>
  </si>
  <si>
    <t>8.238051</t>
  </si>
  <si>
    <t>8.705721</t>
  </si>
  <si>
    <t>7.644361</t>
  </si>
  <si>
    <t>8.345428</t>
  </si>
  <si>
    <t>9.002871</t>
  </si>
  <si>
    <t>7.829801</t>
  </si>
  <si>
    <t>8.889689</t>
  </si>
  <si>
    <t>9.018872</t>
  </si>
  <si>
    <t>8.681565</t>
  </si>
  <si>
    <t>8.727358</t>
  </si>
  <si>
    <t>7.822491</t>
  </si>
  <si>
    <t>8.864805</t>
  </si>
  <si>
    <t>8.296871</t>
  </si>
  <si>
    <t>8.551166</t>
  </si>
  <si>
    <t>8.851727</t>
  </si>
  <si>
    <t>9.01737</t>
  </si>
  <si>
    <t>8.65954</t>
  </si>
  <si>
    <t>8.714109</t>
  </si>
  <si>
    <t>8.912907</t>
  </si>
  <si>
    <t>8.233326</t>
  </si>
  <si>
    <t>7.681556</t>
  </si>
  <si>
    <t>8.993208</t>
  </si>
  <si>
    <t>8.1612</t>
  </si>
  <si>
    <t>8.696131</t>
  </si>
  <si>
    <t>8.545394</t>
  </si>
  <si>
    <t>8.80884</t>
  </si>
  <si>
    <t>9.087452</t>
  </si>
  <si>
    <t>8.155607</t>
  </si>
  <si>
    <t>7.752808</t>
  </si>
  <si>
    <t>7.779523</t>
  </si>
  <si>
    <t>8.476352</t>
  </si>
  <si>
    <t>8.257433</t>
  </si>
  <si>
    <t>8.248343</t>
  </si>
  <si>
    <t>8.374218</t>
  </si>
  <si>
    <t>8.844756</t>
  </si>
  <si>
    <t>7.803566</t>
  </si>
  <si>
    <t>8.286599</t>
  </si>
  <si>
    <t>8.938121</t>
  </si>
  <si>
    <t>8.444304</t>
  </si>
  <si>
    <t>7.857143</t>
  </si>
  <si>
    <t>8.21519</t>
  </si>
  <si>
    <t>8.976918</t>
  </si>
  <si>
    <t>8.778196</t>
  </si>
  <si>
    <t>8.828977</t>
  </si>
  <si>
    <t>7.980993</t>
  </si>
  <si>
    <t>8.970274</t>
  </si>
  <si>
    <t>8.562014</t>
  </si>
  <si>
    <t>8.972067</t>
  </si>
  <si>
    <t>7.737398</t>
  </si>
  <si>
    <t>8.811618</t>
  </si>
  <si>
    <t>9.087572</t>
  </si>
  <si>
    <t>9.073267</t>
  </si>
  <si>
    <t>8.359055</t>
  </si>
  <si>
    <t>8.806414</t>
  </si>
  <si>
    <t>8.668476</t>
  </si>
  <si>
    <t>8.488737</t>
  </si>
  <si>
    <t>8.117032</t>
  </si>
  <si>
    <t>8.202893</t>
  </si>
  <si>
    <t>7.863764</t>
  </si>
  <si>
    <t>9.023243</t>
  </si>
  <si>
    <t>8.53267</t>
  </si>
  <si>
    <t>8.355075</t>
  </si>
  <si>
    <t>8.267638</t>
  </si>
  <si>
    <t>8.456891</t>
  </si>
  <si>
    <t>8.72057</t>
  </si>
  <si>
    <t>8.484619</t>
  </si>
  <si>
    <t>9.004964</t>
  </si>
  <si>
    <t>8.730746</t>
  </si>
  <si>
    <t>8.352118</t>
  </si>
  <si>
    <t>8.884761</t>
  </si>
  <si>
    <t>8.671088</t>
  </si>
  <si>
    <t>8.784443</t>
  </si>
  <si>
    <t>8.7288</t>
  </si>
  <si>
    <t>8.764409</t>
  </si>
  <si>
    <t>8.274897</t>
  </si>
  <si>
    <t>7.818674</t>
  </si>
  <si>
    <t>8.977507</t>
  </si>
  <si>
    <t>8.828849</t>
  </si>
  <si>
    <t>8.359401</t>
  </si>
  <si>
    <t>8.211618</t>
  </si>
  <si>
    <t>8.022789</t>
  </si>
  <si>
    <t>8.877852</t>
  </si>
  <si>
    <t>8.456205</t>
  </si>
  <si>
    <t>7.848148</t>
  </si>
  <si>
    <t>8.177875</t>
  </si>
  <si>
    <t>8.135303</t>
  </si>
  <si>
    <t>7.971327</t>
  </si>
  <si>
    <t>8.950177</t>
  </si>
  <si>
    <t>8.311935</t>
  </si>
  <si>
    <t>8.156737</t>
  </si>
  <si>
    <t>8.570529</t>
  </si>
  <si>
    <t>8.173966</t>
  </si>
  <si>
    <t>7.785464</t>
  </si>
  <si>
    <t>8.552634</t>
  </si>
  <si>
    <t>8.983373</t>
  </si>
  <si>
    <t>8.727439</t>
  </si>
  <si>
    <t>9.102449</t>
  </si>
  <si>
    <t>8.949749</t>
  </si>
  <si>
    <t>7.867882</t>
  </si>
  <si>
    <t>8.131376</t>
  </si>
  <si>
    <t>8.993181</t>
  </si>
  <si>
    <t>7.70986</t>
  </si>
  <si>
    <t>7.921249</t>
  </si>
  <si>
    <t>8.634954</t>
  </si>
  <si>
    <t>9.004879</t>
  </si>
  <si>
    <t>8.198111</t>
  </si>
  <si>
    <t>8.992635</t>
  </si>
  <si>
    <t>7.738739</t>
  </si>
  <si>
    <t>8.21944</t>
  </si>
  <si>
    <t>8.682217</t>
  </si>
  <si>
    <t>9.029413</t>
  </si>
  <si>
    <t>8.769577</t>
  </si>
  <si>
    <t>7.729062</t>
  </si>
  <si>
    <t>8.678459</t>
  </si>
  <si>
    <t>8.999022</t>
  </si>
  <si>
    <t>8.443419</t>
  </si>
  <si>
    <t>8.471168</t>
  </si>
  <si>
    <t>8.982618</t>
  </si>
  <si>
    <t>8.35053</t>
  </si>
  <si>
    <t>7.87483</t>
  </si>
  <si>
    <t>8.627616</t>
  </si>
  <si>
    <t>8.953864</t>
  </si>
  <si>
    <t>8.269598</t>
  </si>
  <si>
    <t>8.215712</t>
  </si>
  <si>
    <t>8.889702</t>
  </si>
  <si>
    <t>8.368684</t>
  </si>
  <si>
    <t>9.057888</t>
  </si>
  <si>
    <t>8.478371</t>
  </si>
  <si>
    <t>8.894541</t>
  </si>
  <si>
    <t>7.787191</t>
  </si>
  <si>
    <t>8.307885</t>
  </si>
  <si>
    <t>7.937048</t>
  </si>
  <si>
    <t>8.798652</t>
  </si>
  <si>
    <t>7.853348</t>
  </si>
  <si>
    <t>8.109617</t>
  </si>
  <si>
    <t>8.816483</t>
  </si>
  <si>
    <t>8.547949</t>
  </si>
  <si>
    <t>A</t>
  </si>
  <si>
    <t>E1</t>
  </si>
  <si>
    <t>E2</t>
  </si>
  <si>
    <t>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</si>
</sst>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&quot; g/cm³&quot;"/>
    <numFmt numFmtId="166" formatCode="General&quot; °C&quot;"/>
  </numFmts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4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right" vertical="center" indent="2"/>
    </xf>
    <xf numFmtId="165" fontId="0" fillId="0" borderId="0" xfId="0" applyNumberFormat="1" applyAlignment="1">
      <alignment horizontal="right" vertical="center" indent="2"/>
    </xf>
    <xf numFmtId="166" fontId="1" fillId="2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right" vertical="center" indent="2"/>
    </xf>
    <xf numFmtId="166" fontId="0" fillId="0" borderId="0" xfId="0" applyNumberFormat="1" applyAlignment="1">
      <alignment horizontal="right" vertical="center" indent="2"/>
    </xf>
    <xf numFmtId="164" fontId="0" fillId="0" borderId="1" xfId="0" applyNumberFormat="1" applyBorder="1" applyAlignment="1">
      <alignment horizontal="right" vertical="center" indent="2"/>
    </xf>
    <xf numFmtId="164" fontId="0" fillId="0" borderId="0" xfId="0" applyNumberFormat="1" applyAlignment="1">
      <alignment horizontal="right" vertical="center" indent="2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2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B7274-5ECB-4D13-A431-5F1E0D0AFAD3}">
  <dimension ref="A1:K113"/>
  <sheetViews>
    <sheetView zoomScale="85" zoomScaleNormal="85" workbookViewId="0">
      <pane ySplit="1" topLeftCell="A95" activePane="bottomLeft" state="frozen"/>
      <selection pane="bottomLeft" activeCell="C10" sqref="C10"/>
    </sheetView>
  </sheetViews>
  <sheetFormatPr defaultColWidth="15" defaultRowHeight="15" x14ac:dyDescent="0.25"/>
  <cols>
    <col min="1" max="1" width="14.85546875" style="6" bestFit="1" customWidth="1"/>
    <col min="2" max="2" width="13.85546875" style="2" customWidth="1"/>
    <col min="3" max="3" width="12.28515625" style="2" customWidth="1"/>
    <col min="4" max="4" width="14.140625" style="15" bestFit="1" customWidth="1"/>
    <col min="5" max="5" width="23.7109375" style="10" customWidth="1"/>
    <col min="6" max="6" width="14.7109375" style="13" customWidth="1"/>
    <col min="7" max="7" width="15.140625" style="13" customWidth="1"/>
    <col min="8" max="8" width="16.85546875" style="2" customWidth="1"/>
    <col min="9" max="9" width="17" style="2" bestFit="1" customWidth="1"/>
    <col min="10" max="10" width="28.28515625" style="2" bestFit="1" customWidth="1"/>
    <col min="12" max="16384" width="15" style="2"/>
  </cols>
  <sheetData>
    <row r="1" spans="1:11" x14ac:dyDescent="0.25">
      <c r="A1" s="3" t="s">
        <v>0</v>
      </c>
      <c r="B1" s="3" t="s">
        <v>1</v>
      </c>
      <c r="C1" s="3" t="s">
        <v>2</v>
      </c>
      <c r="D1" s="7" t="s">
        <v>3</v>
      </c>
      <c r="E1" s="8" t="s">
        <v>4</v>
      </c>
      <c r="F1" s="11" t="s">
        <v>5</v>
      </c>
      <c r="G1" s="11" t="s">
        <v>6</v>
      </c>
      <c r="H1" s="3" t="s">
        <v>7</v>
      </c>
      <c r="I1" s="3" t="s">
        <v>9</v>
      </c>
      <c r="J1" s="3" t="s">
        <v>8</v>
      </c>
      <c r="K1" s="1"/>
    </row>
    <row r="2" spans="1:11" x14ac:dyDescent="0.25">
      <c r="A2" s="5" t="s">
        <v>10</v>
      </c>
      <c r="B2" s="4" t="s">
        <v>11</v>
      </c>
      <c r="C2" s="4">
        <v>89</v>
      </c>
      <c r="D2" s="14">
        <v>227</v>
      </c>
      <c r="E2" s="9">
        <v>10</v>
      </c>
      <c r="F2" s="12">
        <v>1050</v>
      </c>
      <c r="G2" s="12">
        <v>3198</v>
      </c>
      <c r="H2" s="4">
        <v>11</v>
      </c>
      <c r="I2" s="4">
        <v>1899</v>
      </c>
      <c r="J2" s="4" t="s">
        <v>12</v>
      </c>
    </row>
    <row r="3" spans="1:11" x14ac:dyDescent="0.25">
      <c r="A3" s="5" t="s">
        <v>13</v>
      </c>
      <c r="B3" s="4" t="s">
        <v>14</v>
      </c>
      <c r="C3" s="4">
        <v>13</v>
      </c>
      <c r="D3" s="14">
        <v>26.981999999999999</v>
      </c>
      <c r="E3" s="9">
        <v>2.7</v>
      </c>
      <c r="F3" s="12">
        <v>660.47</v>
      </c>
      <c r="G3" s="12">
        <v>2519</v>
      </c>
      <c r="H3" s="4">
        <v>8</v>
      </c>
      <c r="I3" s="4">
        <v>1827</v>
      </c>
      <c r="J3" s="4" t="s">
        <v>15</v>
      </c>
    </row>
    <row r="4" spans="1:11" x14ac:dyDescent="0.25">
      <c r="A4" s="5" t="s">
        <v>16</v>
      </c>
      <c r="B4" s="4" t="s">
        <v>17</v>
      </c>
      <c r="C4" s="4">
        <v>95</v>
      </c>
      <c r="D4" s="14">
        <v>243</v>
      </c>
      <c r="E4" s="9">
        <v>12</v>
      </c>
      <c r="F4" s="12">
        <v>1176</v>
      </c>
      <c r="G4" s="12">
        <v>2607</v>
      </c>
      <c r="H4" s="4">
        <v>133</v>
      </c>
      <c r="I4" s="4">
        <v>1944</v>
      </c>
      <c r="J4" s="4" t="s">
        <v>18</v>
      </c>
    </row>
    <row r="5" spans="1:11" x14ac:dyDescent="0.25">
      <c r="A5" s="5" t="s">
        <v>19</v>
      </c>
      <c r="B5" s="4" t="s">
        <v>20</v>
      </c>
      <c r="C5" s="4">
        <v>51</v>
      </c>
      <c r="D5" s="14">
        <v>121.76</v>
      </c>
      <c r="E5" s="9">
        <v>6.6970000000000001</v>
      </c>
      <c r="F5" s="12">
        <v>630.78</v>
      </c>
      <c r="G5" s="12">
        <v>1587</v>
      </c>
      <c r="H5" s="4">
        <v>29</v>
      </c>
      <c r="I5" s="4" t="s">
        <v>22</v>
      </c>
      <c r="J5" s="4" t="s">
        <v>21</v>
      </c>
    </row>
    <row r="6" spans="1:11" x14ac:dyDescent="0.25">
      <c r="A6" s="5" t="s">
        <v>23</v>
      </c>
      <c r="B6" s="4" t="s">
        <v>24</v>
      </c>
      <c r="C6" s="4">
        <v>79</v>
      </c>
      <c r="D6" s="14">
        <v>196.97</v>
      </c>
      <c r="E6" s="9">
        <v>19.3</v>
      </c>
      <c r="F6" s="12">
        <v>1064.33</v>
      </c>
      <c r="G6" s="12">
        <v>2856</v>
      </c>
      <c r="H6" s="4">
        <v>21</v>
      </c>
      <c r="I6" s="4" t="s">
        <v>22</v>
      </c>
      <c r="J6" s="4" t="s">
        <v>22</v>
      </c>
    </row>
    <row r="7" spans="1:11" x14ac:dyDescent="0.25">
      <c r="A7" s="5" t="s">
        <v>25</v>
      </c>
      <c r="B7" s="4" t="s">
        <v>26</v>
      </c>
      <c r="C7" s="4">
        <v>18</v>
      </c>
      <c r="D7" s="14">
        <v>39.950000000000003</v>
      </c>
      <c r="E7" s="9">
        <v>1.784E-3</v>
      </c>
      <c r="F7" s="12">
        <v>-189.2</v>
      </c>
      <c r="G7" s="12">
        <v>-185.7</v>
      </c>
      <c r="H7" s="4">
        <v>8</v>
      </c>
      <c r="I7" s="4">
        <v>1894</v>
      </c>
      <c r="J7" s="4" t="s">
        <v>27</v>
      </c>
    </row>
    <row r="8" spans="1:11" x14ac:dyDescent="0.25">
      <c r="A8" s="5" t="s">
        <v>28</v>
      </c>
      <c r="B8" s="4" t="s">
        <v>29</v>
      </c>
      <c r="C8" s="4">
        <v>33</v>
      </c>
      <c r="D8" s="14">
        <v>74.921999999999997</v>
      </c>
      <c r="E8" s="9">
        <v>5.7270000000000003</v>
      </c>
      <c r="F8" s="12">
        <v>817</v>
      </c>
      <c r="G8" s="12">
        <v>614</v>
      </c>
      <c r="H8" s="4">
        <v>14</v>
      </c>
      <c r="I8" s="4" t="s">
        <v>31</v>
      </c>
      <c r="J8" s="4" t="s">
        <v>30</v>
      </c>
    </row>
    <row r="9" spans="1:11" x14ac:dyDescent="0.25">
      <c r="A9" s="5" t="s">
        <v>32</v>
      </c>
      <c r="B9" s="4" t="s">
        <v>33</v>
      </c>
      <c r="C9" s="4">
        <v>85</v>
      </c>
      <c r="D9" s="14">
        <v>210</v>
      </c>
      <c r="E9" s="9">
        <v>8.93</v>
      </c>
      <c r="F9" s="12">
        <v>302</v>
      </c>
      <c r="G9" s="12">
        <v>337</v>
      </c>
      <c r="H9" s="4">
        <v>21</v>
      </c>
      <c r="I9" s="4">
        <v>1940</v>
      </c>
      <c r="J9" s="4" t="s">
        <v>34</v>
      </c>
    </row>
    <row r="10" spans="1:11" x14ac:dyDescent="0.25">
      <c r="A10" s="5" t="s">
        <v>35</v>
      </c>
      <c r="B10" s="4" t="s">
        <v>36</v>
      </c>
      <c r="C10" s="4">
        <v>56</v>
      </c>
      <c r="D10" s="14">
        <v>137.33000000000001</v>
      </c>
      <c r="E10" s="9">
        <v>3.51</v>
      </c>
      <c r="F10" s="12">
        <v>727</v>
      </c>
      <c r="G10" s="12">
        <v>1897</v>
      </c>
      <c r="H10" s="4">
        <v>25</v>
      </c>
      <c r="I10" s="4">
        <v>1808</v>
      </c>
      <c r="J10" s="4" t="s">
        <v>37</v>
      </c>
    </row>
    <row r="11" spans="1:11" x14ac:dyDescent="0.25">
      <c r="A11" s="5" t="s">
        <v>38</v>
      </c>
      <c r="B11" s="4" t="s">
        <v>39</v>
      </c>
      <c r="C11" s="4">
        <v>4</v>
      </c>
      <c r="D11" s="14">
        <v>9.0122</v>
      </c>
      <c r="E11" s="9">
        <v>1.85</v>
      </c>
      <c r="F11" s="12">
        <v>1287</v>
      </c>
      <c r="G11" s="12">
        <v>2469</v>
      </c>
      <c r="H11" s="4">
        <v>6</v>
      </c>
      <c r="I11" s="4">
        <v>1798</v>
      </c>
      <c r="J11" s="4" t="s">
        <v>40</v>
      </c>
    </row>
    <row r="12" spans="1:11" x14ac:dyDescent="0.25">
      <c r="A12" s="5" t="s">
        <v>41</v>
      </c>
      <c r="B12" s="4" t="s">
        <v>42</v>
      </c>
      <c r="C12" s="4">
        <v>97</v>
      </c>
      <c r="D12" s="14">
        <v>247</v>
      </c>
      <c r="E12" s="9">
        <v>14.78</v>
      </c>
      <c r="F12" s="12">
        <v>986</v>
      </c>
      <c r="G12" s="12">
        <v>2627</v>
      </c>
      <c r="H12" s="4">
        <v>83</v>
      </c>
      <c r="I12" s="4">
        <v>1949</v>
      </c>
      <c r="J12" s="4" t="s">
        <v>18</v>
      </c>
    </row>
    <row r="13" spans="1:11" x14ac:dyDescent="0.25">
      <c r="A13" s="5" t="s">
        <v>43</v>
      </c>
      <c r="B13" s="4" t="s">
        <v>44</v>
      </c>
      <c r="C13" s="4">
        <v>83</v>
      </c>
      <c r="D13" s="14">
        <v>208.98</v>
      </c>
      <c r="E13" s="9">
        <v>9.7799999999999994</v>
      </c>
      <c r="F13" s="12">
        <v>271.7</v>
      </c>
      <c r="G13" s="12">
        <v>1564</v>
      </c>
      <c r="H13" s="4">
        <v>19</v>
      </c>
      <c r="I13" s="4">
        <v>1753</v>
      </c>
      <c r="J13" s="4" t="s">
        <v>45</v>
      </c>
    </row>
    <row r="14" spans="1:11" x14ac:dyDescent="0.25">
      <c r="A14" s="5" t="s">
        <v>46</v>
      </c>
      <c r="B14" s="4" t="s">
        <v>47</v>
      </c>
      <c r="C14" s="4">
        <v>5</v>
      </c>
      <c r="D14" s="14">
        <v>10.81</v>
      </c>
      <c r="E14" s="9">
        <v>2.34</v>
      </c>
      <c r="F14" s="12">
        <v>2076</v>
      </c>
      <c r="G14" s="12">
        <v>3927</v>
      </c>
      <c r="H14" s="4">
        <v>6</v>
      </c>
      <c r="I14" s="4">
        <v>1808</v>
      </c>
      <c r="J14" s="4" t="s">
        <v>48</v>
      </c>
    </row>
    <row r="15" spans="1:11" hidden="1" x14ac:dyDescent="0.25">
      <c r="A15" s="5"/>
      <c r="B15" s="4"/>
      <c r="C15" s="4"/>
      <c r="D15" s="14"/>
      <c r="E15" s="9"/>
      <c r="F15" s="12"/>
      <c r="G15" s="12"/>
      <c r="H15" s="4"/>
      <c r="I15" s="4" t="s">
        <v>49</v>
      </c>
      <c r="J15" s="4"/>
    </row>
    <row r="16" spans="1:11" x14ac:dyDescent="0.25">
      <c r="A16" s="5" t="s">
        <v>50</v>
      </c>
      <c r="B16" s="4" t="s">
        <v>51</v>
      </c>
      <c r="C16" s="4">
        <v>107</v>
      </c>
      <c r="D16" s="14">
        <v>270</v>
      </c>
      <c r="E16" s="9">
        <v>26.5</v>
      </c>
      <c r="F16" s="12" t="s">
        <v>22</v>
      </c>
      <c r="G16" s="12" t="s">
        <v>22</v>
      </c>
      <c r="H16" s="4" t="s">
        <v>22</v>
      </c>
      <c r="I16" s="4">
        <v>1981</v>
      </c>
      <c r="J16" s="4" t="s">
        <v>52</v>
      </c>
    </row>
    <row r="17" spans="1:10" x14ac:dyDescent="0.25">
      <c r="A17" s="5" t="s">
        <v>53</v>
      </c>
      <c r="B17" s="4" t="s">
        <v>54</v>
      </c>
      <c r="C17" s="4">
        <v>35</v>
      </c>
      <c r="D17" s="14">
        <v>79.903999999999996</v>
      </c>
      <c r="E17" s="9">
        <v>3.1027999999999998</v>
      </c>
      <c r="F17" s="12">
        <v>-7.2</v>
      </c>
      <c r="G17" s="12">
        <v>59</v>
      </c>
      <c r="H17" s="4">
        <v>19</v>
      </c>
      <c r="I17" s="4">
        <v>1826</v>
      </c>
      <c r="J17" s="4" t="s">
        <v>55</v>
      </c>
    </row>
    <row r="18" spans="1:10" x14ac:dyDescent="0.25">
      <c r="A18" s="5" t="s">
        <v>56</v>
      </c>
      <c r="B18" s="4" t="s">
        <v>57</v>
      </c>
      <c r="C18" s="4">
        <v>58</v>
      </c>
      <c r="D18" s="14">
        <v>140.12</v>
      </c>
      <c r="E18" s="9">
        <v>6.77</v>
      </c>
      <c r="F18" s="12">
        <v>795</v>
      </c>
      <c r="G18" s="12">
        <v>3443</v>
      </c>
      <c r="H18" s="4">
        <v>19</v>
      </c>
      <c r="I18" s="4">
        <v>1803</v>
      </c>
      <c r="J18" s="4" t="s">
        <v>58</v>
      </c>
    </row>
    <row r="19" spans="1:10" hidden="1" x14ac:dyDescent="0.25">
      <c r="A19" s="5"/>
      <c r="B19" s="4"/>
      <c r="C19" s="4"/>
      <c r="D19" s="14"/>
      <c r="E19" s="9"/>
      <c r="F19" s="12"/>
      <c r="G19" s="12"/>
      <c r="H19" s="4"/>
      <c r="I19" s="4" t="s">
        <v>59</v>
      </c>
      <c r="J19" s="4"/>
    </row>
    <row r="20" spans="1:10" x14ac:dyDescent="0.25">
      <c r="A20" s="5" t="s">
        <v>60</v>
      </c>
      <c r="B20" s="4" t="s">
        <v>61</v>
      </c>
      <c r="C20" s="4">
        <v>55</v>
      </c>
      <c r="D20" s="14">
        <v>132.91</v>
      </c>
      <c r="E20" s="9">
        <v>1.93</v>
      </c>
      <c r="F20" s="12">
        <v>28.59</v>
      </c>
      <c r="G20" s="12">
        <v>671</v>
      </c>
      <c r="H20" s="4">
        <v>22</v>
      </c>
      <c r="I20" s="4">
        <v>1860</v>
      </c>
      <c r="J20" s="4" t="s">
        <v>62</v>
      </c>
    </row>
    <row r="21" spans="1:10" x14ac:dyDescent="0.25">
      <c r="A21" s="5" t="s">
        <v>63</v>
      </c>
      <c r="B21" s="4" t="s">
        <v>64</v>
      </c>
      <c r="C21" s="4">
        <v>30</v>
      </c>
      <c r="D21" s="14">
        <v>65.38</v>
      </c>
      <c r="E21" s="9">
        <v>7.14</v>
      </c>
      <c r="F21" s="12">
        <v>419.88</v>
      </c>
      <c r="G21" s="12">
        <v>907</v>
      </c>
      <c r="H21" s="4">
        <v>15</v>
      </c>
      <c r="I21" s="4" t="s">
        <v>22</v>
      </c>
      <c r="J21" s="4" t="s">
        <v>22</v>
      </c>
    </row>
    <row r="22" spans="1:10" x14ac:dyDescent="0.25">
      <c r="A22" s="5" t="s">
        <v>65</v>
      </c>
      <c r="B22" s="4" t="s">
        <v>66</v>
      </c>
      <c r="C22" s="4">
        <v>40</v>
      </c>
      <c r="D22" s="14">
        <v>91.224000000000004</v>
      </c>
      <c r="E22" s="9">
        <v>6.52</v>
      </c>
      <c r="F22" s="12">
        <v>1855</v>
      </c>
      <c r="G22" s="12">
        <v>4409</v>
      </c>
      <c r="H22" s="4">
        <v>20</v>
      </c>
      <c r="I22" s="4">
        <v>1789</v>
      </c>
      <c r="J22" s="4" t="s">
        <v>67</v>
      </c>
    </row>
    <row r="23" spans="1:10" x14ac:dyDescent="0.25">
      <c r="A23" s="5" t="s">
        <v>68</v>
      </c>
      <c r="B23" s="4" t="s">
        <v>69</v>
      </c>
      <c r="C23" s="4">
        <v>66</v>
      </c>
      <c r="D23" s="14">
        <v>162.5</v>
      </c>
      <c r="E23" s="9">
        <v>8.5399999999999991</v>
      </c>
      <c r="F23" s="12">
        <v>1407</v>
      </c>
      <c r="G23" s="12">
        <v>2567</v>
      </c>
      <c r="H23" s="4">
        <v>21</v>
      </c>
      <c r="I23" s="4">
        <v>1886</v>
      </c>
      <c r="J23" s="4" t="s">
        <v>70</v>
      </c>
    </row>
    <row r="24" spans="1:10" x14ac:dyDescent="0.25">
      <c r="A24" s="5" t="s">
        <v>71</v>
      </c>
      <c r="B24" s="4" t="s">
        <v>72</v>
      </c>
      <c r="C24" s="4">
        <v>105</v>
      </c>
      <c r="D24" s="14">
        <v>268</v>
      </c>
      <c r="E24" s="9">
        <v>-21.6</v>
      </c>
      <c r="F24" s="12" t="s">
        <v>22</v>
      </c>
      <c r="G24" s="12" t="s">
        <v>22</v>
      </c>
      <c r="H24" s="4" t="s">
        <v>22</v>
      </c>
      <c r="I24" s="4">
        <v>1970</v>
      </c>
      <c r="J24" s="4" t="s">
        <v>73</v>
      </c>
    </row>
    <row r="25" spans="1:10" x14ac:dyDescent="0.25">
      <c r="A25" s="5" t="s">
        <v>74</v>
      </c>
      <c r="B25" s="4" t="s">
        <v>75</v>
      </c>
      <c r="C25" s="4">
        <v>99</v>
      </c>
      <c r="D25" s="14">
        <v>252</v>
      </c>
      <c r="E25" s="9">
        <v>8.84</v>
      </c>
      <c r="F25" s="12">
        <v>860</v>
      </c>
      <c r="G25" s="12">
        <v>-1542</v>
      </c>
      <c r="H25" s="4">
        <v>123</v>
      </c>
      <c r="I25" s="4">
        <v>1952</v>
      </c>
      <c r="J25" s="4" t="s">
        <v>73</v>
      </c>
    </row>
    <row r="26" spans="1:10" x14ac:dyDescent="0.25">
      <c r="A26" s="5" t="s">
        <v>76</v>
      </c>
      <c r="B26" s="4" t="s">
        <v>77</v>
      </c>
      <c r="C26" s="4">
        <v>68</v>
      </c>
      <c r="D26" s="14">
        <v>167.26</v>
      </c>
      <c r="E26" s="9">
        <v>9.0660000000000007</v>
      </c>
      <c r="F26" s="12">
        <v>1529</v>
      </c>
      <c r="G26" s="12">
        <v>2868</v>
      </c>
      <c r="H26" s="4">
        <v>16</v>
      </c>
      <c r="I26" s="4">
        <v>1843</v>
      </c>
      <c r="J26" s="4" t="s">
        <v>78</v>
      </c>
    </row>
    <row r="27" spans="1:10" x14ac:dyDescent="0.25">
      <c r="A27" s="5" t="s">
        <v>79</v>
      </c>
      <c r="B27" s="4" t="s">
        <v>80</v>
      </c>
      <c r="C27" s="4">
        <v>63</v>
      </c>
      <c r="D27" s="14">
        <v>151.96</v>
      </c>
      <c r="E27" s="9">
        <v>5.2439999999999998</v>
      </c>
      <c r="F27" s="12">
        <v>826</v>
      </c>
      <c r="G27" s="12">
        <v>1529</v>
      </c>
      <c r="H27" s="4">
        <v>21</v>
      </c>
      <c r="I27" s="4">
        <v>1896</v>
      </c>
      <c r="J27" s="4" t="s">
        <v>81</v>
      </c>
    </row>
    <row r="28" spans="1:10" x14ac:dyDescent="0.25">
      <c r="A28" s="5" t="s">
        <v>82</v>
      </c>
      <c r="B28" s="4" t="s">
        <v>83</v>
      </c>
      <c r="C28" s="4">
        <v>47</v>
      </c>
      <c r="D28" s="14">
        <v>107.87</v>
      </c>
      <c r="E28" s="9">
        <v>10.49</v>
      </c>
      <c r="F28" s="12">
        <v>961.93</v>
      </c>
      <c r="G28" s="12">
        <v>2162</v>
      </c>
      <c r="H28" s="4">
        <v>27</v>
      </c>
      <c r="I28" s="4" t="s">
        <v>22</v>
      </c>
      <c r="J28" s="4" t="s">
        <v>22</v>
      </c>
    </row>
    <row r="29" spans="1:10" x14ac:dyDescent="0.25">
      <c r="A29" s="5" t="s">
        <v>84</v>
      </c>
      <c r="B29" s="4" t="s">
        <v>85</v>
      </c>
      <c r="C29" s="4">
        <v>100</v>
      </c>
      <c r="D29" s="14">
        <v>257</v>
      </c>
      <c r="E29" s="9">
        <v>9.6999999999999993</v>
      </c>
      <c r="F29" s="12">
        <v>852</v>
      </c>
      <c r="G29" s="12" t="s">
        <v>22</v>
      </c>
      <c r="H29" s="4">
        <v>103</v>
      </c>
      <c r="I29" s="4">
        <v>1953</v>
      </c>
      <c r="J29" s="4" t="s">
        <v>73</v>
      </c>
    </row>
    <row r="30" spans="1:10" x14ac:dyDescent="0.25">
      <c r="A30" s="5" t="s">
        <v>86</v>
      </c>
      <c r="B30" s="4" t="s">
        <v>87</v>
      </c>
      <c r="C30" s="4">
        <v>9</v>
      </c>
      <c r="D30" s="14">
        <v>18.998000000000001</v>
      </c>
      <c r="E30" s="9">
        <v>1.696E-3</v>
      </c>
      <c r="F30" s="12">
        <v>-219.47</v>
      </c>
      <c r="G30" s="12">
        <v>-187.97</v>
      </c>
      <c r="H30" s="4">
        <v>6</v>
      </c>
      <c r="I30" s="4">
        <v>1886</v>
      </c>
      <c r="J30" s="4" t="s">
        <v>88</v>
      </c>
    </row>
    <row r="31" spans="1:10" x14ac:dyDescent="0.25">
      <c r="A31" s="5" t="s">
        <v>89</v>
      </c>
      <c r="B31" s="4" t="s">
        <v>90</v>
      </c>
      <c r="C31" s="4">
        <v>15</v>
      </c>
      <c r="D31" s="14">
        <v>30.974</v>
      </c>
      <c r="E31" s="9">
        <v>1.823</v>
      </c>
      <c r="F31" s="12">
        <v>44.3</v>
      </c>
      <c r="G31" s="12">
        <v>277</v>
      </c>
      <c r="H31" s="4">
        <v>7</v>
      </c>
      <c r="I31" s="4">
        <v>1669</v>
      </c>
      <c r="J31" s="4" t="s">
        <v>91</v>
      </c>
    </row>
    <row r="32" spans="1:10" x14ac:dyDescent="0.25">
      <c r="A32" s="5" t="s">
        <v>92</v>
      </c>
      <c r="B32" s="4" t="s">
        <v>93</v>
      </c>
      <c r="C32" s="4">
        <v>87</v>
      </c>
      <c r="D32" s="14">
        <v>223</v>
      </c>
      <c r="E32" s="9">
        <v>-2.48</v>
      </c>
      <c r="F32" s="12">
        <v>8</v>
      </c>
      <c r="G32" s="12">
        <v>617</v>
      </c>
      <c r="H32" s="4">
        <v>21</v>
      </c>
      <c r="I32" s="4">
        <v>1938</v>
      </c>
      <c r="J32" s="4" t="s">
        <v>94</v>
      </c>
    </row>
    <row r="33" spans="1:10" x14ac:dyDescent="0.25">
      <c r="A33" s="5" t="s">
        <v>95</v>
      </c>
      <c r="B33" s="4" t="s">
        <v>96</v>
      </c>
      <c r="C33" s="4">
        <v>64</v>
      </c>
      <c r="D33" s="14">
        <v>157.25</v>
      </c>
      <c r="E33" s="9">
        <v>7.9</v>
      </c>
      <c r="F33" s="12">
        <v>1312</v>
      </c>
      <c r="G33" s="12">
        <v>3273</v>
      </c>
      <c r="H33" s="4">
        <v>17</v>
      </c>
      <c r="I33" s="4">
        <v>1880</v>
      </c>
      <c r="J33" s="4" t="s">
        <v>97</v>
      </c>
    </row>
    <row r="34" spans="1:10" x14ac:dyDescent="0.25">
      <c r="A34" s="5" t="s">
        <v>98</v>
      </c>
      <c r="B34" s="4" t="s">
        <v>99</v>
      </c>
      <c r="C34" s="4">
        <v>31</v>
      </c>
      <c r="D34" s="14">
        <v>69.722999999999999</v>
      </c>
      <c r="E34" s="9">
        <v>5.91</v>
      </c>
      <c r="F34" s="12">
        <v>29.9146</v>
      </c>
      <c r="G34" s="12">
        <v>2400</v>
      </c>
      <c r="H34" s="4">
        <v>14</v>
      </c>
      <c r="I34" s="4">
        <v>1875</v>
      </c>
      <c r="J34" s="4" t="s">
        <v>70</v>
      </c>
    </row>
    <row r="35" spans="1:10" x14ac:dyDescent="0.25">
      <c r="A35" s="5" t="s">
        <v>100</v>
      </c>
      <c r="B35" s="4" t="s">
        <v>101</v>
      </c>
      <c r="C35" s="4">
        <v>32</v>
      </c>
      <c r="D35" s="14">
        <v>72.63</v>
      </c>
      <c r="E35" s="9">
        <v>5.3230000000000004</v>
      </c>
      <c r="F35" s="12">
        <v>938.4</v>
      </c>
      <c r="G35" s="12">
        <v>2833</v>
      </c>
      <c r="H35" s="4">
        <v>17</v>
      </c>
      <c r="I35" s="4">
        <v>1886</v>
      </c>
      <c r="J35" s="4" t="s">
        <v>102</v>
      </c>
    </row>
    <row r="36" spans="1:10" x14ac:dyDescent="0.25">
      <c r="A36" s="5" t="s">
        <v>103</v>
      </c>
      <c r="B36" s="4" t="s">
        <v>104</v>
      </c>
      <c r="C36" s="4">
        <v>72</v>
      </c>
      <c r="D36" s="14">
        <v>178.49</v>
      </c>
      <c r="E36" s="9">
        <v>13.31</v>
      </c>
      <c r="F36" s="12">
        <v>2233</v>
      </c>
      <c r="G36" s="12">
        <v>4603</v>
      </c>
      <c r="H36" s="4">
        <v>17</v>
      </c>
      <c r="I36" s="4">
        <v>1923</v>
      </c>
      <c r="J36" s="4" t="s">
        <v>105</v>
      </c>
    </row>
    <row r="37" spans="1:10" x14ac:dyDescent="0.25">
      <c r="A37" s="5" t="s">
        <v>106</v>
      </c>
      <c r="B37" s="4" t="s">
        <v>107</v>
      </c>
      <c r="C37" s="4">
        <v>108</v>
      </c>
      <c r="D37" s="14">
        <v>269</v>
      </c>
      <c r="E37" s="9">
        <v>28</v>
      </c>
      <c r="F37" s="12" t="s">
        <v>22</v>
      </c>
      <c r="G37" s="12" t="s">
        <v>22</v>
      </c>
      <c r="H37" s="4" t="s">
        <v>22</v>
      </c>
      <c r="I37" s="4">
        <v>1983</v>
      </c>
      <c r="J37" s="4" t="s">
        <v>52</v>
      </c>
    </row>
    <row r="38" spans="1:10" x14ac:dyDescent="0.25">
      <c r="A38" s="5" t="s">
        <v>108</v>
      </c>
      <c r="B38" s="4" t="s">
        <v>109</v>
      </c>
      <c r="C38" s="4">
        <v>2</v>
      </c>
      <c r="D38" s="14">
        <v>4.0026000000000002</v>
      </c>
      <c r="E38" s="9">
        <v>1.785E-4</v>
      </c>
      <c r="F38" s="12">
        <v>-272.2</v>
      </c>
      <c r="G38" s="12">
        <v>-268.77999999999997</v>
      </c>
      <c r="H38" s="4">
        <v>5</v>
      </c>
      <c r="I38" s="4">
        <v>1868</v>
      </c>
      <c r="J38" s="4" t="s">
        <v>110</v>
      </c>
    </row>
    <row r="39" spans="1:10" x14ac:dyDescent="0.25">
      <c r="A39" s="5" t="s">
        <v>111</v>
      </c>
      <c r="B39" s="4" t="s">
        <v>112</v>
      </c>
      <c r="C39" s="4">
        <v>1</v>
      </c>
      <c r="D39" s="14">
        <v>1.008</v>
      </c>
      <c r="E39" s="9">
        <v>8.988E-5</v>
      </c>
      <c r="F39" s="12">
        <v>-258.99</v>
      </c>
      <c r="G39" s="12">
        <v>-252.72</v>
      </c>
      <c r="H39" s="4">
        <v>3</v>
      </c>
      <c r="I39" s="4">
        <v>1766</v>
      </c>
      <c r="J39" s="4" t="s">
        <v>113</v>
      </c>
    </row>
    <row r="40" spans="1:10" x14ac:dyDescent="0.25">
      <c r="A40" s="5" t="s">
        <v>114</v>
      </c>
      <c r="B40" s="4" t="s">
        <v>115</v>
      </c>
      <c r="C40" s="4">
        <v>80</v>
      </c>
      <c r="D40" s="14">
        <v>200.59</v>
      </c>
      <c r="E40" s="9">
        <v>13.534000000000001</v>
      </c>
      <c r="F40" s="12">
        <v>-38.57</v>
      </c>
      <c r="G40" s="12">
        <v>356.88</v>
      </c>
      <c r="H40" s="4">
        <v>26</v>
      </c>
      <c r="I40" s="4" t="s">
        <v>22</v>
      </c>
      <c r="J40" s="4" t="s">
        <v>22</v>
      </c>
    </row>
    <row r="41" spans="1:10" x14ac:dyDescent="0.25">
      <c r="A41" s="5" t="s">
        <v>116</v>
      </c>
      <c r="B41" s="4" t="s">
        <v>117</v>
      </c>
      <c r="C41" s="4">
        <v>67</v>
      </c>
      <c r="D41" s="14">
        <v>164.93</v>
      </c>
      <c r="E41" s="9">
        <v>8.7899999999999991</v>
      </c>
      <c r="F41" s="12">
        <v>1461</v>
      </c>
      <c r="G41" s="12">
        <v>2720</v>
      </c>
      <c r="H41" s="4">
        <v>29</v>
      </c>
      <c r="I41" s="4">
        <v>1878</v>
      </c>
      <c r="J41" s="4" t="s">
        <v>118</v>
      </c>
    </row>
    <row r="42" spans="1:10" x14ac:dyDescent="0.25">
      <c r="A42" s="5" t="s">
        <v>119</v>
      </c>
      <c r="B42" s="4" t="s">
        <v>120</v>
      </c>
      <c r="C42" s="4">
        <v>49</v>
      </c>
      <c r="D42" s="14">
        <v>114.82</v>
      </c>
      <c r="E42" s="9">
        <v>7.31</v>
      </c>
      <c r="F42" s="12">
        <v>156.75</v>
      </c>
      <c r="G42" s="12">
        <v>2072</v>
      </c>
      <c r="H42" s="4">
        <v>34</v>
      </c>
      <c r="I42" s="4">
        <v>1863</v>
      </c>
      <c r="J42" s="4" t="s">
        <v>121</v>
      </c>
    </row>
    <row r="43" spans="1:10" x14ac:dyDescent="0.25">
      <c r="A43" s="5" t="s">
        <v>122</v>
      </c>
      <c r="B43" s="4" t="s">
        <v>123</v>
      </c>
      <c r="C43" s="4">
        <v>77</v>
      </c>
      <c r="D43" s="14">
        <v>192.22</v>
      </c>
      <c r="E43" s="9">
        <v>22.56</v>
      </c>
      <c r="F43" s="12">
        <v>2446</v>
      </c>
      <c r="G43" s="12">
        <v>4428</v>
      </c>
      <c r="H43" s="4">
        <v>25</v>
      </c>
      <c r="I43" s="4">
        <v>1803</v>
      </c>
      <c r="J43" s="4" t="s">
        <v>124</v>
      </c>
    </row>
    <row r="44" spans="1:10" x14ac:dyDescent="0.25">
      <c r="A44" s="5" t="s">
        <v>125</v>
      </c>
      <c r="B44" s="4" t="s">
        <v>126</v>
      </c>
      <c r="C44" s="4">
        <v>70</v>
      </c>
      <c r="D44" s="14">
        <v>173.05</v>
      </c>
      <c r="E44" s="9">
        <v>6.9</v>
      </c>
      <c r="F44" s="12">
        <v>824</v>
      </c>
      <c r="G44" s="12">
        <v>1196</v>
      </c>
      <c r="H44" s="4">
        <v>16</v>
      </c>
      <c r="I44" s="4">
        <v>1878</v>
      </c>
      <c r="J44" s="4" t="s">
        <v>97</v>
      </c>
    </row>
    <row r="45" spans="1:10" x14ac:dyDescent="0.25">
      <c r="A45" s="5" t="s">
        <v>127</v>
      </c>
      <c r="B45" s="4" t="s">
        <v>128</v>
      </c>
      <c r="C45" s="4">
        <v>39</v>
      </c>
      <c r="D45" s="14">
        <v>88.906000000000006</v>
      </c>
      <c r="E45" s="9">
        <v>4.4720000000000004</v>
      </c>
      <c r="F45" s="12">
        <v>1526</v>
      </c>
      <c r="G45" s="12">
        <v>3336</v>
      </c>
      <c r="H45" s="4">
        <v>21</v>
      </c>
      <c r="I45" s="4">
        <v>1794</v>
      </c>
      <c r="J45" s="4" t="s">
        <v>129</v>
      </c>
    </row>
    <row r="46" spans="1:10" x14ac:dyDescent="0.25">
      <c r="A46" s="5" t="s">
        <v>130</v>
      </c>
      <c r="B46" s="4" t="s">
        <v>131</v>
      </c>
      <c r="C46" s="4">
        <v>53</v>
      </c>
      <c r="D46" s="14">
        <v>126.9</v>
      </c>
      <c r="E46" s="9">
        <v>4.9329999999999998</v>
      </c>
      <c r="F46" s="12">
        <v>113.85</v>
      </c>
      <c r="G46" s="12">
        <v>184.4</v>
      </c>
      <c r="H46" s="4">
        <v>24</v>
      </c>
      <c r="I46" s="4">
        <v>1811</v>
      </c>
      <c r="J46" s="4" t="s">
        <v>132</v>
      </c>
    </row>
    <row r="47" spans="1:10" x14ac:dyDescent="0.25">
      <c r="A47" s="5" t="s">
        <v>133</v>
      </c>
      <c r="B47" s="4" t="s">
        <v>134</v>
      </c>
      <c r="C47" s="4">
        <v>48</v>
      </c>
      <c r="D47" s="14">
        <v>112.41</v>
      </c>
      <c r="E47" s="9">
        <v>8.65</v>
      </c>
      <c r="F47" s="12">
        <v>321.22000000000003</v>
      </c>
      <c r="G47" s="12">
        <v>767</v>
      </c>
      <c r="H47" s="4">
        <v>22</v>
      </c>
      <c r="I47" s="4">
        <v>1817</v>
      </c>
      <c r="J47" s="4" t="s">
        <v>135</v>
      </c>
    </row>
    <row r="48" spans="1:10" x14ac:dyDescent="0.25">
      <c r="A48" s="5" t="s">
        <v>136</v>
      </c>
      <c r="B48" s="4" t="s">
        <v>137</v>
      </c>
      <c r="C48" s="4">
        <v>20</v>
      </c>
      <c r="D48" s="14">
        <v>40.078000000000003</v>
      </c>
      <c r="E48" s="9">
        <v>1.55</v>
      </c>
      <c r="F48" s="12">
        <v>842</v>
      </c>
      <c r="G48" s="12">
        <v>1484</v>
      </c>
      <c r="H48" s="4">
        <v>14</v>
      </c>
      <c r="I48" s="4">
        <v>1808</v>
      </c>
      <c r="J48" s="4" t="s">
        <v>37</v>
      </c>
    </row>
    <row r="49" spans="1:10" x14ac:dyDescent="0.25">
      <c r="A49" s="5" t="s">
        <v>138</v>
      </c>
      <c r="B49" s="4" t="s">
        <v>139</v>
      </c>
      <c r="C49" s="4">
        <v>98</v>
      </c>
      <c r="D49" s="14">
        <v>251</v>
      </c>
      <c r="E49" s="9">
        <v>15.1</v>
      </c>
      <c r="F49" s="12">
        <v>900</v>
      </c>
      <c r="G49" s="12">
        <v>1470</v>
      </c>
      <c r="H49" s="4">
        <v>123</v>
      </c>
      <c r="I49" s="4">
        <v>1950</v>
      </c>
      <c r="J49" s="4" t="s">
        <v>18</v>
      </c>
    </row>
    <row r="50" spans="1:10" x14ac:dyDescent="0.25">
      <c r="A50" s="5" t="s">
        <v>140</v>
      </c>
      <c r="B50" s="4" t="s">
        <v>141</v>
      </c>
      <c r="C50" s="4">
        <v>19</v>
      </c>
      <c r="D50" s="14">
        <v>39.097999999999999</v>
      </c>
      <c r="E50" s="9">
        <v>0.89</v>
      </c>
      <c r="F50" s="12">
        <v>63.53</v>
      </c>
      <c r="G50" s="12">
        <v>759</v>
      </c>
      <c r="H50" s="4">
        <v>10</v>
      </c>
      <c r="I50" s="4">
        <v>1807</v>
      </c>
      <c r="J50" s="4" t="s">
        <v>37</v>
      </c>
    </row>
    <row r="51" spans="1:10" x14ac:dyDescent="0.25">
      <c r="A51" s="5" t="s">
        <v>142</v>
      </c>
      <c r="B51" s="4" t="s">
        <v>143</v>
      </c>
      <c r="C51" s="4">
        <v>16</v>
      </c>
      <c r="D51" s="14">
        <v>32.06</v>
      </c>
      <c r="E51" s="9">
        <v>2.0699999999999998</v>
      </c>
      <c r="F51" s="12">
        <v>115.36</v>
      </c>
      <c r="G51" s="12">
        <v>444.87</v>
      </c>
      <c r="H51" s="4">
        <v>10</v>
      </c>
      <c r="I51" s="4" t="s">
        <v>22</v>
      </c>
      <c r="J51" s="4" t="s">
        <v>22</v>
      </c>
    </row>
    <row r="52" spans="1:10" x14ac:dyDescent="0.25">
      <c r="A52" s="5" t="s">
        <v>144</v>
      </c>
      <c r="B52" s="4" t="s">
        <v>145</v>
      </c>
      <c r="C52" s="4">
        <v>17</v>
      </c>
      <c r="D52" s="14">
        <v>35.450000000000003</v>
      </c>
      <c r="E52" s="9">
        <v>3.2000000000000002E-3</v>
      </c>
      <c r="F52" s="12">
        <v>-101.4</v>
      </c>
      <c r="G52" s="12">
        <v>-33.89</v>
      </c>
      <c r="H52" s="4">
        <v>11</v>
      </c>
      <c r="I52" s="4">
        <v>1774</v>
      </c>
      <c r="J52" s="4" t="s">
        <v>146</v>
      </c>
    </row>
    <row r="53" spans="1:10" x14ac:dyDescent="0.25">
      <c r="A53" s="5" t="s">
        <v>147</v>
      </c>
      <c r="B53" s="4" t="s">
        <v>148</v>
      </c>
      <c r="C53" s="4">
        <v>27</v>
      </c>
      <c r="D53" s="14">
        <v>58.933</v>
      </c>
      <c r="E53" s="9">
        <v>8.9</v>
      </c>
      <c r="F53" s="12">
        <v>1495</v>
      </c>
      <c r="G53" s="12">
        <v>2927</v>
      </c>
      <c r="H53" s="4">
        <v>14</v>
      </c>
      <c r="I53" s="4" t="s">
        <v>150</v>
      </c>
      <c r="J53" s="4" t="s">
        <v>149</v>
      </c>
    </row>
    <row r="54" spans="1:10" x14ac:dyDescent="0.25">
      <c r="A54" s="5" t="s">
        <v>151</v>
      </c>
      <c r="B54" s="4" t="s">
        <v>152</v>
      </c>
      <c r="C54" s="4">
        <v>36</v>
      </c>
      <c r="D54" s="14">
        <v>83.798000000000002</v>
      </c>
      <c r="E54" s="9">
        <v>3.7490000000000002E-3</v>
      </c>
      <c r="F54" s="12">
        <v>-157.21</v>
      </c>
      <c r="G54" s="12">
        <v>-153.07</v>
      </c>
      <c r="H54" s="4">
        <v>23</v>
      </c>
      <c r="I54" s="4">
        <v>1898</v>
      </c>
      <c r="J54" s="4" t="s">
        <v>153</v>
      </c>
    </row>
    <row r="55" spans="1:10" x14ac:dyDescent="0.25">
      <c r="A55" s="5" t="s">
        <v>154</v>
      </c>
      <c r="B55" s="4" t="s">
        <v>155</v>
      </c>
      <c r="C55" s="4">
        <v>24</v>
      </c>
      <c r="D55" s="14">
        <v>51.996000000000002</v>
      </c>
      <c r="E55" s="9">
        <v>7.15</v>
      </c>
      <c r="F55" s="12">
        <v>1907</v>
      </c>
      <c r="G55" s="12">
        <v>2671</v>
      </c>
      <c r="H55" s="4">
        <v>9</v>
      </c>
      <c r="I55" s="4">
        <v>1797</v>
      </c>
      <c r="J55" s="4" t="s">
        <v>40</v>
      </c>
    </row>
    <row r="56" spans="1:10" x14ac:dyDescent="0.25">
      <c r="A56" s="5" t="s">
        <v>156</v>
      </c>
      <c r="B56" s="4" t="s">
        <v>157</v>
      </c>
      <c r="C56" s="4">
        <v>96</v>
      </c>
      <c r="D56" s="14">
        <v>247</v>
      </c>
      <c r="E56" s="9">
        <v>13.51</v>
      </c>
      <c r="F56" s="12">
        <v>1340</v>
      </c>
      <c r="G56" s="12">
        <v>3110</v>
      </c>
      <c r="H56" s="4">
        <v>133</v>
      </c>
      <c r="I56" s="4">
        <v>1944</v>
      </c>
      <c r="J56" s="4" t="s">
        <v>158</v>
      </c>
    </row>
    <row r="57" spans="1:10" x14ac:dyDescent="0.25">
      <c r="A57" s="5" t="s">
        <v>159</v>
      </c>
      <c r="B57" s="4" t="s">
        <v>160</v>
      </c>
      <c r="C57" s="4">
        <v>57</v>
      </c>
      <c r="D57" s="14">
        <v>138.91</v>
      </c>
      <c r="E57" s="9">
        <v>6.1619999999999999</v>
      </c>
      <c r="F57" s="12">
        <v>920</v>
      </c>
      <c r="G57" s="12">
        <v>3464</v>
      </c>
      <c r="H57" s="4">
        <v>19</v>
      </c>
      <c r="I57" s="4">
        <v>1839</v>
      </c>
      <c r="J57" s="4" t="s">
        <v>78</v>
      </c>
    </row>
    <row r="58" spans="1:10" x14ac:dyDescent="0.25">
      <c r="A58" s="5" t="s">
        <v>161</v>
      </c>
      <c r="B58" s="4" t="s">
        <v>162</v>
      </c>
      <c r="C58" s="4">
        <v>103</v>
      </c>
      <c r="D58" s="14">
        <v>266</v>
      </c>
      <c r="E58" s="9">
        <v>-14.4</v>
      </c>
      <c r="F58" s="12">
        <v>-2173</v>
      </c>
      <c r="G58" s="12" t="s">
        <v>22</v>
      </c>
      <c r="H58" s="4">
        <v>203</v>
      </c>
      <c r="I58" s="4">
        <v>1961</v>
      </c>
      <c r="J58" s="4" t="s">
        <v>73</v>
      </c>
    </row>
    <row r="59" spans="1:10" x14ac:dyDescent="0.25">
      <c r="A59" s="5" t="s">
        <v>163</v>
      </c>
      <c r="B59" s="4" t="s">
        <v>164</v>
      </c>
      <c r="C59" s="4">
        <v>3</v>
      </c>
      <c r="D59" s="14">
        <v>6.94</v>
      </c>
      <c r="E59" s="9">
        <v>0.53400000000000003</v>
      </c>
      <c r="F59" s="12">
        <v>180.69</v>
      </c>
      <c r="G59" s="12">
        <v>1287</v>
      </c>
      <c r="H59" s="4">
        <v>5</v>
      </c>
      <c r="I59" s="4">
        <v>1817</v>
      </c>
      <c r="J59" s="4" t="s">
        <v>165</v>
      </c>
    </row>
    <row r="60" spans="1:10" x14ac:dyDescent="0.25">
      <c r="A60" s="5" t="s">
        <v>166</v>
      </c>
      <c r="B60" s="4" t="s">
        <v>167</v>
      </c>
      <c r="C60" s="4">
        <v>71</v>
      </c>
      <c r="D60" s="14">
        <v>174.97</v>
      </c>
      <c r="E60" s="9">
        <v>9.8409999999999993</v>
      </c>
      <c r="F60" s="12">
        <v>1652</v>
      </c>
      <c r="G60" s="12">
        <v>3402</v>
      </c>
      <c r="H60" s="4">
        <v>22</v>
      </c>
      <c r="I60" s="4">
        <v>1907</v>
      </c>
      <c r="J60" s="4" t="s">
        <v>168</v>
      </c>
    </row>
    <row r="61" spans="1:10" x14ac:dyDescent="0.25">
      <c r="A61" s="5" t="s">
        <v>169</v>
      </c>
      <c r="B61" s="4" t="s">
        <v>170</v>
      </c>
      <c r="C61" s="4">
        <v>12</v>
      </c>
      <c r="D61" s="14">
        <v>24.305</v>
      </c>
      <c r="E61" s="9">
        <v>1.738</v>
      </c>
      <c r="F61" s="12">
        <v>650</v>
      </c>
      <c r="G61" s="12">
        <v>1090</v>
      </c>
      <c r="H61" s="4">
        <v>8</v>
      </c>
      <c r="I61" s="4">
        <v>1755</v>
      </c>
      <c r="J61" s="4" t="s">
        <v>171</v>
      </c>
    </row>
    <row r="62" spans="1:10" x14ac:dyDescent="0.25">
      <c r="A62" s="5" t="s">
        <v>172</v>
      </c>
      <c r="B62" s="4" t="s">
        <v>173</v>
      </c>
      <c r="C62" s="4">
        <v>25</v>
      </c>
      <c r="D62" s="14">
        <v>54.938000000000002</v>
      </c>
      <c r="E62" s="9">
        <v>7.21</v>
      </c>
      <c r="F62" s="12">
        <v>1246</v>
      </c>
      <c r="G62" s="12">
        <v>2061</v>
      </c>
      <c r="H62" s="4">
        <v>11</v>
      </c>
      <c r="I62" s="4">
        <v>1774</v>
      </c>
      <c r="J62" s="4" t="s">
        <v>174</v>
      </c>
    </row>
    <row r="63" spans="1:10" hidden="1" x14ac:dyDescent="0.25">
      <c r="A63" s="5"/>
      <c r="B63" s="4"/>
      <c r="C63" s="4"/>
      <c r="D63" s="14"/>
      <c r="E63" s="9"/>
      <c r="F63" s="12"/>
      <c r="G63" s="12"/>
      <c r="H63" s="4"/>
      <c r="I63" s="4" t="s">
        <v>175</v>
      </c>
      <c r="J63" s="4"/>
    </row>
    <row r="64" spans="1:10" x14ac:dyDescent="0.25">
      <c r="A64" s="5" t="s">
        <v>176</v>
      </c>
      <c r="B64" s="4" t="s">
        <v>177</v>
      </c>
      <c r="C64" s="4">
        <v>109</v>
      </c>
      <c r="D64" s="14">
        <v>278</v>
      </c>
      <c r="E64" s="9">
        <v>27.5</v>
      </c>
      <c r="F64" s="12" t="s">
        <v>22</v>
      </c>
      <c r="G64" s="12" t="s">
        <v>22</v>
      </c>
      <c r="H64" s="4" t="s">
        <v>22</v>
      </c>
      <c r="I64" s="4">
        <v>1982</v>
      </c>
      <c r="J64" s="4" t="s">
        <v>178</v>
      </c>
    </row>
    <row r="65" spans="1:10" x14ac:dyDescent="0.25">
      <c r="A65" s="5" t="s">
        <v>179</v>
      </c>
      <c r="B65" s="4" t="s">
        <v>180</v>
      </c>
      <c r="C65" s="4">
        <v>101</v>
      </c>
      <c r="D65" s="14">
        <v>258</v>
      </c>
      <c r="E65" s="9">
        <v>-10.3</v>
      </c>
      <c r="F65" s="12">
        <v>-1373</v>
      </c>
      <c r="G65" s="12" t="s">
        <v>22</v>
      </c>
      <c r="H65" s="4">
        <v>33</v>
      </c>
      <c r="I65" s="4">
        <v>1955</v>
      </c>
      <c r="J65" s="4" t="s">
        <v>73</v>
      </c>
    </row>
    <row r="66" spans="1:10" x14ac:dyDescent="0.25">
      <c r="A66" s="5" t="s">
        <v>181</v>
      </c>
      <c r="B66" s="4" t="s">
        <v>182</v>
      </c>
      <c r="C66" s="4">
        <v>42</v>
      </c>
      <c r="D66" s="14">
        <v>95.95</v>
      </c>
      <c r="E66" s="9">
        <v>10.28</v>
      </c>
      <c r="F66" s="12">
        <v>2623</v>
      </c>
      <c r="G66" s="12">
        <v>4639</v>
      </c>
      <c r="H66" s="4">
        <v>20</v>
      </c>
      <c r="I66" s="4">
        <v>1778</v>
      </c>
      <c r="J66" s="4" t="s">
        <v>146</v>
      </c>
    </row>
    <row r="67" spans="1:10" x14ac:dyDescent="0.25">
      <c r="A67" s="5" t="s">
        <v>183</v>
      </c>
      <c r="B67" s="4" t="s">
        <v>184</v>
      </c>
      <c r="C67" s="4">
        <v>11</v>
      </c>
      <c r="D67" s="14">
        <v>22.99</v>
      </c>
      <c r="E67" s="9">
        <v>0.96799999999999997</v>
      </c>
      <c r="F67" s="12">
        <v>97.87</v>
      </c>
      <c r="G67" s="12">
        <v>883</v>
      </c>
      <c r="H67" s="4">
        <v>7</v>
      </c>
      <c r="I67" s="4">
        <v>1807</v>
      </c>
      <c r="J67" s="4" t="s">
        <v>37</v>
      </c>
    </row>
    <row r="68" spans="1:10" x14ac:dyDescent="0.25">
      <c r="A68" s="5" t="s">
        <v>185</v>
      </c>
      <c r="B68" s="4" t="s">
        <v>186</v>
      </c>
      <c r="C68" s="4">
        <v>60</v>
      </c>
      <c r="D68" s="14">
        <v>144.24</v>
      </c>
      <c r="E68" s="9">
        <v>7.01</v>
      </c>
      <c r="F68" s="12">
        <v>1024</v>
      </c>
      <c r="G68" s="12">
        <v>3074</v>
      </c>
      <c r="H68" s="4">
        <v>16</v>
      </c>
      <c r="I68" s="4">
        <v>1885</v>
      </c>
      <c r="J68" s="4" t="s">
        <v>187</v>
      </c>
    </row>
    <row r="69" spans="1:10" x14ac:dyDescent="0.25">
      <c r="A69" s="5" t="s">
        <v>188</v>
      </c>
      <c r="B69" s="4" t="s">
        <v>189</v>
      </c>
      <c r="C69" s="4">
        <v>10</v>
      </c>
      <c r="D69" s="14">
        <v>20.18</v>
      </c>
      <c r="E69" s="9">
        <v>9.0019999999999998E-4</v>
      </c>
      <c r="F69" s="12">
        <v>-248.44</v>
      </c>
      <c r="G69" s="12">
        <v>-245.93</v>
      </c>
      <c r="H69" s="4">
        <v>8</v>
      </c>
      <c r="I69" s="4">
        <v>1898</v>
      </c>
      <c r="J69" s="4" t="s">
        <v>153</v>
      </c>
    </row>
    <row r="70" spans="1:10" x14ac:dyDescent="0.25">
      <c r="A70" s="5" t="s">
        <v>190</v>
      </c>
      <c r="B70" s="4" t="s">
        <v>191</v>
      </c>
      <c r="C70" s="4">
        <v>93</v>
      </c>
      <c r="D70" s="14">
        <v>237</v>
      </c>
      <c r="E70" s="9">
        <v>20.45</v>
      </c>
      <c r="F70" s="12">
        <v>644</v>
      </c>
      <c r="G70" s="12">
        <v>4000</v>
      </c>
      <c r="H70" s="4">
        <v>153</v>
      </c>
      <c r="I70" s="4">
        <v>1940</v>
      </c>
      <c r="J70" s="4" t="s">
        <v>192</v>
      </c>
    </row>
    <row r="71" spans="1:10" x14ac:dyDescent="0.25">
      <c r="A71" s="5" t="s">
        <v>193</v>
      </c>
      <c r="B71" s="4" t="s">
        <v>194</v>
      </c>
      <c r="C71" s="4">
        <v>28</v>
      </c>
      <c r="D71" s="14">
        <v>58.692999999999998</v>
      </c>
      <c r="E71" s="9">
        <v>8.9079999999999995</v>
      </c>
      <c r="F71" s="12">
        <v>1455</v>
      </c>
      <c r="G71" s="12">
        <v>2913</v>
      </c>
      <c r="H71" s="4">
        <v>11</v>
      </c>
      <c r="I71" s="4">
        <v>1751</v>
      </c>
      <c r="J71" s="4" t="s">
        <v>195</v>
      </c>
    </row>
    <row r="72" spans="1:10" x14ac:dyDescent="0.25">
      <c r="A72" s="5" t="s">
        <v>196</v>
      </c>
      <c r="B72" s="4" t="s">
        <v>197</v>
      </c>
      <c r="C72" s="4">
        <v>41</v>
      </c>
      <c r="D72" s="14">
        <v>92.906000000000006</v>
      </c>
      <c r="E72" s="9">
        <v>8.57</v>
      </c>
      <c r="F72" s="12">
        <v>2477</v>
      </c>
      <c r="G72" s="12">
        <v>4744</v>
      </c>
      <c r="H72" s="4">
        <v>24</v>
      </c>
      <c r="I72" s="4">
        <v>1801</v>
      </c>
      <c r="J72" s="4" t="s">
        <v>198</v>
      </c>
    </row>
    <row r="73" spans="1:10" x14ac:dyDescent="0.25">
      <c r="A73" s="5" t="s">
        <v>199</v>
      </c>
      <c r="B73" s="4" t="s">
        <v>200</v>
      </c>
      <c r="C73" s="4">
        <v>7</v>
      </c>
      <c r="D73" s="14">
        <v>14.007</v>
      </c>
      <c r="E73" s="9">
        <v>1.2505999999999999E-3</v>
      </c>
      <c r="F73" s="12">
        <v>-209.85</v>
      </c>
      <c r="G73" s="12">
        <v>-195.64</v>
      </c>
      <c r="H73" s="4">
        <v>8</v>
      </c>
      <c r="I73" s="4">
        <v>1772</v>
      </c>
      <c r="J73" s="4" t="s">
        <v>201</v>
      </c>
    </row>
    <row r="74" spans="1:10" x14ac:dyDescent="0.25">
      <c r="A74" s="5" t="s">
        <v>202</v>
      </c>
      <c r="B74" s="4" t="s">
        <v>203</v>
      </c>
      <c r="C74" s="4">
        <v>102</v>
      </c>
      <c r="D74" s="14">
        <v>259</v>
      </c>
      <c r="E74" s="9">
        <v>-9.9</v>
      </c>
      <c r="F74" s="12">
        <v>-1373</v>
      </c>
      <c r="G74" s="12" t="s">
        <v>22</v>
      </c>
      <c r="H74" s="4">
        <v>73</v>
      </c>
      <c r="I74" s="4">
        <v>1957</v>
      </c>
      <c r="J74" s="4" t="s">
        <v>73</v>
      </c>
    </row>
    <row r="75" spans="1:10" x14ac:dyDescent="0.25">
      <c r="A75" s="5" t="s">
        <v>204</v>
      </c>
      <c r="B75" s="4" t="s">
        <v>205</v>
      </c>
      <c r="C75" s="4">
        <v>82</v>
      </c>
      <c r="D75" s="14">
        <v>207.2</v>
      </c>
      <c r="E75" s="9">
        <v>11.34</v>
      </c>
      <c r="F75" s="12">
        <v>327.61</v>
      </c>
      <c r="G75" s="12">
        <v>1749</v>
      </c>
      <c r="H75" s="4">
        <v>29</v>
      </c>
      <c r="I75" s="4" t="s">
        <v>22</v>
      </c>
      <c r="J75" s="4" t="s">
        <v>22</v>
      </c>
    </row>
    <row r="76" spans="1:10" x14ac:dyDescent="0.25">
      <c r="A76" s="5" t="s">
        <v>206</v>
      </c>
      <c r="B76" s="4" t="s">
        <v>207</v>
      </c>
      <c r="C76" s="4">
        <v>50</v>
      </c>
      <c r="D76" s="14">
        <v>118.71</v>
      </c>
      <c r="E76" s="9">
        <v>7.2649999999999997</v>
      </c>
      <c r="F76" s="12">
        <v>232.08</v>
      </c>
      <c r="G76" s="12">
        <v>2602</v>
      </c>
      <c r="H76" s="4">
        <v>28</v>
      </c>
      <c r="I76" s="4" t="s">
        <v>22</v>
      </c>
      <c r="J76" s="4" t="s">
        <v>22</v>
      </c>
    </row>
    <row r="77" spans="1:10" x14ac:dyDescent="0.25">
      <c r="A77" s="5" t="s">
        <v>208</v>
      </c>
      <c r="B77" s="4" t="s">
        <v>209</v>
      </c>
      <c r="C77" s="4">
        <v>8</v>
      </c>
      <c r="D77" s="14">
        <v>15.999000000000001</v>
      </c>
      <c r="E77" s="9">
        <v>1.4289999999999999E-3</v>
      </c>
      <c r="F77" s="12">
        <v>-218.64</v>
      </c>
      <c r="G77" s="12">
        <v>-182.8</v>
      </c>
      <c r="H77" s="4">
        <v>8</v>
      </c>
      <c r="I77" s="4">
        <v>1774</v>
      </c>
      <c r="J77" s="4" t="s">
        <v>210</v>
      </c>
    </row>
    <row r="78" spans="1:10" x14ac:dyDescent="0.25">
      <c r="A78" s="5" t="s">
        <v>211</v>
      </c>
      <c r="B78" s="4" t="s">
        <v>212</v>
      </c>
      <c r="C78" s="4">
        <v>76</v>
      </c>
      <c r="D78" s="14">
        <v>190.23</v>
      </c>
      <c r="E78" s="9">
        <v>22.59</v>
      </c>
      <c r="F78" s="12">
        <v>3033</v>
      </c>
      <c r="G78" s="12">
        <v>5012</v>
      </c>
      <c r="H78" s="4">
        <v>19</v>
      </c>
      <c r="I78" s="4">
        <v>1803</v>
      </c>
      <c r="J78" s="4" t="s">
        <v>124</v>
      </c>
    </row>
    <row r="79" spans="1:10" x14ac:dyDescent="0.25">
      <c r="A79" s="5" t="s">
        <v>213</v>
      </c>
      <c r="B79" s="4" t="s">
        <v>214</v>
      </c>
      <c r="C79" s="4">
        <v>46</v>
      </c>
      <c r="D79" s="14">
        <v>106.42</v>
      </c>
      <c r="E79" s="9">
        <v>12.023</v>
      </c>
      <c r="F79" s="12">
        <v>1555.05</v>
      </c>
      <c r="G79" s="12">
        <v>2963</v>
      </c>
      <c r="H79" s="4">
        <v>21</v>
      </c>
      <c r="I79" s="4">
        <v>1803</v>
      </c>
      <c r="J79" s="4" t="s">
        <v>215</v>
      </c>
    </row>
    <row r="80" spans="1:10" x14ac:dyDescent="0.25">
      <c r="A80" s="5" t="s">
        <v>216</v>
      </c>
      <c r="B80" s="4" t="s">
        <v>217</v>
      </c>
      <c r="C80" s="4">
        <v>78</v>
      </c>
      <c r="D80" s="14">
        <v>195.08</v>
      </c>
      <c r="E80" s="9">
        <v>21.45</v>
      </c>
      <c r="F80" s="12">
        <v>1768.4</v>
      </c>
      <c r="G80" s="12">
        <v>3825</v>
      </c>
      <c r="H80" s="4">
        <v>32</v>
      </c>
      <c r="I80" s="4">
        <v>1735</v>
      </c>
      <c r="J80" s="4" t="s">
        <v>218</v>
      </c>
    </row>
    <row r="81" spans="1:10" x14ac:dyDescent="0.25">
      <c r="A81" s="5" t="s">
        <v>219</v>
      </c>
      <c r="B81" s="4" t="s">
        <v>220</v>
      </c>
      <c r="C81" s="4">
        <v>94</v>
      </c>
      <c r="D81" s="14">
        <v>244</v>
      </c>
      <c r="E81" s="9">
        <v>19.850000000000001</v>
      </c>
      <c r="F81" s="12">
        <v>639.5</v>
      </c>
      <c r="G81" s="12">
        <v>3228</v>
      </c>
      <c r="H81" s="4">
        <v>163</v>
      </c>
      <c r="I81" s="4">
        <v>1940</v>
      </c>
      <c r="J81" s="4" t="s">
        <v>158</v>
      </c>
    </row>
    <row r="82" spans="1:10" x14ac:dyDescent="0.25">
      <c r="A82" s="5" t="s">
        <v>221</v>
      </c>
      <c r="B82" s="4" t="s">
        <v>222</v>
      </c>
      <c r="C82" s="4">
        <v>84</v>
      </c>
      <c r="D82" s="14">
        <v>209</v>
      </c>
      <c r="E82" s="9">
        <v>9.1959999999999997</v>
      </c>
      <c r="F82" s="12">
        <v>254</v>
      </c>
      <c r="G82" s="12">
        <v>962</v>
      </c>
      <c r="H82" s="4">
        <v>34</v>
      </c>
      <c r="I82" s="4">
        <v>1898</v>
      </c>
      <c r="J82" s="4" t="s">
        <v>223</v>
      </c>
    </row>
    <row r="83" spans="1:10" x14ac:dyDescent="0.25">
      <c r="A83" s="5" t="s">
        <v>224</v>
      </c>
      <c r="B83" s="4" t="s">
        <v>225</v>
      </c>
      <c r="C83" s="4">
        <v>59</v>
      </c>
      <c r="D83" s="14">
        <v>140.91</v>
      </c>
      <c r="E83" s="9">
        <v>6.77</v>
      </c>
      <c r="F83" s="12">
        <v>935</v>
      </c>
      <c r="G83" s="12">
        <v>3520</v>
      </c>
      <c r="H83" s="4">
        <v>15</v>
      </c>
      <c r="I83" s="4">
        <v>1885</v>
      </c>
      <c r="J83" s="4" t="s">
        <v>226</v>
      </c>
    </row>
    <row r="84" spans="1:10" x14ac:dyDescent="0.25">
      <c r="A84" s="5" t="s">
        <v>227</v>
      </c>
      <c r="B84" s="4" t="s">
        <v>228</v>
      </c>
      <c r="C84" s="4">
        <v>61</v>
      </c>
      <c r="D84" s="14">
        <v>145</v>
      </c>
      <c r="E84" s="9">
        <v>7.26</v>
      </c>
      <c r="F84" s="12">
        <v>1042</v>
      </c>
      <c r="G84" s="12">
        <v>3000</v>
      </c>
      <c r="H84" s="4">
        <v>14</v>
      </c>
      <c r="I84" s="4">
        <v>1945</v>
      </c>
      <c r="J84" s="4" t="s">
        <v>229</v>
      </c>
    </row>
    <row r="85" spans="1:10" x14ac:dyDescent="0.25">
      <c r="A85" s="5" t="s">
        <v>230</v>
      </c>
      <c r="B85" s="4" t="s">
        <v>231</v>
      </c>
      <c r="C85" s="4">
        <v>91</v>
      </c>
      <c r="D85" s="14">
        <v>231.04</v>
      </c>
      <c r="E85" s="9">
        <v>15.37</v>
      </c>
      <c r="F85" s="12">
        <v>1568</v>
      </c>
      <c r="G85" s="12">
        <v>4027</v>
      </c>
      <c r="H85" s="4">
        <v>14</v>
      </c>
      <c r="I85" s="4">
        <v>1917</v>
      </c>
      <c r="J85" s="4" t="s">
        <v>232</v>
      </c>
    </row>
    <row r="86" spans="1:10" x14ac:dyDescent="0.25">
      <c r="A86" s="5" t="s">
        <v>233</v>
      </c>
      <c r="B86" s="4" t="s">
        <v>234</v>
      </c>
      <c r="C86" s="4">
        <v>88</v>
      </c>
      <c r="D86" s="14">
        <v>226</v>
      </c>
      <c r="E86" s="9">
        <v>5.5</v>
      </c>
      <c r="F86" s="12">
        <v>700</v>
      </c>
      <c r="G86" s="12">
        <v>1737</v>
      </c>
      <c r="H86" s="4">
        <v>15</v>
      </c>
      <c r="I86" s="4">
        <v>1898</v>
      </c>
      <c r="J86" s="4" t="s">
        <v>235</v>
      </c>
    </row>
    <row r="87" spans="1:10" x14ac:dyDescent="0.25">
      <c r="A87" s="5" t="s">
        <v>236</v>
      </c>
      <c r="B87" s="4" t="s">
        <v>237</v>
      </c>
      <c r="C87" s="4">
        <v>86</v>
      </c>
      <c r="D87" s="14">
        <v>222</v>
      </c>
      <c r="E87" s="9">
        <v>9.7300000000000008E-3</v>
      </c>
      <c r="F87" s="12">
        <v>-71</v>
      </c>
      <c r="G87" s="12">
        <v>-61.7</v>
      </c>
      <c r="H87" s="4">
        <v>20</v>
      </c>
      <c r="I87" s="4">
        <v>1900</v>
      </c>
      <c r="J87" s="4" t="s">
        <v>238</v>
      </c>
    </row>
    <row r="88" spans="1:10" x14ac:dyDescent="0.25">
      <c r="A88" s="5" t="s">
        <v>239</v>
      </c>
      <c r="B88" s="4" t="s">
        <v>240</v>
      </c>
      <c r="C88" s="4">
        <v>75</v>
      </c>
      <c r="D88" s="14">
        <v>186.21</v>
      </c>
      <c r="E88" s="9">
        <v>21.02</v>
      </c>
      <c r="F88" s="12">
        <v>3186</v>
      </c>
      <c r="G88" s="12">
        <v>5596</v>
      </c>
      <c r="H88" s="4">
        <v>21</v>
      </c>
      <c r="I88" s="4">
        <v>1925</v>
      </c>
      <c r="J88" s="4" t="s">
        <v>241</v>
      </c>
    </row>
    <row r="89" spans="1:10" x14ac:dyDescent="0.25">
      <c r="A89" s="5" t="s">
        <v>242</v>
      </c>
      <c r="B89" s="4" t="s">
        <v>243</v>
      </c>
      <c r="C89" s="4">
        <v>29</v>
      </c>
      <c r="D89" s="14">
        <v>63.545999999999999</v>
      </c>
      <c r="E89" s="9">
        <v>8.9600000000000009</v>
      </c>
      <c r="F89" s="12">
        <v>1084.77</v>
      </c>
      <c r="G89" s="12">
        <v>2562</v>
      </c>
      <c r="H89" s="4">
        <v>11</v>
      </c>
      <c r="I89" s="4" t="s">
        <v>22</v>
      </c>
      <c r="J89" s="4" t="s">
        <v>22</v>
      </c>
    </row>
    <row r="90" spans="1:10" x14ac:dyDescent="0.25">
      <c r="A90" s="5" t="s">
        <v>244</v>
      </c>
      <c r="B90" s="4" t="s">
        <v>245</v>
      </c>
      <c r="C90" s="4">
        <v>45</v>
      </c>
      <c r="D90" s="14">
        <v>102.91</v>
      </c>
      <c r="E90" s="9">
        <v>12.41</v>
      </c>
      <c r="F90" s="12">
        <v>1964</v>
      </c>
      <c r="G90" s="12">
        <v>3695</v>
      </c>
      <c r="H90" s="4">
        <v>20</v>
      </c>
      <c r="I90" s="4">
        <v>1803</v>
      </c>
      <c r="J90" s="4" t="s">
        <v>215</v>
      </c>
    </row>
    <row r="91" spans="1:10" x14ac:dyDescent="0.25">
      <c r="A91" s="5" t="s">
        <v>246</v>
      </c>
      <c r="B91" s="4" t="s">
        <v>247</v>
      </c>
      <c r="C91" s="4">
        <v>37</v>
      </c>
      <c r="D91" s="14">
        <v>85.468000000000004</v>
      </c>
      <c r="E91" s="9">
        <v>1.532</v>
      </c>
      <c r="F91" s="12">
        <v>39.46</v>
      </c>
      <c r="G91" s="12">
        <v>688</v>
      </c>
      <c r="H91" s="4">
        <v>20</v>
      </c>
      <c r="I91" s="4">
        <v>1861</v>
      </c>
      <c r="J91" s="4" t="s">
        <v>62</v>
      </c>
    </row>
    <row r="92" spans="1:10" x14ac:dyDescent="0.25">
      <c r="A92" s="5" t="s">
        <v>248</v>
      </c>
      <c r="B92" s="4" t="s">
        <v>249</v>
      </c>
      <c r="C92" s="4">
        <v>44</v>
      </c>
      <c r="D92" s="14">
        <v>101.07</v>
      </c>
      <c r="E92" s="9">
        <v>12.45</v>
      </c>
      <c r="F92" s="12">
        <v>2334</v>
      </c>
      <c r="G92" s="12">
        <v>4150</v>
      </c>
      <c r="H92" s="4">
        <v>16</v>
      </c>
      <c r="I92" s="4">
        <v>1844</v>
      </c>
      <c r="J92" s="4" t="s">
        <v>250</v>
      </c>
    </row>
    <row r="93" spans="1:10" x14ac:dyDescent="0.25">
      <c r="A93" s="5" t="s">
        <v>251</v>
      </c>
      <c r="B93" s="4" t="s">
        <v>252</v>
      </c>
      <c r="C93" s="4">
        <v>104</v>
      </c>
      <c r="D93" s="14">
        <v>267</v>
      </c>
      <c r="E93" s="9">
        <v>-17</v>
      </c>
      <c r="F93" s="12">
        <v>-2673</v>
      </c>
      <c r="G93" s="12">
        <v>-6073</v>
      </c>
      <c r="H93" s="4" t="s">
        <v>22</v>
      </c>
      <c r="I93" s="4">
        <v>1969</v>
      </c>
      <c r="J93" s="4" t="s">
        <v>73</v>
      </c>
    </row>
    <row r="94" spans="1:10" x14ac:dyDescent="0.25">
      <c r="A94" s="5" t="s">
        <v>253</v>
      </c>
      <c r="B94" s="4" t="s">
        <v>254</v>
      </c>
      <c r="C94" s="4">
        <v>106</v>
      </c>
      <c r="D94" s="14">
        <v>269</v>
      </c>
      <c r="E94" s="9">
        <v>23.5</v>
      </c>
      <c r="F94" s="12" t="s">
        <v>22</v>
      </c>
      <c r="G94" s="12" t="s">
        <v>22</v>
      </c>
      <c r="H94" s="4" t="s">
        <v>22</v>
      </c>
      <c r="I94" s="4">
        <v>1974</v>
      </c>
      <c r="J94" s="4" t="s">
        <v>73</v>
      </c>
    </row>
    <row r="95" spans="1:10" x14ac:dyDescent="0.25">
      <c r="A95" s="5" t="s">
        <v>255</v>
      </c>
      <c r="B95" s="4" t="s">
        <v>256</v>
      </c>
      <c r="C95" s="4">
        <v>38</v>
      </c>
      <c r="D95" s="14">
        <v>87.62</v>
      </c>
      <c r="E95" s="9">
        <v>2.64</v>
      </c>
      <c r="F95" s="12">
        <v>777</v>
      </c>
      <c r="G95" s="12">
        <v>1382</v>
      </c>
      <c r="H95" s="4">
        <v>18</v>
      </c>
      <c r="I95" s="4">
        <v>1808</v>
      </c>
      <c r="J95" s="4" t="s">
        <v>37</v>
      </c>
    </row>
    <row r="96" spans="1:10" x14ac:dyDescent="0.25">
      <c r="A96" s="5" t="s">
        <v>257</v>
      </c>
      <c r="B96" s="4" t="s">
        <v>258</v>
      </c>
      <c r="C96" s="4">
        <v>62</v>
      </c>
      <c r="D96" s="14">
        <v>150.36000000000001</v>
      </c>
      <c r="E96" s="9">
        <v>7.52</v>
      </c>
      <c r="F96" s="12">
        <v>1072</v>
      </c>
      <c r="G96" s="12">
        <v>1794</v>
      </c>
      <c r="H96" s="4">
        <v>17</v>
      </c>
      <c r="I96" s="4">
        <v>1879</v>
      </c>
      <c r="J96" s="4" t="s">
        <v>70</v>
      </c>
    </row>
    <row r="97" spans="1:10" x14ac:dyDescent="0.25">
      <c r="A97" s="5" t="s">
        <v>259</v>
      </c>
      <c r="B97" s="4" t="s">
        <v>260</v>
      </c>
      <c r="C97" s="4">
        <v>34</v>
      </c>
      <c r="D97" s="14">
        <v>78.971000000000004</v>
      </c>
      <c r="E97" s="9">
        <v>4.8099999999999996</v>
      </c>
      <c r="F97" s="12">
        <v>180</v>
      </c>
      <c r="G97" s="12">
        <v>685</v>
      </c>
      <c r="H97" s="4">
        <v>20</v>
      </c>
      <c r="I97" s="4">
        <v>1817</v>
      </c>
      <c r="J97" s="4" t="s">
        <v>261</v>
      </c>
    </row>
    <row r="98" spans="1:10" x14ac:dyDescent="0.25">
      <c r="A98" s="5" t="s">
        <v>262</v>
      </c>
      <c r="B98" s="4" t="s">
        <v>263</v>
      </c>
      <c r="C98" s="4">
        <v>6</v>
      </c>
      <c r="D98" s="14">
        <v>12.010999999999999</v>
      </c>
      <c r="E98" s="9">
        <v>2.2669999999999999</v>
      </c>
      <c r="F98" s="12">
        <v>3550</v>
      </c>
      <c r="G98" s="12">
        <v>4827</v>
      </c>
      <c r="H98" s="4">
        <v>7</v>
      </c>
      <c r="I98" s="4" t="s">
        <v>22</v>
      </c>
      <c r="J98" s="4" t="s">
        <v>22</v>
      </c>
    </row>
    <row r="99" spans="1:10" x14ac:dyDescent="0.25">
      <c r="A99" s="5" t="s">
        <v>264</v>
      </c>
      <c r="B99" s="4" t="s">
        <v>265</v>
      </c>
      <c r="C99" s="4">
        <v>14</v>
      </c>
      <c r="D99" s="14">
        <v>28.085000000000001</v>
      </c>
      <c r="E99" s="9">
        <v>2.3290000000000002</v>
      </c>
      <c r="F99" s="12">
        <v>1414</v>
      </c>
      <c r="G99" s="12">
        <v>3265</v>
      </c>
      <c r="H99" s="4">
        <v>8</v>
      </c>
      <c r="I99" s="4">
        <v>1824</v>
      </c>
      <c r="J99" s="4" t="s">
        <v>261</v>
      </c>
    </row>
    <row r="100" spans="1:10" x14ac:dyDescent="0.25">
      <c r="A100" s="5" t="s">
        <v>266</v>
      </c>
      <c r="B100" s="4" t="s">
        <v>267</v>
      </c>
      <c r="C100" s="4">
        <v>21</v>
      </c>
      <c r="D100" s="14">
        <v>44.956000000000003</v>
      </c>
      <c r="E100" s="9">
        <v>2.9849999999999999</v>
      </c>
      <c r="F100" s="12">
        <v>1541</v>
      </c>
      <c r="G100" s="12">
        <v>2836</v>
      </c>
      <c r="H100" s="4">
        <v>15</v>
      </c>
      <c r="I100" s="4">
        <v>1879</v>
      </c>
      <c r="J100" s="4" t="s">
        <v>268</v>
      </c>
    </row>
    <row r="101" spans="1:10" x14ac:dyDescent="0.25">
      <c r="A101" s="5" t="s">
        <v>269</v>
      </c>
      <c r="B101" s="4" t="s">
        <v>270</v>
      </c>
      <c r="C101" s="4">
        <v>81</v>
      </c>
      <c r="D101" s="14">
        <v>204.38</v>
      </c>
      <c r="E101" s="9">
        <v>11.85</v>
      </c>
      <c r="F101" s="12">
        <v>304</v>
      </c>
      <c r="G101" s="12">
        <v>1473</v>
      </c>
      <c r="H101" s="4">
        <v>28</v>
      </c>
      <c r="I101" s="4">
        <v>1861</v>
      </c>
      <c r="J101" s="4" t="s">
        <v>271</v>
      </c>
    </row>
    <row r="102" spans="1:10" x14ac:dyDescent="0.25">
      <c r="A102" s="5" t="s">
        <v>272</v>
      </c>
      <c r="B102" s="4" t="s">
        <v>273</v>
      </c>
      <c r="C102" s="4">
        <v>73</v>
      </c>
      <c r="D102" s="14">
        <v>180.95</v>
      </c>
      <c r="E102" s="9">
        <v>16.690000000000001</v>
      </c>
      <c r="F102" s="12">
        <v>3017</v>
      </c>
      <c r="G102" s="12">
        <v>5458</v>
      </c>
      <c r="H102" s="4">
        <v>19</v>
      </c>
      <c r="I102" s="4">
        <v>1801</v>
      </c>
      <c r="J102" s="4" t="s">
        <v>274</v>
      </c>
    </row>
    <row r="103" spans="1:10" x14ac:dyDescent="0.25">
      <c r="A103" s="5" t="s">
        <v>275</v>
      </c>
      <c r="B103" s="4" t="s">
        <v>276</v>
      </c>
      <c r="C103" s="4">
        <v>43</v>
      </c>
      <c r="D103" s="14">
        <v>97</v>
      </c>
      <c r="E103" s="9">
        <v>11</v>
      </c>
      <c r="F103" s="12">
        <v>2157</v>
      </c>
      <c r="G103" s="12">
        <v>4265</v>
      </c>
      <c r="H103" s="4">
        <v>23</v>
      </c>
      <c r="I103" s="4">
        <v>1937</v>
      </c>
      <c r="J103" s="4" t="s">
        <v>277</v>
      </c>
    </row>
    <row r="104" spans="1:10" x14ac:dyDescent="0.25">
      <c r="A104" s="5" t="s">
        <v>278</v>
      </c>
      <c r="B104" s="4" t="s">
        <v>279</v>
      </c>
      <c r="C104" s="4">
        <v>52</v>
      </c>
      <c r="D104" s="14">
        <v>127.6</v>
      </c>
      <c r="E104" s="9">
        <v>6.24</v>
      </c>
      <c r="F104" s="12">
        <v>449.66</v>
      </c>
      <c r="G104" s="12">
        <v>988</v>
      </c>
      <c r="H104" s="4">
        <v>29</v>
      </c>
      <c r="I104" s="4">
        <v>1782</v>
      </c>
      <c r="J104" s="4" t="s">
        <v>280</v>
      </c>
    </row>
    <row r="105" spans="1:10" x14ac:dyDescent="0.25">
      <c r="A105" s="5" t="s">
        <v>281</v>
      </c>
      <c r="B105" s="4" t="s">
        <v>282</v>
      </c>
      <c r="C105" s="4">
        <v>65</v>
      </c>
      <c r="D105" s="14">
        <v>158.93</v>
      </c>
      <c r="E105" s="9">
        <v>8.23</v>
      </c>
      <c r="F105" s="12">
        <v>1356</v>
      </c>
      <c r="G105" s="12">
        <v>3230</v>
      </c>
      <c r="H105" s="4">
        <v>24</v>
      </c>
      <c r="I105" s="4">
        <v>1843</v>
      </c>
      <c r="J105" s="4" t="s">
        <v>78</v>
      </c>
    </row>
    <row r="106" spans="1:10" x14ac:dyDescent="0.25">
      <c r="A106" s="5" t="s">
        <v>283</v>
      </c>
      <c r="B106" s="4" t="s">
        <v>284</v>
      </c>
      <c r="C106" s="4">
        <v>22</v>
      </c>
      <c r="D106" s="14">
        <v>47.866999999999997</v>
      </c>
      <c r="E106" s="9">
        <v>4.5060000000000002</v>
      </c>
      <c r="F106" s="12">
        <v>1668</v>
      </c>
      <c r="G106" s="12">
        <v>3287</v>
      </c>
      <c r="H106" s="4">
        <v>9</v>
      </c>
      <c r="I106" s="4">
        <v>1791</v>
      </c>
      <c r="J106" s="4" t="s">
        <v>285</v>
      </c>
    </row>
    <row r="107" spans="1:10" x14ac:dyDescent="0.25">
      <c r="A107" s="5" t="s">
        <v>286</v>
      </c>
      <c r="B107" s="4" t="s">
        <v>287</v>
      </c>
      <c r="C107" s="4">
        <v>90</v>
      </c>
      <c r="D107" s="14">
        <v>232.04</v>
      </c>
      <c r="E107" s="9">
        <v>11.7</v>
      </c>
      <c r="F107" s="12">
        <v>1842</v>
      </c>
      <c r="G107" s="12">
        <v>4788</v>
      </c>
      <c r="H107" s="4">
        <v>12</v>
      </c>
      <c r="I107" s="4">
        <v>1828</v>
      </c>
      <c r="J107" s="4" t="s">
        <v>261</v>
      </c>
    </row>
    <row r="108" spans="1:10" x14ac:dyDescent="0.25">
      <c r="A108" s="5" t="s">
        <v>288</v>
      </c>
      <c r="B108" s="4" t="s">
        <v>289</v>
      </c>
      <c r="C108" s="4">
        <v>69</v>
      </c>
      <c r="D108" s="14">
        <v>168.93</v>
      </c>
      <c r="E108" s="9">
        <v>9.32</v>
      </c>
      <c r="F108" s="12">
        <v>1545</v>
      </c>
      <c r="G108" s="12">
        <v>1950</v>
      </c>
      <c r="H108" s="4">
        <v>18</v>
      </c>
      <c r="I108" s="4">
        <v>1879</v>
      </c>
      <c r="J108" s="4" t="s">
        <v>290</v>
      </c>
    </row>
    <row r="109" spans="1:10" x14ac:dyDescent="0.25">
      <c r="A109" s="5" t="s">
        <v>291</v>
      </c>
      <c r="B109" s="4" t="s">
        <v>292</v>
      </c>
      <c r="C109" s="4">
        <v>92</v>
      </c>
      <c r="D109" s="14">
        <v>238.03</v>
      </c>
      <c r="E109" s="9">
        <v>19.100000000000001</v>
      </c>
      <c r="F109" s="12">
        <v>1132.3</v>
      </c>
      <c r="G109" s="12">
        <v>4131</v>
      </c>
      <c r="H109" s="4">
        <v>15</v>
      </c>
      <c r="I109" s="4">
        <v>1841</v>
      </c>
      <c r="J109" s="4" t="s">
        <v>293</v>
      </c>
    </row>
    <row r="110" spans="1:10" x14ac:dyDescent="0.25">
      <c r="A110" s="5" t="s">
        <v>294</v>
      </c>
      <c r="B110" s="4" t="s">
        <v>295</v>
      </c>
      <c r="C110" s="4">
        <v>23</v>
      </c>
      <c r="D110" s="14">
        <v>50.942</v>
      </c>
      <c r="E110" s="9">
        <v>6.11</v>
      </c>
      <c r="F110" s="12">
        <v>1910</v>
      </c>
      <c r="G110" s="12">
        <v>3407</v>
      </c>
      <c r="H110" s="4">
        <v>9</v>
      </c>
      <c r="I110" s="4">
        <v>1801</v>
      </c>
      <c r="J110" s="4" t="s">
        <v>296</v>
      </c>
    </row>
    <row r="111" spans="1:10" x14ac:dyDescent="0.25">
      <c r="A111" s="5" t="s">
        <v>303</v>
      </c>
      <c r="B111" s="4" t="s">
        <v>297</v>
      </c>
      <c r="C111" s="4">
        <v>26</v>
      </c>
      <c r="D111" s="14">
        <v>55.844999999999999</v>
      </c>
      <c r="E111" s="9">
        <v>7.8739999999999997</v>
      </c>
      <c r="F111" s="12">
        <v>1538</v>
      </c>
      <c r="G111" s="12">
        <v>2861</v>
      </c>
      <c r="H111" s="4">
        <v>10</v>
      </c>
      <c r="I111" s="4" t="s">
        <v>22</v>
      </c>
      <c r="J111" s="4" t="s">
        <v>22</v>
      </c>
    </row>
    <row r="112" spans="1:10" x14ac:dyDescent="0.25">
      <c r="A112" s="5" t="s">
        <v>298</v>
      </c>
      <c r="B112" s="4" t="s">
        <v>299</v>
      </c>
      <c r="C112" s="4">
        <v>74</v>
      </c>
      <c r="D112" s="14">
        <v>183.84</v>
      </c>
      <c r="E112" s="9">
        <v>19.25</v>
      </c>
      <c r="F112" s="12">
        <v>3422</v>
      </c>
      <c r="G112" s="12">
        <v>5555</v>
      </c>
      <c r="H112" s="4">
        <v>22</v>
      </c>
      <c r="I112" s="4">
        <v>1783</v>
      </c>
      <c r="J112" s="4" t="s">
        <v>300</v>
      </c>
    </row>
    <row r="113" spans="1:10" x14ac:dyDescent="0.25">
      <c r="A113" s="5" t="s">
        <v>301</v>
      </c>
      <c r="B113" s="4" t="s">
        <v>302</v>
      </c>
      <c r="C113" s="4">
        <v>54</v>
      </c>
      <c r="D113" s="14">
        <v>131.29</v>
      </c>
      <c r="E113" s="9">
        <v>5.8939999999999999E-3</v>
      </c>
      <c r="F113" s="12">
        <v>-111.6</v>
      </c>
      <c r="G113" s="12">
        <v>-107.97</v>
      </c>
      <c r="H113" s="4">
        <v>31</v>
      </c>
      <c r="I113" s="4">
        <v>1898</v>
      </c>
      <c r="J113" s="4" t="s">
        <v>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31F66-DCAD-40FC-BC32-8DBE80099FA4}">
  <dimension ref="A1:B10"/>
  <sheetViews>
    <sheetView workbookViewId="0">
      <selection activeCell="B4" sqref="B4"/>
    </sheetView>
  </sheetViews>
  <sheetFormatPr defaultRowHeight="15" x14ac:dyDescent="0.25"/>
  <cols>
    <col min="1" max="1" width="19.5703125" customWidth="1"/>
    <col min="2" max="2" width="12.7109375" style="2" bestFit="1" customWidth="1"/>
  </cols>
  <sheetData>
    <row r="1" spans="1:2" x14ac:dyDescent="0.25">
      <c r="A1" t="s">
        <v>0</v>
      </c>
    </row>
    <row r="2" spans="1:2" x14ac:dyDescent="0.25">
      <c r="A2" t="s">
        <v>303</v>
      </c>
    </row>
    <row r="4" spans="1:2" x14ac:dyDescent="0.25">
      <c r="A4" t="str">
        <f>Elemek!B$1</f>
        <v>Vegyjel</v>
      </c>
      <c r="B4" s="2" t="str">
        <f>DGET(Elemek!$A$1:$K$113,Vas!A4,Vas!$A$1:$A$2)</f>
        <v>Fe</v>
      </c>
    </row>
    <row r="5" spans="1:2" x14ac:dyDescent="0.25">
      <c r="A5" t="str">
        <f>Elemek!C$1</f>
        <v>Rendszám</v>
      </c>
      <c r="B5" s="2">
        <f>DGET(Elemek!$A$1:$K$113,Vas!A5,Vas!$A$1:$A$2)</f>
        <v>26</v>
      </c>
    </row>
    <row r="6" spans="1:2" x14ac:dyDescent="0.25">
      <c r="A6" t="str">
        <f>Elemek!D$1</f>
        <v>Atomtömeg</v>
      </c>
      <c r="B6" s="2">
        <f>DGET(Elemek!$A$1:$K$113,Vas!A6,Vas!$A$1:$A$2)</f>
        <v>55.844999999999999</v>
      </c>
    </row>
    <row r="7" spans="1:2" x14ac:dyDescent="0.25">
      <c r="A7" t="str">
        <f>Elemek!E$1</f>
        <v>Sűrűség</v>
      </c>
      <c r="B7" s="16">
        <f>DGET(Elemek!$A$1:$K$113,Vas!A7,Vas!$A$1:$A$2)</f>
        <v>7.8739999999999997</v>
      </c>
    </row>
    <row r="8" spans="1:2" x14ac:dyDescent="0.25">
      <c r="A8" t="str">
        <f>Elemek!F$1</f>
        <v>Olvadáspont</v>
      </c>
      <c r="B8" s="17">
        <f>DGET(Elemek!$A$1:$K$113,Vas!A8,Vas!$A$1:$A$2)</f>
        <v>1538</v>
      </c>
    </row>
    <row r="9" spans="1:2" x14ac:dyDescent="0.25">
      <c r="A9" t="str">
        <f>Elemek!G$1</f>
        <v>Forráspont</v>
      </c>
      <c r="B9" s="17">
        <f>DGET(Elemek!$A$1:$K$113,Vas!A9,Vas!$A$1:$A$2)</f>
        <v>2861</v>
      </c>
    </row>
    <row r="10" spans="1:2" x14ac:dyDescent="0.25">
      <c r="A10" t="s">
        <v>304</v>
      </c>
      <c r="B10" s="2" t="str">
        <f>IF(B8&gt;35,"szilárd",IF(B9&lt;15,"légnemű",IF(AND(B8&lt;15,B9&gt;35),"folyékon","hőmérsékletfüggő")))</f>
        <v>szilárd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F8192-DFAA-4A9F-B666-72AC994EB514}">
  <dimension ref="A1:T990"/>
  <sheetViews>
    <sheetView tabSelected="1" workbookViewId="0">
      <selection activeCell="J9" sqref="J9"/>
    </sheetView>
  </sheetViews>
  <sheetFormatPr defaultRowHeight="15" x14ac:dyDescent="0.25"/>
  <cols>
    <col min="2" max="2" width="14.85546875" bestFit="1" customWidth="1"/>
    <col min="9" max="9" width="13.28515625" bestFit="1" customWidth="1"/>
    <col min="11" max="11" width="13.28515625" bestFit="1" customWidth="1"/>
    <col min="17" max="17" width="14.85546875" bestFit="1" customWidth="1"/>
    <col min="18" max="19" width="13.28515625" bestFit="1" customWidth="1"/>
  </cols>
  <sheetData>
    <row r="1" spans="1:20" x14ac:dyDescent="0.25">
      <c r="A1" t="s">
        <v>305</v>
      </c>
      <c r="B1" t="s">
        <v>0</v>
      </c>
      <c r="C1" t="s">
        <v>1198</v>
      </c>
      <c r="D1" t="s">
        <v>306</v>
      </c>
      <c r="E1" t="s">
        <v>200</v>
      </c>
      <c r="F1" t="s">
        <v>307</v>
      </c>
      <c r="H1" t="s">
        <v>297</v>
      </c>
      <c r="L1" t="s">
        <v>305</v>
      </c>
      <c r="M1" t="s">
        <v>306</v>
      </c>
      <c r="N1" t="s">
        <v>200</v>
      </c>
      <c r="O1" t="s">
        <v>307</v>
      </c>
      <c r="P1" t="s">
        <v>1198</v>
      </c>
      <c r="Q1" t="s">
        <v>0</v>
      </c>
      <c r="R1" t="s">
        <v>1199</v>
      </c>
      <c r="S1" t="s">
        <v>1200</v>
      </c>
      <c r="T1" t="s">
        <v>1201</v>
      </c>
    </row>
    <row r="2" spans="1:20" x14ac:dyDescent="0.25">
      <c r="A2">
        <v>1</v>
      </c>
      <c r="B2" t="s">
        <v>297</v>
      </c>
      <c r="C2">
        <v>56</v>
      </c>
      <c r="D2">
        <v>26</v>
      </c>
      <c r="E2">
        <v>30</v>
      </c>
      <c r="F2" s="18" t="s">
        <v>308</v>
      </c>
      <c r="H2">
        <f ca="1">IF(B2=$H$1,COUNT($H$2:H3)+1," ")</f>
        <v>0</v>
      </c>
      <c r="L2">
        <v>1</v>
      </c>
      <c r="M2">
        <v>26</v>
      </c>
      <c r="N2">
        <v>30</v>
      </c>
      <c r="O2" s="18" t="s">
        <v>308</v>
      </c>
      <c r="P2">
        <f>N2+M2</f>
        <v>56</v>
      </c>
      <c r="Q2" t="str">
        <f>INDEX(Elemek!$B$2:$B$113,MATCH(M2,Elemek!$C$2:$C$113,0))</f>
        <v>Fe</v>
      </c>
      <c r="R2" t="str">
        <f>IF(NOT(ISBLANK(O2)),O2,ROUNDDOWN(AVERAGE($O$2:$O$990),2))</f>
        <v>9.153567</v>
      </c>
      <c r="S2" t="str">
        <f>IF(ISBLANK(O2),ROUNDDOWN(AVERAGEIF($M$2:$M$990,M2,$O$2:$O$990),2),O2)</f>
        <v>9.153567</v>
      </c>
    </row>
    <row r="3" spans="1:20" x14ac:dyDescent="0.25">
      <c r="A3">
        <v>2</v>
      </c>
      <c r="B3" t="s">
        <v>194</v>
      </c>
      <c r="C3">
        <v>62</v>
      </c>
      <c r="D3">
        <v>28</v>
      </c>
      <c r="E3">
        <v>34</v>
      </c>
      <c r="F3" s="18" t="s">
        <v>309</v>
      </c>
      <c r="H3" t="str">
        <f>IF(B3=$H$1,COUNT($H$2:H4)+1," ")</f>
        <v xml:space="preserve"> </v>
      </c>
      <c r="L3">
        <v>2</v>
      </c>
      <c r="M3">
        <v>28</v>
      </c>
      <c r="N3">
        <v>34</v>
      </c>
      <c r="O3" s="18" t="s">
        <v>309</v>
      </c>
      <c r="P3">
        <f t="shared" ref="P3:P66" si="0">N3+M3</f>
        <v>62</v>
      </c>
      <c r="Q3" t="str">
        <f>INDEX(Elemek!$B$2:$B$113,MATCH(M3,Elemek!$C$2:$C$113,0))</f>
        <v>Ni</v>
      </c>
      <c r="R3" t="str">
        <f t="shared" ref="R3:R66" si="1">IF(NOT(ISBLANK(O3)),O3,ROUNDDOWN(AVERAGE($O$2:$O$990),2))</f>
        <v>9.147877</v>
      </c>
      <c r="S3" t="str">
        <f t="shared" ref="S3:S66" si="2">IF(ISBLANK(O3),ROUNDDOWN(AVERAGEIF($M$2:$M$990,M3,$O$2:$O$990),2),O3)</f>
        <v>9.147877</v>
      </c>
    </row>
    <row r="4" spans="1:20" x14ac:dyDescent="0.25">
      <c r="A4">
        <v>3</v>
      </c>
      <c r="B4" t="s">
        <v>194</v>
      </c>
      <c r="C4">
        <v>60</v>
      </c>
      <c r="D4">
        <v>28</v>
      </c>
      <c r="E4">
        <v>32</v>
      </c>
      <c r="F4" s="18" t="s">
        <v>310</v>
      </c>
      <c r="H4" t="str">
        <f>IF(B4=$H$1,COUNT($H$2:H5)+1," ")</f>
        <v xml:space="preserve"> </v>
      </c>
      <c r="L4">
        <v>3</v>
      </c>
      <c r="M4">
        <v>28</v>
      </c>
      <c r="N4">
        <v>32</v>
      </c>
      <c r="O4" s="18" t="s">
        <v>310</v>
      </c>
      <c r="P4">
        <f t="shared" si="0"/>
        <v>60</v>
      </c>
      <c r="Q4" t="str">
        <f>INDEX(Elemek!$B$2:$B$113,MATCH(M4,Elemek!$C$2:$C$113,0))</f>
        <v>Ni</v>
      </c>
      <c r="R4" t="str">
        <f t="shared" si="1"/>
        <v>9.145862</v>
      </c>
      <c r="S4" t="str">
        <f t="shared" si="2"/>
        <v>9.145862</v>
      </c>
    </row>
    <row r="5" spans="1:20" x14ac:dyDescent="0.25">
      <c r="A5">
        <v>4</v>
      </c>
      <c r="B5" t="s">
        <v>297</v>
      </c>
      <c r="C5">
        <v>58</v>
      </c>
      <c r="D5">
        <v>26</v>
      </c>
      <c r="E5">
        <v>32</v>
      </c>
      <c r="F5" s="18" t="s">
        <v>311</v>
      </c>
      <c r="H5">
        <f ca="1">IF(B5=$H$1,COUNT($H$2:H6)+1," ")</f>
        <v>0</v>
      </c>
      <c r="L5">
        <v>4</v>
      </c>
      <c r="M5">
        <v>26</v>
      </c>
      <c r="N5">
        <v>32</v>
      </c>
      <c r="O5" s="18" t="s">
        <v>311</v>
      </c>
      <c r="P5">
        <f t="shared" si="0"/>
        <v>58</v>
      </c>
      <c r="Q5" t="str">
        <f>INDEX(Elemek!$B$2:$B$113,MATCH(M5,Elemek!$C$2:$C$113,0))</f>
        <v>Fe</v>
      </c>
      <c r="R5" t="str">
        <f t="shared" si="1"/>
        <v>9.142938</v>
      </c>
      <c r="S5" t="str">
        <f t="shared" si="2"/>
        <v>9.142938</v>
      </c>
    </row>
    <row r="6" spans="1:20" x14ac:dyDescent="0.25">
      <c r="A6">
        <v>5</v>
      </c>
      <c r="B6" t="s">
        <v>155</v>
      </c>
      <c r="C6">
        <v>52</v>
      </c>
      <c r="D6">
        <v>24</v>
      </c>
      <c r="E6">
        <v>28</v>
      </c>
      <c r="F6" s="18" t="s">
        <v>312</v>
      </c>
      <c r="H6" t="str">
        <f>IF(B6=$H$1,COUNT($H$2:H7)+1," ")</f>
        <v xml:space="preserve"> </v>
      </c>
      <c r="L6">
        <v>5</v>
      </c>
      <c r="M6">
        <v>24</v>
      </c>
      <c r="N6">
        <v>28</v>
      </c>
      <c r="O6" s="18" t="s">
        <v>312</v>
      </c>
      <c r="P6">
        <f t="shared" si="0"/>
        <v>52</v>
      </c>
      <c r="Q6" t="str">
        <f>INDEX(Elemek!$B$2:$B$113,MATCH(M6,Elemek!$C$2:$C$113,0))</f>
        <v>Cr</v>
      </c>
      <c r="R6" t="str">
        <f t="shared" si="1"/>
        <v>9.137037</v>
      </c>
      <c r="S6" t="str">
        <f t="shared" si="2"/>
        <v>9.137037</v>
      </c>
    </row>
    <row r="7" spans="1:20" x14ac:dyDescent="0.25">
      <c r="A7">
        <v>6</v>
      </c>
      <c r="B7" t="s">
        <v>297</v>
      </c>
      <c r="C7">
        <v>57</v>
      </c>
      <c r="D7">
        <v>26</v>
      </c>
      <c r="E7">
        <v>31</v>
      </c>
      <c r="F7" s="18" t="s">
        <v>313</v>
      </c>
      <c r="H7">
        <f ca="1">IF(B7=$H$1,COUNT($H$2:H8)+1," ")</f>
        <v>0</v>
      </c>
      <c r="L7">
        <v>6</v>
      </c>
      <c r="M7">
        <v>26</v>
      </c>
      <c r="N7">
        <v>31</v>
      </c>
      <c r="O7" s="18" t="s">
        <v>313</v>
      </c>
      <c r="P7">
        <f t="shared" si="0"/>
        <v>57</v>
      </c>
      <c r="Q7" t="str">
        <f>INDEX(Elemek!$B$2:$B$113,MATCH(M7,Elemek!$C$2:$C$113,0))</f>
        <v>Fe</v>
      </c>
      <c r="R7" t="str">
        <f t="shared" si="1"/>
        <v>9.127119</v>
      </c>
      <c r="S7" t="str">
        <f t="shared" si="2"/>
        <v>9.127119</v>
      </c>
    </row>
    <row r="8" spans="1:20" x14ac:dyDescent="0.25">
      <c r="A8">
        <v>7</v>
      </c>
      <c r="B8" t="s">
        <v>148</v>
      </c>
      <c r="C8">
        <v>59</v>
      </c>
      <c r="D8">
        <v>27</v>
      </c>
      <c r="E8">
        <v>32</v>
      </c>
      <c r="F8" s="18" t="s">
        <v>314</v>
      </c>
      <c r="H8" t="str">
        <f>IF(B8=$H$1,COUNT($H$2:H9)+1," ")</f>
        <v xml:space="preserve"> </v>
      </c>
      <c r="L8">
        <v>7</v>
      </c>
      <c r="M8">
        <v>27</v>
      </c>
      <c r="N8">
        <v>32</v>
      </c>
      <c r="O8" s="18" t="s">
        <v>314</v>
      </c>
      <c r="P8">
        <f t="shared" si="0"/>
        <v>59</v>
      </c>
      <c r="Q8" t="str">
        <f>INDEX(Elemek!$B$2:$B$113,MATCH(M8,Elemek!$C$2:$C$113,0))</f>
        <v>Co</v>
      </c>
      <c r="R8" t="str">
        <f t="shared" si="1"/>
        <v>9.126046</v>
      </c>
      <c r="S8" t="str">
        <f t="shared" si="2"/>
        <v>9.126046</v>
      </c>
    </row>
    <row r="9" spans="1:20" x14ac:dyDescent="0.25">
      <c r="A9">
        <v>8</v>
      </c>
      <c r="B9" t="s">
        <v>155</v>
      </c>
      <c r="C9">
        <v>54</v>
      </c>
      <c r="D9">
        <v>24</v>
      </c>
      <c r="E9">
        <v>30</v>
      </c>
      <c r="F9" s="18" t="s">
        <v>315</v>
      </c>
      <c r="H9" t="str">
        <f>IF(B9=$H$1,COUNT($H$2:H10)+1," ")</f>
        <v xml:space="preserve"> </v>
      </c>
      <c r="L9">
        <v>8</v>
      </c>
      <c r="M9">
        <v>24</v>
      </c>
      <c r="N9">
        <v>30</v>
      </c>
      <c r="O9" s="18" t="s">
        <v>315</v>
      </c>
      <c r="P9">
        <f t="shared" si="0"/>
        <v>54</v>
      </c>
      <c r="Q9" t="str">
        <f>INDEX(Elemek!$B$2:$B$113,MATCH(M9,Elemek!$C$2:$C$113,0))</f>
        <v>Cr</v>
      </c>
      <c r="R9" t="str">
        <f t="shared" si="1"/>
        <v>9.125633</v>
      </c>
      <c r="S9" t="str">
        <f t="shared" si="2"/>
        <v>9.125633</v>
      </c>
    </row>
    <row r="10" spans="1:20" x14ac:dyDescent="0.25">
      <c r="A10">
        <v>9</v>
      </c>
      <c r="B10" t="s">
        <v>194</v>
      </c>
      <c r="C10">
        <v>61</v>
      </c>
      <c r="D10">
        <v>28</v>
      </c>
      <c r="E10">
        <v>33</v>
      </c>
      <c r="F10" s="18" t="s">
        <v>316</v>
      </c>
      <c r="H10" t="str">
        <f>IF(B10=$H$1,COUNT($H$2:H11)+1," ")</f>
        <v xml:space="preserve"> </v>
      </c>
      <c r="L10">
        <v>9</v>
      </c>
      <c r="M10">
        <v>28</v>
      </c>
      <c r="N10">
        <v>33</v>
      </c>
      <c r="O10" s="18" t="s">
        <v>316</v>
      </c>
      <c r="P10">
        <f t="shared" si="0"/>
        <v>61</v>
      </c>
      <c r="Q10" t="str">
        <f>INDEX(Elemek!$B$2:$B$113,MATCH(M10,Elemek!$C$2:$C$113,0))</f>
        <v>Ni</v>
      </c>
      <c r="R10" t="str">
        <f t="shared" si="1"/>
        <v>9.124129</v>
      </c>
      <c r="S10" t="str">
        <f t="shared" si="2"/>
        <v>9.124129</v>
      </c>
    </row>
    <row r="11" spans="1:20" x14ac:dyDescent="0.25">
      <c r="A11">
        <v>10</v>
      </c>
      <c r="B11" t="s">
        <v>173</v>
      </c>
      <c r="C11">
        <v>55</v>
      </c>
      <c r="D11">
        <v>25</v>
      </c>
      <c r="E11">
        <v>30</v>
      </c>
      <c r="F11" s="18" t="s">
        <v>317</v>
      </c>
      <c r="H11" t="str">
        <f>IF(B11=$H$1,COUNT($H$2:H12)+1," ")</f>
        <v xml:space="preserve"> </v>
      </c>
      <c r="L11">
        <v>10</v>
      </c>
      <c r="M11">
        <v>25</v>
      </c>
      <c r="N11">
        <v>30</v>
      </c>
      <c r="O11" s="18" t="s">
        <v>317</v>
      </c>
      <c r="P11">
        <f t="shared" si="0"/>
        <v>55</v>
      </c>
      <c r="Q11" t="str">
        <f>INDEX(Elemek!$B$2:$B$113,MATCH(M11,Elemek!$C$2:$C$113,0))</f>
        <v>Mn</v>
      </c>
      <c r="R11" t="str">
        <f t="shared" si="1"/>
        <v>9.120611</v>
      </c>
      <c r="S11" t="str">
        <f t="shared" si="2"/>
        <v>9.120611</v>
      </c>
    </row>
    <row r="12" spans="1:20" x14ac:dyDescent="0.25">
      <c r="A12">
        <v>11</v>
      </c>
      <c r="B12" t="s">
        <v>194</v>
      </c>
      <c r="C12">
        <v>64</v>
      </c>
      <c r="D12">
        <v>28</v>
      </c>
      <c r="E12">
        <v>36</v>
      </c>
      <c r="F12" s="18" t="s">
        <v>318</v>
      </c>
      <c r="H12" t="str">
        <f>IF(B12=$H$1,COUNT($H$2:H13)+1," ")</f>
        <v xml:space="preserve"> </v>
      </c>
      <c r="L12">
        <v>11</v>
      </c>
      <c r="M12">
        <v>28</v>
      </c>
      <c r="N12">
        <v>36</v>
      </c>
      <c r="O12" s="18" t="s">
        <v>318</v>
      </c>
      <c r="P12">
        <f t="shared" si="0"/>
        <v>64</v>
      </c>
      <c r="Q12" t="str">
        <f>INDEX(Elemek!$B$2:$B$113,MATCH(M12,Elemek!$C$2:$C$113,0))</f>
        <v>Ni</v>
      </c>
      <c r="R12" t="str">
        <f t="shared" si="1"/>
        <v>9.119754</v>
      </c>
      <c r="S12" t="str">
        <f t="shared" si="2"/>
        <v>9.119754</v>
      </c>
    </row>
    <row r="13" spans="1:20" x14ac:dyDescent="0.25">
      <c r="A13">
        <v>394</v>
      </c>
      <c r="B13" t="s">
        <v>297</v>
      </c>
      <c r="C13">
        <v>55</v>
      </c>
      <c r="D13">
        <v>26</v>
      </c>
      <c r="E13">
        <v>29</v>
      </c>
      <c r="F13" s="18" t="s">
        <v>698</v>
      </c>
      <c r="H13">
        <f ca="1">IF(B13=$H$1,COUNT($H$2:H14)+1," ")</f>
        <v>0</v>
      </c>
      <c r="L13">
        <v>12</v>
      </c>
      <c r="M13">
        <v>30</v>
      </c>
      <c r="N13">
        <v>36</v>
      </c>
      <c r="O13" s="18" t="s">
        <v>319</v>
      </c>
      <c r="P13">
        <f t="shared" si="0"/>
        <v>66</v>
      </c>
      <c r="Q13" t="str">
        <f>INDEX(Elemek!$B$2:$B$113,MATCH(M13,Elemek!$C$2:$C$113,0))</f>
        <v>Zn</v>
      </c>
      <c r="R13" t="str">
        <f t="shared" si="1"/>
        <v>9.115258</v>
      </c>
      <c r="S13" t="str">
        <f t="shared" si="2"/>
        <v>9.115258</v>
      </c>
    </row>
    <row r="14" spans="1:20" x14ac:dyDescent="0.25">
      <c r="A14">
        <v>12</v>
      </c>
      <c r="B14" t="s">
        <v>64</v>
      </c>
      <c r="C14">
        <v>66</v>
      </c>
      <c r="D14">
        <v>30</v>
      </c>
      <c r="E14">
        <v>36</v>
      </c>
      <c r="F14" s="18" t="s">
        <v>319</v>
      </c>
      <c r="H14" t="str">
        <f>IF(B14=$H$1,COUNT($H$2:H15)+1," ")</f>
        <v xml:space="preserve"> </v>
      </c>
      <c r="L14">
        <v>13</v>
      </c>
      <c r="M14">
        <v>24</v>
      </c>
      <c r="N14">
        <v>29</v>
      </c>
      <c r="O14" s="18" t="s">
        <v>320</v>
      </c>
      <c r="P14">
        <f t="shared" si="0"/>
        <v>53</v>
      </c>
      <c r="Q14" t="str">
        <f>INDEX(Elemek!$B$2:$B$113,MATCH(M14,Elemek!$C$2:$C$113,0))</f>
        <v>Cr</v>
      </c>
      <c r="R14" t="str">
        <f t="shared" si="1"/>
        <v>9.114435</v>
      </c>
      <c r="S14" t="str">
        <f t="shared" si="2"/>
        <v>9.114435</v>
      </c>
    </row>
    <row r="15" spans="1:20" x14ac:dyDescent="0.25">
      <c r="A15">
        <v>13</v>
      </c>
      <c r="B15" t="s">
        <v>155</v>
      </c>
      <c r="C15">
        <v>53</v>
      </c>
      <c r="D15">
        <v>24</v>
      </c>
      <c r="E15">
        <v>29</v>
      </c>
      <c r="F15" s="18" t="s">
        <v>320</v>
      </c>
      <c r="H15" t="str">
        <f>IF(B15=$H$1,COUNT($H$2:H16)+1," ")</f>
        <v xml:space="preserve"> </v>
      </c>
      <c r="L15">
        <v>14</v>
      </c>
      <c r="M15">
        <v>29</v>
      </c>
      <c r="N15">
        <v>34</v>
      </c>
      <c r="O15" s="18" t="s">
        <v>321</v>
      </c>
      <c r="P15">
        <f t="shared" si="0"/>
        <v>63</v>
      </c>
      <c r="Q15" t="str">
        <f>INDEX(Elemek!$B$2:$B$113,MATCH(M15,Elemek!$C$2:$C$113,0))</f>
        <v>Cu</v>
      </c>
      <c r="R15" t="str">
        <f t="shared" si="1"/>
        <v>9.112272</v>
      </c>
      <c r="S15" t="str">
        <f t="shared" si="2"/>
        <v>9.112272</v>
      </c>
    </row>
    <row r="16" spans="1:20" x14ac:dyDescent="0.25">
      <c r="A16">
        <v>199</v>
      </c>
      <c r="B16" t="s">
        <v>297</v>
      </c>
      <c r="C16">
        <v>54</v>
      </c>
      <c r="D16">
        <v>26</v>
      </c>
      <c r="E16">
        <v>28</v>
      </c>
      <c r="F16" s="18" t="s">
        <v>506</v>
      </c>
      <c r="H16">
        <f ca="1">IF(B16=$H$1,COUNT($H$2:H17)+1," ")</f>
        <v>0</v>
      </c>
      <c r="L16">
        <v>15</v>
      </c>
      <c r="M16">
        <v>29</v>
      </c>
      <c r="N16">
        <v>36</v>
      </c>
      <c r="O16" s="18" t="s">
        <v>322</v>
      </c>
      <c r="P16">
        <f t="shared" si="0"/>
        <v>65</v>
      </c>
      <c r="Q16" t="str">
        <f>INDEX(Elemek!$B$2:$B$113,MATCH(M16,Elemek!$C$2:$C$113,0))</f>
        <v>Cu</v>
      </c>
      <c r="R16" t="str">
        <f t="shared" si="1"/>
        <v>9.106154</v>
      </c>
      <c r="S16" t="str">
        <f t="shared" si="2"/>
        <v>9.106154</v>
      </c>
    </row>
    <row r="17" spans="1:19" x14ac:dyDescent="0.25">
      <c r="A17">
        <v>417</v>
      </c>
      <c r="B17" t="s">
        <v>148</v>
      </c>
      <c r="C17">
        <v>57</v>
      </c>
      <c r="D17">
        <v>27</v>
      </c>
      <c r="E17">
        <v>30</v>
      </c>
      <c r="F17" s="18" t="s">
        <v>720</v>
      </c>
      <c r="H17" t="str">
        <f>IF(B17=$H$1,COUNT($H$2:H18)+1," ")</f>
        <v xml:space="preserve"> </v>
      </c>
      <c r="L17">
        <v>16</v>
      </c>
      <c r="M17">
        <v>30</v>
      </c>
      <c r="N17">
        <v>38</v>
      </c>
      <c r="O17" s="18" t="s">
        <v>323</v>
      </c>
      <c r="P17">
        <f t="shared" si="0"/>
        <v>68</v>
      </c>
      <c r="Q17" t="str">
        <f>INDEX(Elemek!$B$2:$B$113,MATCH(M17,Elemek!$C$2:$C$113,0))</f>
        <v>Zn</v>
      </c>
      <c r="R17" t="str">
        <f t="shared" si="1"/>
        <v>9.100845</v>
      </c>
      <c r="S17" t="str">
        <f t="shared" si="2"/>
        <v>9.100845</v>
      </c>
    </row>
    <row r="18" spans="1:19" x14ac:dyDescent="0.25">
      <c r="A18">
        <v>14</v>
      </c>
      <c r="B18" t="s">
        <v>243</v>
      </c>
      <c r="C18">
        <v>63</v>
      </c>
      <c r="D18">
        <v>29</v>
      </c>
      <c r="E18">
        <v>34</v>
      </c>
      <c r="F18" s="18" t="s">
        <v>321</v>
      </c>
      <c r="H18" t="str">
        <f>IF(B18=$H$1,COUNT($H$2:H19)+1," ")</f>
        <v xml:space="preserve"> </v>
      </c>
      <c r="L18">
        <v>17</v>
      </c>
      <c r="M18">
        <v>22</v>
      </c>
      <c r="N18">
        <v>28</v>
      </c>
      <c r="O18" s="18" t="s">
        <v>324</v>
      </c>
      <c r="P18">
        <f t="shared" si="0"/>
        <v>50</v>
      </c>
      <c r="Q18" t="str">
        <f>INDEX(Elemek!$B$2:$B$113,MATCH(M18,Elemek!$C$2:$C$113,0))</f>
        <v>Ti</v>
      </c>
      <c r="R18" t="str">
        <f t="shared" si="1"/>
        <v>9.099861</v>
      </c>
      <c r="S18" t="str">
        <f t="shared" si="2"/>
        <v>9.099861</v>
      </c>
    </row>
    <row r="19" spans="1:19" x14ac:dyDescent="0.25">
      <c r="A19">
        <v>353</v>
      </c>
      <c r="B19" t="s">
        <v>194</v>
      </c>
      <c r="C19">
        <v>63</v>
      </c>
      <c r="D19">
        <v>28</v>
      </c>
      <c r="E19">
        <v>35</v>
      </c>
      <c r="F19" s="18" t="s">
        <v>660</v>
      </c>
      <c r="H19" t="str">
        <f>IF(B19=$H$1,COUNT($H$2:H20)+1," ")</f>
        <v xml:space="preserve"> </v>
      </c>
      <c r="L19">
        <v>18</v>
      </c>
      <c r="M19">
        <v>23</v>
      </c>
      <c r="N19">
        <v>28</v>
      </c>
      <c r="O19" s="18" t="s">
        <v>325</v>
      </c>
      <c r="P19">
        <f t="shared" si="0"/>
        <v>51</v>
      </c>
      <c r="Q19" t="str">
        <f>INDEX(Elemek!$B$2:$B$113,MATCH(M19,Elemek!$C$2:$C$113,0))</f>
        <v>V</v>
      </c>
      <c r="R19" t="str">
        <f t="shared" si="1"/>
        <v>9.094884</v>
      </c>
      <c r="S19" t="str">
        <f t="shared" si="2"/>
        <v>9.094884</v>
      </c>
    </row>
    <row r="20" spans="1:19" x14ac:dyDescent="0.25">
      <c r="A20">
        <v>197</v>
      </c>
      <c r="B20" t="s">
        <v>194</v>
      </c>
      <c r="C20">
        <v>58</v>
      </c>
      <c r="D20">
        <v>28</v>
      </c>
      <c r="E20">
        <v>30</v>
      </c>
      <c r="F20" s="18" t="s">
        <v>504</v>
      </c>
      <c r="H20" t="str">
        <f>IF(B20=$H$1,COUNT($H$2:H21)+1," ")</f>
        <v xml:space="preserve"> </v>
      </c>
      <c r="L20">
        <v>19</v>
      </c>
      <c r="M20">
        <v>30</v>
      </c>
      <c r="N20">
        <v>37</v>
      </c>
      <c r="O20" s="18" t="s">
        <v>326</v>
      </c>
      <c r="P20">
        <f t="shared" si="0"/>
        <v>67</v>
      </c>
      <c r="Q20" t="str">
        <f>INDEX(Elemek!$B$2:$B$113,MATCH(M20,Elemek!$C$2:$C$113,0))</f>
        <v>Zn</v>
      </c>
      <c r="R20" t="str">
        <f t="shared" si="1"/>
        <v>9.084468</v>
      </c>
      <c r="S20" t="str">
        <f t="shared" si="2"/>
        <v>9.084468</v>
      </c>
    </row>
    <row r="21" spans="1:19" x14ac:dyDescent="0.25">
      <c r="A21">
        <v>321</v>
      </c>
      <c r="B21" t="s">
        <v>194</v>
      </c>
      <c r="C21">
        <v>59</v>
      </c>
      <c r="D21">
        <v>28</v>
      </c>
      <c r="E21">
        <v>31</v>
      </c>
      <c r="F21" s="18" t="s">
        <v>628</v>
      </c>
      <c r="H21" t="str">
        <f>IF(B21=$H$1,COUNT($H$2:H22)+1," ")</f>
        <v xml:space="preserve"> </v>
      </c>
      <c r="L21">
        <v>20</v>
      </c>
      <c r="M21">
        <v>22</v>
      </c>
      <c r="N21">
        <v>26</v>
      </c>
      <c r="O21" s="18" t="s">
        <v>327</v>
      </c>
      <c r="P21">
        <f t="shared" si="0"/>
        <v>48</v>
      </c>
      <c r="Q21" t="str">
        <f>INDEX(Elemek!$B$2:$B$113,MATCH(M21,Elemek!$C$2:$C$113,0))</f>
        <v>Ti</v>
      </c>
      <c r="R21" t="str">
        <f t="shared" si="1"/>
        <v>9.081488</v>
      </c>
      <c r="S21" t="str">
        <f t="shared" si="2"/>
        <v>9.081488</v>
      </c>
    </row>
    <row r="22" spans="1:19" x14ac:dyDescent="0.25">
      <c r="A22">
        <v>15</v>
      </c>
      <c r="B22" t="s">
        <v>243</v>
      </c>
      <c r="C22">
        <v>65</v>
      </c>
      <c r="D22">
        <v>29</v>
      </c>
      <c r="E22">
        <v>36</v>
      </c>
      <c r="F22" s="18" t="s">
        <v>322</v>
      </c>
      <c r="H22" t="str">
        <f>IF(B22=$H$1,COUNT($H$2:H23)+1," ")</f>
        <v xml:space="preserve"> </v>
      </c>
      <c r="L22">
        <v>21</v>
      </c>
      <c r="M22">
        <v>32</v>
      </c>
      <c r="N22">
        <v>40</v>
      </c>
      <c r="O22" s="18" t="s">
        <v>328</v>
      </c>
      <c r="P22">
        <f t="shared" si="0"/>
        <v>72</v>
      </c>
      <c r="Q22" t="str">
        <f>INDEX(Elemek!$B$2:$B$113,MATCH(M22,Elemek!$C$2:$C$113,0))</f>
        <v>Ge</v>
      </c>
      <c r="R22" t="str">
        <f t="shared" si="1"/>
        <v>9.079465</v>
      </c>
      <c r="S22" t="str">
        <f t="shared" si="2"/>
        <v>9.079465</v>
      </c>
    </row>
    <row r="23" spans="1:19" x14ac:dyDescent="0.25">
      <c r="A23">
        <v>298</v>
      </c>
      <c r="B23" t="s">
        <v>173</v>
      </c>
      <c r="C23">
        <v>53</v>
      </c>
      <c r="D23">
        <v>25</v>
      </c>
      <c r="E23">
        <v>28</v>
      </c>
      <c r="F23" s="18" t="s">
        <v>605</v>
      </c>
      <c r="H23" t="str">
        <f>IF(B23=$H$1,COUNT($H$2:H24)+1," ")</f>
        <v xml:space="preserve"> </v>
      </c>
      <c r="L23">
        <v>22</v>
      </c>
      <c r="M23">
        <v>32</v>
      </c>
      <c r="N23">
        <v>38</v>
      </c>
      <c r="O23" s="18" t="s">
        <v>329</v>
      </c>
      <c r="P23">
        <f t="shared" si="0"/>
        <v>70</v>
      </c>
      <c r="Q23" t="str">
        <f>INDEX(Elemek!$B$2:$B$113,MATCH(M23,Elemek!$C$2:$C$113,0))</f>
        <v>Ge</v>
      </c>
      <c r="R23" t="str">
        <f t="shared" si="1"/>
        <v>9.079372</v>
      </c>
      <c r="S23" t="str">
        <f t="shared" si="2"/>
        <v>9.079372</v>
      </c>
    </row>
    <row r="24" spans="1:19" x14ac:dyDescent="0.25">
      <c r="A24">
        <v>459</v>
      </c>
      <c r="B24" t="s">
        <v>148</v>
      </c>
      <c r="C24">
        <v>58</v>
      </c>
      <c r="D24">
        <v>27</v>
      </c>
      <c r="E24">
        <v>31</v>
      </c>
      <c r="F24" s="18" t="s">
        <v>757</v>
      </c>
      <c r="H24" t="str">
        <f>IF(B24=$H$1,COUNT($H$2:H25)+1," ")</f>
        <v xml:space="preserve"> </v>
      </c>
      <c r="L24">
        <v>23</v>
      </c>
      <c r="M24">
        <v>31</v>
      </c>
      <c r="N24">
        <v>38</v>
      </c>
      <c r="O24" s="18" t="s">
        <v>330</v>
      </c>
      <c r="P24">
        <f t="shared" si="0"/>
        <v>69</v>
      </c>
      <c r="Q24" t="str">
        <f>INDEX(Elemek!$B$2:$B$113,MATCH(M24,Elemek!$C$2:$C$113,0))</f>
        <v>Ga</v>
      </c>
      <c r="R24" t="str">
        <f t="shared" si="1"/>
        <v>9.076078</v>
      </c>
      <c r="S24" t="str">
        <f t="shared" si="2"/>
        <v>9.076078</v>
      </c>
    </row>
    <row r="25" spans="1:19" x14ac:dyDescent="0.25">
      <c r="A25">
        <v>211</v>
      </c>
      <c r="B25" t="s">
        <v>64</v>
      </c>
      <c r="C25">
        <v>64</v>
      </c>
      <c r="D25">
        <v>30</v>
      </c>
      <c r="E25">
        <v>34</v>
      </c>
      <c r="F25" s="18" t="s">
        <v>518</v>
      </c>
      <c r="H25" t="str">
        <f>IF(B25=$H$1,COUNT($H$2:H26)+1," ")</f>
        <v xml:space="preserve"> </v>
      </c>
      <c r="L25">
        <v>24</v>
      </c>
      <c r="M25">
        <v>38</v>
      </c>
      <c r="N25">
        <v>50</v>
      </c>
      <c r="O25" s="18" t="s">
        <v>331</v>
      </c>
      <c r="P25">
        <f t="shared" si="0"/>
        <v>88</v>
      </c>
      <c r="Q25" t="str">
        <f>INDEX(Elemek!$B$2:$B$113,MATCH(M25,Elemek!$C$2:$C$113,0))</f>
        <v>Sr</v>
      </c>
      <c r="R25" t="str">
        <f t="shared" si="1"/>
        <v>9.070438</v>
      </c>
      <c r="S25" t="str">
        <f t="shared" si="2"/>
        <v>9.070438</v>
      </c>
    </row>
    <row r="26" spans="1:19" x14ac:dyDescent="0.25">
      <c r="A26">
        <v>935</v>
      </c>
      <c r="B26" t="s">
        <v>148</v>
      </c>
      <c r="C26">
        <v>61</v>
      </c>
      <c r="D26">
        <v>27</v>
      </c>
      <c r="E26">
        <v>34</v>
      </c>
      <c r="F26" s="18" t="s">
        <v>1157</v>
      </c>
      <c r="H26" t="str">
        <f>IF(B26=$H$1,COUNT($H$2:H27)+1," ")</f>
        <v xml:space="preserve"> </v>
      </c>
      <c r="L26">
        <v>25</v>
      </c>
      <c r="M26">
        <v>32</v>
      </c>
      <c r="N26">
        <v>42</v>
      </c>
      <c r="O26" s="18" t="s">
        <v>332</v>
      </c>
      <c r="P26">
        <f t="shared" si="0"/>
        <v>74</v>
      </c>
      <c r="Q26" t="str">
        <f>INDEX(Elemek!$B$2:$B$113,MATCH(M26,Elemek!$C$2:$C$113,0))</f>
        <v>Ge</v>
      </c>
      <c r="R26" t="str">
        <f t="shared" si="1"/>
        <v>9.063522</v>
      </c>
      <c r="S26" t="str">
        <f t="shared" si="2"/>
        <v>9.063522</v>
      </c>
    </row>
    <row r="27" spans="1:19" x14ac:dyDescent="0.25">
      <c r="A27">
        <v>16</v>
      </c>
      <c r="B27" t="s">
        <v>64</v>
      </c>
      <c r="C27">
        <v>68</v>
      </c>
      <c r="D27">
        <v>30</v>
      </c>
      <c r="E27">
        <v>38</v>
      </c>
      <c r="F27" s="18" t="s">
        <v>323</v>
      </c>
      <c r="H27" t="str">
        <f>IF(B27=$H$1,COUNT($H$2:H28)+1," ")</f>
        <v xml:space="preserve"> </v>
      </c>
      <c r="L27">
        <v>26</v>
      </c>
      <c r="M27">
        <v>22</v>
      </c>
      <c r="N27">
        <v>27</v>
      </c>
      <c r="O27" s="18" t="s">
        <v>333</v>
      </c>
      <c r="P27">
        <f t="shared" si="0"/>
        <v>49</v>
      </c>
      <c r="Q27" t="str">
        <f>INDEX(Elemek!$B$2:$B$113,MATCH(M27,Elemek!$C$2:$C$113,0))</f>
        <v>Ti</v>
      </c>
      <c r="R27" t="str">
        <f t="shared" si="1"/>
        <v>9.062323</v>
      </c>
      <c r="S27" t="str">
        <f t="shared" si="2"/>
        <v>9.062323</v>
      </c>
    </row>
    <row r="28" spans="1:19" x14ac:dyDescent="0.25">
      <c r="A28">
        <v>413</v>
      </c>
      <c r="B28" t="s">
        <v>173</v>
      </c>
      <c r="C28">
        <v>54</v>
      </c>
      <c r="D28">
        <v>25</v>
      </c>
      <c r="E28">
        <v>29</v>
      </c>
      <c r="F28" s="18" t="s">
        <v>717</v>
      </c>
      <c r="H28" t="str">
        <f>IF(B28=$H$1,COUNT($H$2:H29)+1," ")</f>
        <v xml:space="preserve"> </v>
      </c>
      <c r="L28">
        <v>27</v>
      </c>
      <c r="M28">
        <v>34</v>
      </c>
      <c r="N28">
        <v>42</v>
      </c>
      <c r="O28" s="18" t="s">
        <v>334</v>
      </c>
      <c r="P28">
        <f t="shared" si="0"/>
        <v>76</v>
      </c>
      <c r="Q28" t="str">
        <f>INDEX(Elemek!$B$2:$B$113,MATCH(M28,Elemek!$C$2:$C$113,0))</f>
        <v>Se</v>
      </c>
      <c r="R28" t="str">
        <f t="shared" si="1"/>
        <v>9.061485</v>
      </c>
      <c r="S28" t="str">
        <f t="shared" si="2"/>
        <v>9.061485</v>
      </c>
    </row>
    <row r="29" spans="1:19" x14ac:dyDescent="0.25">
      <c r="A29">
        <v>17</v>
      </c>
      <c r="B29" t="s">
        <v>284</v>
      </c>
      <c r="C29">
        <v>50</v>
      </c>
      <c r="D29">
        <v>22</v>
      </c>
      <c r="E29">
        <v>28</v>
      </c>
      <c r="F29" s="18" t="s">
        <v>324</v>
      </c>
      <c r="H29" t="str">
        <f>IF(B29=$H$1,COUNT($H$2:H30)+1," ")</f>
        <v xml:space="preserve"> </v>
      </c>
      <c r="L29">
        <v>28</v>
      </c>
      <c r="M29">
        <v>31</v>
      </c>
      <c r="N29">
        <v>40</v>
      </c>
      <c r="O29" s="18" t="s">
        <v>335</v>
      </c>
      <c r="P29">
        <f t="shared" si="0"/>
        <v>71</v>
      </c>
      <c r="Q29" t="str">
        <f>INDEX(Elemek!$B$2:$B$113,MATCH(M29,Elemek!$C$2:$C$113,0))</f>
        <v>Ga</v>
      </c>
      <c r="R29" t="str">
        <f t="shared" si="1"/>
        <v>9.059218</v>
      </c>
      <c r="S29" t="str">
        <f t="shared" si="2"/>
        <v>9.059218</v>
      </c>
    </row>
    <row r="30" spans="1:19" x14ac:dyDescent="0.25">
      <c r="A30">
        <v>481</v>
      </c>
      <c r="B30" t="s">
        <v>297</v>
      </c>
      <c r="C30">
        <v>59</v>
      </c>
      <c r="D30">
        <v>26</v>
      </c>
      <c r="E30">
        <v>33</v>
      </c>
      <c r="F30" s="18" t="s">
        <v>777</v>
      </c>
      <c r="H30" t="str">
        <f ca="1">IF(B30=$H$1,COUNT($H$2:H31)+1," ")</f>
        <v xml:space="preserve"> </v>
      </c>
      <c r="L30">
        <v>29</v>
      </c>
      <c r="M30">
        <v>34</v>
      </c>
      <c r="N30">
        <v>44</v>
      </c>
      <c r="O30" s="18" t="s">
        <v>336</v>
      </c>
      <c r="P30">
        <f t="shared" si="0"/>
        <v>78</v>
      </c>
      <c r="Q30" t="str">
        <f>INDEX(Elemek!$B$2:$B$113,MATCH(M30,Elemek!$C$2:$C$113,0))</f>
        <v>Se</v>
      </c>
      <c r="R30" t="str">
        <f t="shared" si="1"/>
        <v>9.058842</v>
      </c>
      <c r="S30" t="str">
        <f t="shared" si="2"/>
        <v>9.058842</v>
      </c>
    </row>
    <row r="31" spans="1:19" x14ac:dyDescent="0.25">
      <c r="A31">
        <v>385</v>
      </c>
      <c r="B31" t="s">
        <v>148</v>
      </c>
      <c r="C31">
        <v>60</v>
      </c>
      <c r="D31">
        <v>27</v>
      </c>
      <c r="E31">
        <v>33</v>
      </c>
      <c r="F31" s="18" t="s">
        <v>689</v>
      </c>
      <c r="H31" t="str">
        <f>IF(B31=$H$1,COUNT($H$2:H32)+1," ")</f>
        <v xml:space="preserve"> </v>
      </c>
      <c r="L31">
        <v>30</v>
      </c>
      <c r="M31">
        <v>40</v>
      </c>
      <c r="N31">
        <v>50</v>
      </c>
      <c r="O31" s="18" t="s">
        <v>337</v>
      </c>
      <c r="P31">
        <f t="shared" si="0"/>
        <v>90</v>
      </c>
      <c r="Q31" t="str">
        <f>INDEX(Elemek!$B$2:$B$113,MATCH(M31,Elemek!$C$2:$C$113,0))</f>
        <v>Zr</v>
      </c>
      <c r="R31" t="str">
        <f t="shared" si="1"/>
        <v>9.057631</v>
      </c>
      <c r="S31" t="str">
        <f t="shared" si="2"/>
        <v>9.057631</v>
      </c>
    </row>
    <row r="32" spans="1:19" x14ac:dyDescent="0.25">
      <c r="A32">
        <v>18</v>
      </c>
      <c r="B32" t="s">
        <v>295</v>
      </c>
      <c r="C32">
        <v>51</v>
      </c>
      <c r="D32">
        <v>23</v>
      </c>
      <c r="E32">
        <v>28</v>
      </c>
      <c r="F32" s="18" t="s">
        <v>325</v>
      </c>
      <c r="H32" t="str">
        <f>IF(B32=$H$1,COUNT($H$2:H33)+1," ")</f>
        <v xml:space="preserve"> </v>
      </c>
      <c r="L32">
        <v>31</v>
      </c>
      <c r="M32">
        <v>39</v>
      </c>
      <c r="N32">
        <v>50</v>
      </c>
      <c r="O32" s="18" t="s">
        <v>338</v>
      </c>
      <c r="P32">
        <f t="shared" si="0"/>
        <v>89</v>
      </c>
      <c r="Q32" t="str">
        <f>INDEX(Elemek!$B$2:$B$113,MATCH(M32,Elemek!$C$2:$C$113,0))</f>
        <v>Y</v>
      </c>
      <c r="R32" t="str">
        <f t="shared" si="1"/>
        <v>9.056743</v>
      </c>
      <c r="S32" t="str">
        <f t="shared" si="2"/>
        <v>9.056743</v>
      </c>
    </row>
    <row r="33" spans="1:19" x14ac:dyDescent="0.25">
      <c r="A33">
        <v>299</v>
      </c>
      <c r="B33" t="s">
        <v>297</v>
      </c>
      <c r="C33">
        <v>60</v>
      </c>
      <c r="D33">
        <v>26</v>
      </c>
      <c r="E33">
        <v>34</v>
      </c>
      <c r="F33" s="18" t="s">
        <v>606</v>
      </c>
      <c r="H33">
        <f ca="1">IF(B33=$H$1,COUNT($H$2:H34)+1," ")</f>
        <v>0</v>
      </c>
      <c r="L33">
        <v>32</v>
      </c>
      <c r="M33">
        <v>38</v>
      </c>
      <c r="N33">
        <v>48</v>
      </c>
      <c r="O33" s="18" t="s">
        <v>339</v>
      </c>
      <c r="P33">
        <f t="shared" si="0"/>
        <v>86</v>
      </c>
      <c r="Q33" t="str">
        <f>INDEX(Elemek!$B$2:$B$113,MATCH(M33,Elemek!$C$2:$C$113,0))</f>
        <v>Sr</v>
      </c>
      <c r="R33" t="str">
        <f t="shared" si="1"/>
        <v>9.05416</v>
      </c>
      <c r="S33" t="str">
        <f t="shared" si="2"/>
        <v>9.05416</v>
      </c>
    </row>
    <row r="34" spans="1:19" x14ac:dyDescent="0.25">
      <c r="A34">
        <v>733</v>
      </c>
      <c r="B34" t="s">
        <v>243</v>
      </c>
      <c r="C34">
        <v>64</v>
      </c>
      <c r="D34">
        <v>29</v>
      </c>
      <c r="E34">
        <v>35</v>
      </c>
      <c r="F34" s="18" t="s">
        <v>993</v>
      </c>
      <c r="H34" t="str">
        <f>IF(B34=$H$1,COUNT($H$2:H35)+1," ")</f>
        <v xml:space="preserve"> </v>
      </c>
      <c r="L34">
        <v>33</v>
      </c>
      <c r="M34">
        <v>36</v>
      </c>
      <c r="N34">
        <v>46</v>
      </c>
      <c r="O34" s="18" t="s">
        <v>340</v>
      </c>
      <c r="P34">
        <f t="shared" si="0"/>
        <v>82</v>
      </c>
      <c r="Q34" t="str">
        <f>INDEX(Elemek!$B$2:$B$113,MATCH(M34,Elemek!$C$2:$C$113,0))</f>
        <v>Kr</v>
      </c>
      <c r="R34" t="str">
        <f t="shared" si="1"/>
        <v>9.054126</v>
      </c>
      <c r="S34" t="str">
        <f t="shared" si="2"/>
        <v>9.054126</v>
      </c>
    </row>
    <row r="35" spans="1:19" x14ac:dyDescent="0.25">
      <c r="A35">
        <v>880</v>
      </c>
      <c r="B35" t="s">
        <v>173</v>
      </c>
      <c r="C35">
        <v>56</v>
      </c>
      <c r="D35">
        <v>25</v>
      </c>
      <c r="E35">
        <v>31</v>
      </c>
      <c r="F35" s="18" t="s">
        <v>1111</v>
      </c>
      <c r="H35" t="str">
        <f>IF(B35=$H$1,COUNT($H$2:H36)+1," ")</f>
        <v xml:space="preserve"> </v>
      </c>
      <c r="L35">
        <v>34</v>
      </c>
      <c r="M35">
        <v>36</v>
      </c>
      <c r="N35">
        <v>48</v>
      </c>
      <c r="O35" s="18" t="s">
        <v>341</v>
      </c>
      <c r="P35">
        <f t="shared" si="0"/>
        <v>84</v>
      </c>
      <c r="Q35" t="str">
        <f>INDEX(Elemek!$B$2:$B$113,MATCH(M35,Elemek!$C$2:$C$113,0))</f>
        <v>Kr</v>
      </c>
      <c r="R35" t="str">
        <f t="shared" si="1"/>
        <v>9.052649</v>
      </c>
      <c r="S35" t="str">
        <f t="shared" si="2"/>
        <v>9.052649</v>
      </c>
    </row>
    <row r="36" spans="1:19" x14ac:dyDescent="0.25">
      <c r="A36">
        <v>850</v>
      </c>
      <c r="B36" t="s">
        <v>243</v>
      </c>
      <c r="C36">
        <v>61</v>
      </c>
      <c r="D36">
        <v>29</v>
      </c>
      <c r="E36">
        <v>32</v>
      </c>
      <c r="F36" s="18" t="s">
        <v>1087</v>
      </c>
      <c r="H36" t="str">
        <f>IF(B36=$H$1,COUNT($H$2:H37)+1," ")</f>
        <v xml:space="preserve"> </v>
      </c>
      <c r="L36">
        <v>35</v>
      </c>
      <c r="M36">
        <v>32</v>
      </c>
      <c r="N36">
        <v>41</v>
      </c>
      <c r="O36" s="18" t="s">
        <v>342</v>
      </c>
      <c r="P36">
        <f t="shared" si="0"/>
        <v>73</v>
      </c>
      <c r="Q36" t="str">
        <f>INDEX(Elemek!$B$2:$B$113,MATCH(M36,Elemek!$C$2:$C$113,0))</f>
        <v>Ge</v>
      </c>
      <c r="R36" t="str">
        <f t="shared" si="1"/>
        <v>9.048006</v>
      </c>
      <c r="S36" t="str">
        <f t="shared" si="2"/>
        <v>9.048006</v>
      </c>
    </row>
    <row r="37" spans="1:19" x14ac:dyDescent="0.25">
      <c r="A37">
        <v>421</v>
      </c>
      <c r="B37" t="s">
        <v>64</v>
      </c>
      <c r="C37">
        <v>65</v>
      </c>
      <c r="D37">
        <v>30</v>
      </c>
      <c r="E37">
        <v>35</v>
      </c>
      <c r="F37" s="18" t="s">
        <v>724</v>
      </c>
      <c r="H37" t="str">
        <f>IF(B37=$H$1,COUNT($H$2:H38)+1," ")</f>
        <v xml:space="preserve"> </v>
      </c>
      <c r="L37">
        <v>36</v>
      </c>
      <c r="M37">
        <v>38</v>
      </c>
      <c r="N37">
        <v>49</v>
      </c>
      <c r="O37" s="18" t="s">
        <v>343</v>
      </c>
      <c r="P37">
        <f t="shared" si="0"/>
        <v>87</v>
      </c>
      <c r="Q37" t="str">
        <f>INDEX(Elemek!$B$2:$B$113,MATCH(M37,Elemek!$C$2:$C$113,0))</f>
        <v>Sr</v>
      </c>
      <c r="R37" t="str">
        <f t="shared" si="1"/>
        <v>9.046964</v>
      </c>
      <c r="S37" t="str">
        <f t="shared" si="2"/>
        <v>9.046964</v>
      </c>
    </row>
    <row r="38" spans="1:19" x14ac:dyDescent="0.25">
      <c r="A38">
        <v>19</v>
      </c>
      <c r="B38" t="s">
        <v>64</v>
      </c>
      <c r="C38">
        <v>67</v>
      </c>
      <c r="D38">
        <v>30</v>
      </c>
      <c r="E38">
        <v>37</v>
      </c>
      <c r="F38" s="18" t="s">
        <v>326</v>
      </c>
      <c r="H38" t="str">
        <f>IF(B38=$H$1,COUNT($H$2:H39)+1," ")</f>
        <v xml:space="preserve"> </v>
      </c>
      <c r="L38">
        <v>37</v>
      </c>
      <c r="M38">
        <v>33</v>
      </c>
      <c r="N38">
        <v>42</v>
      </c>
      <c r="O38" s="18" t="s">
        <v>344</v>
      </c>
      <c r="P38">
        <f t="shared" si="0"/>
        <v>75</v>
      </c>
      <c r="Q38" t="str">
        <f>INDEX(Elemek!$B$2:$B$113,MATCH(M38,Elemek!$C$2:$C$113,0))</f>
        <v>As</v>
      </c>
      <c r="R38" t="str">
        <f t="shared" si="1"/>
        <v>9.045093</v>
      </c>
      <c r="S38" t="str">
        <f t="shared" si="2"/>
        <v>9.045093</v>
      </c>
    </row>
    <row r="39" spans="1:19" x14ac:dyDescent="0.25">
      <c r="A39">
        <v>20</v>
      </c>
      <c r="B39" t="s">
        <v>284</v>
      </c>
      <c r="C39">
        <v>48</v>
      </c>
      <c r="D39">
        <v>22</v>
      </c>
      <c r="E39">
        <v>26</v>
      </c>
      <c r="F39" s="18" t="s">
        <v>327</v>
      </c>
      <c r="H39" t="str">
        <f>IF(B39=$H$1,COUNT($H$2:H40)+1," ")</f>
        <v xml:space="preserve"> </v>
      </c>
      <c r="L39">
        <v>38</v>
      </c>
      <c r="M39">
        <v>36</v>
      </c>
      <c r="N39">
        <v>44</v>
      </c>
      <c r="O39" s="18" t="s">
        <v>345</v>
      </c>
      <c r="P39">
        <f t="shared" si="0"/>
        <v>80</v>
      </c>
      <c r="Q39" t="str">
        <f>INDEX(Elemek!$B$2:$B$113,MATCH(M39,Elemek!$C$2:$C$113,0))</f>
        <v>Kr</v>
      </c>
      <c r="R39" t="str">
        <f t="shared" si="1"/>
        <v>9.044984</v>
      </c>
      <c r="S39" t="str">
        <f t="shared" si="2"/>
        <v>9.044984</v>
      </c>
    </row>
    <row r="40" spans="1:19" x14ac:dyDescent="0.25">
      <c r="A40">
        <v>497</v>
      </c>
      <c r="B40" t="s">
        <v>155</v>
      </c>
      <c r="C40">
        <v>51</v>
      </c>
      <c r="D40">
        <v>24</v>
      </c>
      <c r="E40">
        <v>27</v>
      </c>
      <c r="F40" s="18" t="s">
        <v>792</v>
      </c>
      <c r="H40" t="str">
        <f>IF(B40=$H$1,COUNT($H$2:H41)+1," ")</f>
        <v xml:space="preserve"> </v>
      </c>
      <c r="L40">
        <v>39</v>
      </c>
      <c r="M40">
        <v>34</v>
      </c>
      <c r="N40">
        <v>43</v>
      </c>
      <c r="O40" s="18" t="s">
        <v>346</v>
      </c>
      <c r="P40">
        <f t="shared" si="0"/>
        <v>77</v>
      </c>
      <c r="Q40" t="str">
        <f>INDEX(Elemek!$B$2:$B$113,MATCH(M40,Elemek!$C$2:$C$113,0))</f>
        <v>Se</v>
      </c>
      <c r="R40" t="str">
        <f t="shared" si="1"/>
        <v>9.040153</v>
      </c>
      <c r="S40" t="str">
        <f t="shared" si="2"/>
        <v>9.040153</v>
      </c>
    </row>
    <row r="41" spans="1:19" x14ac:dyDescent="0.25">
      <c r="A41">
        <v>21</v>
      </c>
      <c r="B41" t="s">
        <v>101</v>
      </c>
      <c r="C41">
        <v>72</v>
      </c>
      <c r="D41">
        <v>32</v>
      </c>
      <c r="E41">
        <v>40</v>
      </c>
      <c r="F41" s="18" t="s">
        <v>328</v>
      </c>
      <c r="H41" t="str">
        <f>IF(B41=$H$1,COUNT($H$2:H42)+1," ")</f>
        <v xml:space="preserve"> </v>
      </c>
      <c r="L41">
        <v>40</v>
      </c>
      <c r="M41">
        <v>37</v>
      </c>
      <c r="N41">
        <v>48</v>
      </c>
      <c r="O41" s="18" t="s">
        <v>347</v>
      </c>
      <c r="P41">
        <f t="shared" si="0"/>
        <v>85</v>
      </c>
      <c r="Q41" t="str">
        <f>INDEX(Elemek!$B$2:$B$113,MATCH(M41,Elemek!$C$2:$C$113,0))</f>
        <v>Rb</v>
      </c>
      <c r="R41" t="str">
        <f t="shared" si="1"/>
        <v>9.037998</v>
      </c>
      <c r="S41" t="str">
        <f t="shared" si="2"/>
        <v>9.037998</v>
      </c>
    </row>
    <row r="42" spans="1:19" x14ac:dyDescent="0.25">
      <c r="A42">
        <v>22</v>
      </c>
      <c r="B42" t="s">
        <v>101</v>
      </c>
      <c r="C42">
        <v>70</v>
      </c>
      <c r="D42">
        <v>32</v>
      </c>
      <c r="E42">
        <v>38</v>
      </c>
      <c r="F42" s="18" t="s">
        <v>329</v>
      </c>
      <c r="H42" t="str">
        <f>IF(B42=$H$1,COUNT($H$2:H43)+1," ")</f>
        <v xml:space="preserve"> </v>
      </c>
      <c r="L42">
        <v>41</v>
      </c>
      <c r="M42">
        <v>40</v>
      </c>
      <c r="N42">
        <v>51</v>
      </c>
      <c r="O42" s="18" t="s">
        <v>348</v>
      </c>
      <c r="P42">
        <f t="shared" si="0"/>
        <v>91</v>
      </c>
      <c r="Q42" t="str">
        <f>INDEX(Elemek!$B$2:$B$113,MATCH(M42,Elemek!$C$2:$C$113,0))</f>
        <v>Zr</v>
      </c>
      <c r="R42" t="str">
        <f t="shared" si="1"/>
        <v>9.037156</v>
      </c>
      <c r="S42" t="str">
        <f t="shared" si="2"/>
        <v>9.037156</v>
      </c>
    </row>
    <row r="43" spans="1:19" x14ac:dyDescent="0.25">
      <c r="A43">
        <v>222</v>
      </c>
      <c r="B43" t="s">
        <v>155</v>
      </c>
      <c r="C43">
        <v>50</v>
      </c>
      <c r="D43">
        <v>24</v>
      </c>
      <c r="E43">
        <v>26</v>
      </c>
      <c r="F43" s="18" t="s">
        <v>529</v>
      </c>
      <c r="H43" t="str">
        <f>IF(B43=$H$1,COUNT($H$2:H44)+1," ")</f>
        <v xml:space="preserve"> </v>
      </c>
      <c r="L43">
        <v>42</v>
      </c>
      <c r="M43">
        <v>36</v>
      </c>
      <c r="N43">
        <v>47</v>
      </c>
      <c r="O43" s="18" t="s">
        <v>349</v>
      </c>
      <c r="P43">
        <f t="shared" si="0"/>
        <v>83</v>
      </c>
      <c r="Q43" t="str">
        <f>INDEX(Elemek!$B$2:$B$113,MATCH(M43,Elemek!$C$2:$C$113,0))</f>
        <v>Kr</v>
      </c>
      <c r="R43" t="str">
        <f t="shared" si="1"/>
        <v>9.034966</v>
      </c>
      <c r="S43" t="str">
        <f t="shared" si="2"/>
        <v>9.034966</v>
      </c>
    </row>
    <row r="44" spans="1:19" x14ac:dyDescent="0.25">
      <c r="A44">
        <v>612</v>
      </c>
      <c r="B44" t="s">
        <v>243</v>
      </c>
      <c r="C44">
        <v>67</v>
      </c>
      <c r="D44">
        <v>29</v>
      </c>
      <c r="E44">
        <v>38</v>
      </c>
      <c r="F44" s="18" t="s">
        <v>892</v>
      </c>
      <c r="H44" t="str">
        <f>IF(B44=$H$1,COUNT($H$2:H45)+1," ")</f>
        <v xml:space="preserve"> </v>
      </c>
      <c r="L44">
        <v>43</v>
      </c>
      <c r="M44">
        <v>35</v>
      </c>
      <c r="N44">
        <v>44</v>
      </c>
      <c r="O44" s="18" t="s">
        <v>350</v>
      </c>
      <c r="P44">
        <f t="shared" si="0"/>
        <v>79</v>
      </c>
      <c r="Q44" t="str">
        <f>INDEX(Elemek!$B$2:$B$113,MATCH(M44,Elemek!$C$2:$C$113,0))</f>
        <v>Br</v>
      </c>
      <c r="R44" t="str">
        <f t="shared" si="1"/>
        <v>9.03422</v>
      </c>
      <c r="S44" t="str">
        <f t="shared" si="2"/>
        <v>9.03422</v>
      </c>
    </row>
    <row r="45" spans="1:19" x14ac:dyDescent="0.25">
      <c r="A45">
        <v>23</v>
      </c>
      <c r="B45" t="s">
        <v>99</v>
      </c>
      <c r="C45">
        <v>69</v>
      </c>
      <c r="D45">
        <v>31</v>
      </c>
      <c r="E45">
        <v>38</v>
      </c>
      <c r="F45" s="18" t="s">
        <v>330</v>
      </c>
      <c r="H45" t="str">
        <f>IF(B45=$H$1,COUNT($H$2:H46)+1," ")</f>
        <v xml:space="preserve"> </v>
      </c>
      <c r="L45">
        <v>44</v>
      </c>
      <c r="M45">
        <v>35</v>
      </c>
      <c r="N45">
        <v>46</v>
      </c>
      <c r="O45" s="18" t="s">
        <v>351</v>
      </c>
      <c r="P45">
        <f t="shared" si="0"/>
        <v>81</v>
      </c>
      <c r="Q45" t="str">
        <f>INDEX(Elemek!$B$2:$B$113,MATCH(M45,Elemek!$C$2:$C$113,0))</f>
        <v>Br</v>
      </c>
      <c r="R45" t="str">
        <f t="shared" si="1"/>
        <v>9.033979</v>
      </c>
      <c r="S45" t="str">
        <f t="shared" si="2"/>
        <v>9.033979</v>
      </c>
    </row>
    <row r="46" spans="1:19" x14ac:dyDescent="0.25">
      <c r="A46">
        <v>881</v>
      </c>
      <c r="B46" t="s">
        <v>194</v>
      </c>
      <c r="C46">
        <v>65</v>
      </c>
      <c r="D46">
        <v>28</v>
      </c>
      <c r="E46">
        <v>37</v>
      </c>
      <c r="F46" s="18" t="s">
        <v>1112</v>
      </c>
      <c r="H46" t="str">
        <f>IF(B46=$H$1,COUNT($H$2:H47)+1," ")</f>
        <v xml:space="preserve"> </v>
      </c>
      <c r="L46">
        <v>45</v>
      </c>
      <c r="M46">
        <v>40</v>
      </c>
      <c r="N46">
        <v>52</v>
      </c>
      <c r="O46" s="18" t="s">
        <v>352</v>
      </c>
      <c r="P46">
        <f t="shared" si="0"/>
        <v>92</v>
      </c>
      <c r="Q46" t="str">
        <f>INDEX(Elemek!$B$2:$B$113,MATCH(M46,Elemek!$C$2:$C$113,0))</f>
        <v>Zr</v>
      </c>
      <c r="R46" t="str">
        <f t="shared" si="1"/>
        <v>9.032783</v>
      </c>
      <c r="S46" t="str">
        <f t="shared" si="2"/>
        <v>9.032783</v>
      </c>
    </row>
    <row r="47" spans="1:19" x14ac:dyDescent="0.25">
      <c r="A47">
        <v>455</v>
      </c>
      <c r="B47" t="s">
        <v>148</v>
      </c>
      <c r="C47">
        <v>56</v>
      </c>
      <c r="D47">
        <v>27</v>
      </c>
      <c r="E47">
        <v>29</v>
      </c>
      <c r="F47" s="18" t="s">
        <v>754</v>
      </c>
      <c r="H47" t="str">
        <f>IF(B47=$H$1,COUNT($H$2:H48)+1," ")</f>
        <v xml:space="preserve"> </v>
      </c>
      <c r="L47">
        <v>46</v>
      </c>
      <c r="M47">
        <v>22</v>
      </c>
      <c r="N47">
        <v>24</v>
      </c>
      <c r="O47" s="18" t="s">
        <v>353</v>
      </c>
      <c r="P47">
        <f t="shared" si="0"/>
        <v>46</v>
      </c>
      <c r="Q47" t="str">
        <f>INDEX(Elemek!$B$2:$B$113,MATCH(M47,Elemek!$C$2:$C$113,0))</f>
        <v>Ti</v>
      </c>
      <c r="R47" t="str">
        <f t="shared" si="1"/>
        <v>9.030532</v>
      </c>
      <c r="S47" t="str">
        <f t="shared" si="2"/>
        <v>9.030532</v>
      </c>
    </row>
    <row r="48" spans="1:19" x14ac:dyDescent="0.25">
      <c r="A48">
        <v>620</v>
      </c>
      <c r="B48" t="s">
        <v>194</v>
      </c>
      <c r="C48">
        <v>66</v>
      </c>
      <c r="D48">
        <v>28</v>
      </c>
      <c r="E48">
        <v>38</v>
      </c>
      <c r="F48" s="18" t="s">
        <v>900</v>
      </c>
      <c r="H48" t="str">
        <f>IF(B48=$H$1,COUNT($H$2:H49)+1," ")</f>
        <v xml:space="preserve"> </v>
      </c>
      <c r="L48">
        <v>47</v>
      </c>
      <c r="M48">
        <v>22</v>
      </c>
      <c r="N48">
        <v>25</v>
      </c>
      <c r="O48" s="18" t="s">
        <v>354</v>
      </c>
      <c r="P48">
        <f t="shared" si="0"/>
        <v>47</v>
      </c>
      <c r="Q48" t="str">
        <f>INDEX(Elemek!$B$2:$B$113,MATCH(M48,Elemek!$C$2:$C$113,0))</f>
        <v>Ti</v>
      </c>
      <c r="R48" t="str">
        <f t="shared" si="1"/>
        <v>9.027336</v>
      </c>
      <c r="S48" t="str">
        <f t="shared" si="2"/>
        <v>9.027336</v>
      </c>
    </row>
    <row r="49" spans="1:19" x14ac:dyDescent="0.25">
      <c r="A49">
        <v>24</v>
      </c>
      <c r="B49" t="s">
        <v>256</v>
      </c>
      <c r="C49">
        <v>88</v>
      </c>
      <c r="D49">
        <v>38</v>
      </c>
      <c r="E49">
        <v>50</v>
      </c>
      <c r="F49" s="18" t="s">
        <v>331</v>
      </c>
      <c r="H49" t="str">
        <f>IF(B49=$H$1,COUNT($H$2:H50)+1," ")</f>
        <v xml:space="preserve"> </v>
      </c>
      <c r="L49">
        <v>48</v>
      </c>
      <c r="M49">
        <v>20</v>
      </c>
      <c r="N49">
        <v>24</v>
      </c>
      <c r="O49" s="18" t="s">
        <v>355</v>
      </c>
      <c r="P49">
        <f t="shared" si="0"/>
        <v>44</v>
      </c>
      <c r="Q49" t="str">
        <f>INDEX(Elemek!$B$2:$B$113,MATCH(M49,Elemek!$C$2:$C$113,0))</f>
        <v>Ca</v>
      </c>
      <c r="R49" t="str">
        <f t="shared" si="1"/>
        <v>9.013793</v>
      </c>
      <c r="S49" t="str">
        <f t="shared" si="2"/>
        <v>9.013793</v>
      </c>
    </row>
    <row r="50" spans="1:19" x14ac:dyDescent="0.25">
      <c r="A50">
        <v>595</v>
      </c>
      <c r="B50" t="s">
        <v>99</v>
      </c>
      <c r="C50">
        <v>67</v>
      </c>
      <c r="D50">
        <v>31</v>
      </c>
      <c r="E50">
        <v>36</v>
      </c>
      <c r="F50" s="18" t="s">
        <v>875</v>
      </c>
      <c r="H50" t="str">
        <f>IF(B50=$H$1,COUNT($H$2:H51)+1," ")</f>
        <v xml:space="preserve"> </v>
      </c>
      <c r="L50">
        <v>49</v>
      </c>
      <c r="M50">
        <v>42</v>
      </c>
      <c r="N50">
        <v>52</v>
      </c>
      <c r="O50" s="18" t="s">
        <v>356</v>
      </c>
      <c r="P50">
        <f t="shared" si="0"/>
        <v>94</v>
      </c>
      <c r="Q50" t="str">
        <f>INDEX(Elemek!$B$2:$B$113,MATCH(M50,Elemek!$C$2:$C$113,0))</f>
        <v>Mo</v>
      </c>
      <c r="R50" t="str">
        <f t="shared" si="1"/>
        <v>9.011856</v>
      </c>
      <c r="S50" t="str">
        <f t="shared" si="2"/>
        <v>9.011856</v>
      </c>
    </row>
    <row r="51" spans="1:19" x14ac:dyDescent="0.25">
      <c r="A51">
        <v>214</v>
      </c>
      <c r="B51" t="s">
        <v>64</v>
      </c>
      <c r="C51">
        <v>70</v>
      </c>
      <c r="D51">
        <v>30</v>
      </c>
      <c r="E51">
        <v>40</v>
      </c>
      <c r="F51" s="18" t="s">
        <v>521</v>
      </c>
      <c r="H51" t="str">
        <f>IF(B51=$H$1,COUNT($H$2:H52)+1," ")</f>
        <v xml:space="preserve"> </v>
      </c>
      <c r="L51">
        <v>50</v>
      </c>
      <c r="M51">
        <v>41</v>
      </c>
      <c r="N51">
        <v>52</v>
      </c>
      <c r="O51" s="18" t="s">
        <v>357</v>
      </c>
      <c r="P51">
        <f t="shared" si="0"/>
        <v>93</v>
      </c>
      <c r="Q51" t="str">
        <f>INDEX(Elemek!$B$2:$B$113,MATCH(M51,Elemek!$C$2:$C$113,0))</f>
        <v>Nb</v>
      </c>
      <c r="R51" t="str">
        <f t="shared" si="1"/>
        <v>9.009051</v>
      </c>
      <c r="S51" t="str">
        <f t="shared" si="2"/>
        <v>9.009051</v>
      </c>
    </row>
    <row r="52" spans="1:19" x14ac:dyDescent="0.25">
      <c r="A52">
        <v>25</v>
      </c>
      <c r="B52" t="s">
        <v>101</v>
      </c>
      <c r="C52">
        <v>74</v>
      </c>
      <c r="D52">
        <v>32</v>
      </c>
      <c r="E52">
        <v>42</v>
      </c>
      <c r="F52" s="18" t="s">
        <v>332</v>
      </c>
      <c r="H52" t="str">
        <f>IF(B52=$H$1,COUNT($H$2:H53)+1," ")</f>
        <v xml:space="preserve"> </v>
      </c>
      <c r="L52">
        <v>51</v>
      </c>
      <c r="M52">
        <v>42</v>
      </c>
      <c r="N52">
        <v>54</v>
      </c>
      <c r="O52" s="18" t="s">
        <v>358</v>
      </c>
      <c r="P52">
        <f t="shared" si="0"/>
        <v>96</v>
      </c>
      <c r="Q52" t="str">
        <f>INDEX(Elemek!$B$2:$B$113,MATCH(M52,Elemek!$C$2:$C$113,0))</f>
        <v>Mo</v>
      </c>
      <c r="R52" t="str">
        <f t="shared" si="1"/>
        <v>8.996229</v>
      </c>
      <c r="S52" t="str">
        <f t="shared" si="2"/>
        <v>8.996229</v>
      </c>
    </row>
    <row r="53" spans="1:19" x14ac:dyDescent="0.25">
      <c r="A53">
        <v>26</v>
      </c>
      <c r="B53" t="s">
        <v>284</v>
      </c>
      <c r="C53">
        <v>49</v>
      </c>
      <c r="D53">
        <v>22</v>
      </c>
      <c r="E53">
        <v>27</v>
      </c>
      <c r="F53" s="18" t="s">
        <v>333</v>
      </c>
      <c r="H53" t="str">
        <f>IF(B53=$H$1,COUNT($H$2:H54)+1," ")</f>
        <v xml:space="preserve"> </v>
      </c>
      <c r="L53">
        <v>52</v>
      </c>
      <c r="M53">
        <v>42</v>
      </c>
      <c r="N53">
        <v>53</v>
      </c>
      <c r="O53" s="18" t="s">
        <v>359</v>
      </c>
      <c r="P53">
        <f t="shared" si="0"/>
        <v>95</v>
      </c>
      <c r="Q53" t="str">
        <f>INDEX(Elemek!$B$2:$B$113,MATCH(M53,Elemek!$C$2:$C$113,0))</f>
        <v>Mo</v>
      </c>
      <c r="R53" t="str">
        <f t="shared" si="1"/>
        <v>8.994564</v>
      </c>
      <c r="S53" t="str">
        <f t="shared" si="2"/>
        <v>8.994564</v>
      </c>
    </row>
    <row r="54" spans="1:19" x14ac:dyDescent="0.25">
      <c r="A54">
        <v>27</v>
      </c>
      <c r="B54" t="s">
        <v>260</v>
      </c>
      <c r="C54">
        <v>76</v>
      </c>
      <c r="D54">
        <v>34</v>
      </c>
      <c r="E54">
        <v>42</v>
      </c>
      <c r="F54" s="18" t="s">
        <v>334</v>
      </c>
      <c r="H54" t="str">
        <f>IF(B54=$H$1,COUNT($H$2:H55)+1," ")</f>
        <v xml:space="preserve"> </v>
      </c>
      <c r="L54">
        <v>53</v>
      </c>
      <c r="M54">
        <v>20</v>
      </c>
      <c r="N54">
        <v>22</v>
      </c>
      <c r="O54" s="18" t="s">
        <v>360</v>
      </c>
      <c r="P54">
        <f t="shared" si="0"/>
        <v>42</v>
      </c>
      <c r="Q54" t="str">
        <f>INDEX(Elemek!$B$2:$B$113,MATCH(M54,Elemek!$C$2:$C$113,0))</f>
        <v>Ca</v>
      </c>
      <c r="R54" t="str">
        <f t="shared" si="1"/>
        <v>8.989116</v>
      </c>
      <c r="S54" t="str">
        <f t="shared" si="2"/>
        <v>8.989116</v>
      </c>
    </row>
    <row r="55" spans="1:19" x14ac:dyDescent="0.25">
      <c r="A55">
        <v>28</v>
      </c>
      <c r="B55" t="s">
        <v>99</v>
      </c>
      <c r="C55">
        <v>71</v>
      </c>
      <c r="D55">
        <v>31</v>
      </c>
      <c r="E55">
        <v>40</v>
      </c>
      <c r="F55" s="18" t="s">
        <v>335</v>
      </c>
      <c r="H55" t="str">
        <f>IF(B55=$H$1,COUNT($H$2:H56)+1," ")</f>
        <v xml:space="preserve"> </v>
      </c>
      <c r="L55">
        <v>54</v>
      </c>
      <c r="M55">
        <v>18</v>
      </c>
      <c r="N55">
        <v>20</v>
      </c>
      <c r="O55" s="18" t="s">
        <v>361</v>
      </c>
      <c r="P55">
        <f t="shared" si="0"/>
        <v>38</v>
      </c>
      <c r="Q55" t="str">
        <f>INDEX(Elemek!$B$2:$B$113,MATCH(M55,Elemek!$C$2:$C$113,0))</f>
        <v>Ar</v>
      </c>
      <c r="R55" t="str">
        <f t="shared" si="1"/>
        <v>8.98487</v>
      </c>
      <c r="S55" t="str">
        <f t="shared" si="2"/>
        <v>8.98487</v>
      </c>
    </row>
    <row r="56" spans="1:19" x14ac:dyDescent="0.25">
      <c r="A56">
        <v>29</v>
      </c>
      <c r="B56" t="s">
        <v>260</v>
      </c>
      <c r="C56">
        <v>78</v>
      </c>
      <c r="D56">
        <v>34</v>
      </c>
      <c r="E56">
        <v>44</v>
      </c>
      <c r="F56" s="18" t="s">
        <v>336</v>
      </c>
      <c r="H56" t="str">
        <f>IF(B56=$H$1,COUNT($H$2:H57)+1," ")</f>
        <v xml:space="preserve"> </v>
      </c>
      <c r="L56">
        <v>55</v>
      </c>
      <c r="M56">
        <v>21</v>
      </c>
      <c r="N56">
        <v>24</v>
      </c>
      <c r="O56" s="18" t="s">
        <v>362</v>
      </c>
      <c r="P56">
        <f t="shared" si="0"/>
        <v>45</v>
      </c>
      <c r="Q56" t="str">
        <f>INDEX(Elemek!$B$2:$B$113,MATCH(M56,Elemek!$C$2:$C$113,0))</f>
        <v>Sc</v>
      </c>
      <c r="R56" t="str">
        <f t="shared" si="1"/>
        <v>8.983945</v>
      </c>
      <c r="S56" t="str">
        <f t="shared" si="2"/>
        <v>8.983945</v>
      </c>
    </row>
    <row r="57" spans="1:19" x14ac:dyDescent="0.25">
      <c r="A57">
        <v>764</v>
      </c>
      <c r="B57" t="s">
        <v>64</v>
      </c>
      <c r="C57">
        <v>62</v>
      </c>
      <c r="D57">
        <v>30</v>
      </c>
      <c r="E57">
        <v>32</v>
      </c>
      <c r="F57" s="18" t="s">
        <v>1016</v>
      </c>
      <c r="H57" t="str">
        <f>IF(B57=$H$1,COUNT($H$2:H58)+1," ")</f>
        <v xml:space="preserve"> </v>
      </c>
      <c r="L57">
        <v>56</v>
      </c>
      <c r="M57">
        <v>42</v>
      </c>
      <c r="N57">
        <v>55</v>
      </c>
      <c r="O57" s="18" t="s">
        <v>363</v>
      </c>
      <c r="P57">
        <f t="shared" si="0"/>
        <v>97</v>
      </c>
      <c r="Q57" t="str">
        <f>INDEX(Elemek!$B$2:$B$113,MATCH(M57,Elemek!$C$2:$C$113,0))</f>
        <v>Mo</v>
      </c>
      <c r="R57" t="str">
        <f t="shared" si="1"/>
        <v>8.973806</v>
      </c>
      <c r="S57" t="str">
        <f t="shared" si="2"/>
        <v>8.973806</v>
      </c>
    </row>
    <row r="58" spans="1:19" x14ac:dyDescent="0.25">
      <c r="A58">
        <v>973</v>
      </c>
      <c r="B58" t="s">
        <v>99</v>
      </c>
      <c r="C58">
        <v>68</v>
      </c>
      <c r="D58">
        <v>31</v>
      </c>
      <c r="E58">
        <v>37</v>
      </c>
      <c r="F58" s="18" t="s">
        <v>1187</v>
      </c>
      <c r="H58" t="str">
        <f>IF(B58=$H$1,COUNT($H$2:H59)+1," ")</f>
        <v xml:space="preserve"> </v>
      </c>
      <c r="L58">
        <v>57</v>
      </c>
      <c r="M58">
        <v>44</v>
      </c>
      <c r="N58">
        <v>54</v>
      </c>
      <c r="O58" s="18" t="s">
        <v>364</v>
      </c>
      <c r="P58">
        <f t="shared" si="0"/>
        <v>98</v>
      </c>
      <c r="Q58" t="str">
        <f>INDEX(Elemek!$B$2:$B$113,MATCH(M58,Elemek!$C$2:$C$113,0))</f>
        <v>Ru</v>
      </c>
      <c r="R58" t="str">
        <f t="shared" si="1"/>
        <v>8.971572</v>
      </c>
      <c r="S58" t="str">
        <f t="shared" si="2"/>
        <v>8.971572</v>
      </c>
    </row>
    <row r="59" spans="1:19" x14ac:dyDescent="0.25">
      <c r="A59">
        <v>30</v>
      </c>
      <c r="B59" t="s">
        <v>66</v>
      </c>
      <c r="C59">
        <v>90</v>
      </c>
      <c r="D59">
        <v>40</v>
      </c>
      <c r="E59">
        <v>50</v>
      </c>
      <c r="F59" s="18" t="s">
        <v>337</v>
      </c>
      <c r="H59" t="str">
        <f>IF(B59=$H$1,COUNT($H$2:H60)+1," ")</f>
        <v xml:space="preserve"> </v>
      </c>
      <c r="L59">
        <v>58</v>
      </c>
      <c r="M59">
        <v>20</v>
      </c>
      <c r="N59">
        <v>23</v>
      </c>
      <c r="O59" s="18" t="s">
        <v>365</v>
      </c>
      <c r="P59">
        <f t="shared" si="0"/>
        <v>43</v>
      </c>
      <c r="Q59" t="str">
        <f>INDEX(Elemek!$B$2:$B$113,MATCH(M59,Elemek!$C$2:$C$113,0))</f>
        <v>Ca</v>
      </c>
      <c r="R59" t="str">
        <f t="shared" si="1"/>
        <v>8.964551</v>
      </c>
      <c r="S59" t="str">
        <f t="shared" si="2"/>
        <v>8.964551</v>
      </c>
    </row>
    <row r="60" spans="1:19" x14ac:dyDescent="0.25">
      <c r="A60">
        <v>31</v>
      </c>
      <c r="B60" t="s">
        <v>128</v>
      </c>
      <c r="C60">
        <v>89</v>
      </c>
      <c r="D60">
        <v>39</v>
      </c>
      <c r="E60">
        <v>50</v>
      </c>
      <c r="F60" s="18" t="s">
        <v>338</v>
      </c>
      <c r="H60" t="str">
        <f>IF(B60=$H$1,COUNT($H$2:H61)+1," ")</f>
        <v xml:space="preserve"> </v>
      </c>
      <c r="L60">
        <v>59</v>
      </c>
      <c r="M60">
        <v>44</v>
      </c>
      <c r="N60">
        <v>56</v>
      </c>
      <c r="O60" s="18" t="s">
        <v>366</v>
      </c>
      <c r="P60">
        <f t="shared" si="0"/>
        <v>100</v>
      </c>
      <c r="Q60" t="str">
        <f>INDEX(Elemek!$B$2:$B$113,MATCH(M60,Elemek!$C$2:$C$113,0))</f>
        <v>Ru</v>
      </c>
      <c r="R60" t="str">
        <f t="shared" si="1"/>
        <v>8.963517</v>
      </c>
      <c r="S60" t="str">
        <f t="shared" si="2"/>
        <v>8.963517</v>
      </c>
    </row>
    <row r="61" spans="1:19" x14ac:dyDescent="0.25">
      <c r="A61">
        <v>726</v>
      </c>
      <c r="B61" t="s">
        <v>64</v>
      </c>
      <c r="C61">
        <v>69</v>
      </c>
      <c r="D61">
        <v>30</v>
      </c>
      <c r="E61">
        <v>39</v>
      </c>
      <c r="F61" s="18" t="s">
        <v>989</v>
      </c>
      <c r="H61" t="str">
        <f>IF(B61=$H$1,COUNT($H$2:H62)+1," ")</f>
        <v xml:space="preserve"> </v>
      </c>
      <c r="L61">
        <v>60</v>
      </c>
      <c r="M61">
        <v>44</v>
      </c>
      <c r="N61">
        <v>55</v>
      </c>
      <c r="O61" s="18" t="s">
        <v>367</v>
      </c>
      <c r="P61">
        <f t="shared" si="0"/>
        <v>99</v>
      </c>
      <c r="Q61" t="str">
        <f>INDEX(Elemek!$B$2:$B$113,MATCH(M61,Elemek!$C$2:$C$113,0))</f>
        <v>Ru</v>
      </c>
      <c r="R61" t="str">
        <f t="shared" si="1"/>
        <v>8.956348</v>
      </c>
      <c r="S61" t="str">
        <f t="shared" si="2"/>
        <v>8.956348</v>
      </c>
    </row>
    <row r="62" spans="1:19" x14ac:dyDescent="0.25">
      <c r="A62">
        <v>418</v>
      </c>
      <c r="B62" t="s">
        <v>101</v>
      </c>
      <c r="C62">
        <v>68</v>
      </c>
      <c r="D62">
        <v>32</v>
      </c>
      <c r="E62">
        <v>36</v>
      </c>
      <c r="F62" s="18" t="s">
        <v>721</v>
      </c>
      <c r="H62" t="str">
        <f>IF(B62=$H$1,COUNT($H$2:H63)+1," ")</f>
        <v xml:space="preserve"> </v>
      </c>
      <c r="L62">
        <v>61</v>
      </c>
      <c r="M62">
        <v>16</v>
      </c>
      <c r="N62">
        <v>18</v>
      </c>
      <c r="O62" s="18" t="s">
        <v>368</v>
      </c>
      <c r="P62">
        <f t="shared" si="0"/>
        <v>34</v>
      </c>
      <c r="Q62" t="str">
        <f>INDEX(Elemek!$B$2:$B$113,MATCH(M62,Elemek!$C$2:$C$113,0))</f>
        <v>S</v>
      </c>
      <c r="R62" t="str">
        <f t="shared" si="1"/>
        <v>8.951675</v>
      </c>
      <c r="S62" t="str">
        <f t="shared" si="2"/>
        <v>8.951675</v>
      </c>
    </row>
    <row r="63" spans="1:19" x14ac:dyDescent="0.25">
      <c r="A63">
        <v>534</v>
      </c>
      <c r="B63" t="s">
        <v>101</v>
      </c>
      <c r="C63">
        <v>71</v>
      </c>
      <c r="D63">
        <v>32</v>
      </c>
      <c r="E63">
        <v>39</v>
      </c>
      <c r="F63" s="18" t="s">
        <v>825</v>
      </c>
      <c r="H63" t="str">
        <f>IF(B63=$H$1,COUNT($H$2:H64)+1," ")</f>
        <v xml:space="preserve"> </v>
      </c>
      <c r="L63">
        <v>62</v>
      </c>
      <c r="M63">
        <v>18</v>
      </c>
      <c r="N63">
        <v>22</v>
      </c>
      <c r="O63" s="18" t="s">
        <v>369</v>
      </c>
      <c r="P63">
        <f t="shared" si="0"/>
        <v>40</v>
      </c>
      <c r="Q63" t="str">
        <f>INDEX(Elemek!$B$2:$B$113,MATCH(M63,Elemek!$C$2:$C$113,0))</f>
        <v>Ar</v>
      </c>
      <c r="R63" t="str">
        <f t="shared" si="1"/>
        <v>8.947325</v>
      </c>
      <c r="S63" t="str">
        <f t="shared" si="2"/>
        <v>8.947325</v>
      </c>
    </row>
    <row r="64" spans="1:19" x14ac:dyDescent="0.25">
      <c r="A64">
        <v>268</v>
      </c>
      <c r="B64" t="s">
        <v>295</v>
      </c>
      <c r="C64">
        <v>50</v>
      </c>
      <c r="D64">
        <v>23</v>
      </c>
      <c r="E64">
        <v>27</v>
      </c>
      <c r="F64" s="18" t="s">
        <v>575</v>
      </c>
      <c r="H64" t="str">
        <f>IF(B64=$H$1,COUNT($H$2:H65)+1," ")</f>
        <v xml:space="preserve"> </v>
      </c>
      <c r="L64">
        <v>63</v>
      </c>
      <c r="M64">
        <v>44</v>
      </c>
      <c r="N64">
        <v>58</v>
      </c>
      <c r="O64" s="18" t="s">
        <v>370</v>
      </c>
      <c r="P64">
        <f t="shared" si="0"/>
        <v>102</v>
      </c>
      <c r="Q64" t="str">
        <f>INDEX(Elemek!$B$2:$B$113,MATCH(M64,Elemek!$C$2:$C$113,0))</f>
        <v>Ru</v>
      </c>
      <c r="R64" t="str">
        <f t="shared" si="1"/>
        <v>8.944837</v>
      </c>
      <c r="S64" t="str">
        <f t="shared" si="2"/>
        <v>8.944837</v>
      </c>
    </row>
    <row r="65" spans="1:19" x14ac:dyDescent="0.25">
      <c r="A65">
        <v>648</v>
      </c>
      <c r="B65" t="s">
        <v>194</v>
      </c>
      <c r="C65">
        <v>57</v>
      </c>
      <c r="D65">
        <v>28</v>
      </c>
      <c r="E65">
        <v>29</v>
      </c>
      <c r="F65" s="18" t="s">
        <v>923</v>
      </c>
      <c r="H65" t="str">
        <f>IF(B65=$H$1,COUNT($H$2:H66)+1," ")</f>
        <v xml:space="preserve"> </v>
      </c>
      <c r="L65">
        <v>64</v>
      </c>
      <c r="M65">
        <v>44</v>
      </c>
      <c r="N65">
        <v>57</v>
      </c>
      <c r="O65" s="18" t="s">
        <v>371</v>
      </c>
      <c r="P65">
        <f t="shared" si="0"/>
        <v>101</v>
      </c>
      <c r="Q65" t="str">
        <f>INDEX(Elemek!$B$2:$B$113,MATCH(M65,Elemek!$C$2:$C$113,0))</f>
        <v>Ru</v>
      </c>
      <c r="R65" t="str">
        <f t="shared" si="1"/>
        <v>8.942117</v>
      </c>
      <c r="S65" t="str">
        <f t="shared" si="2"/>
        <v>8.942117</v>
      </c>
    </row>
    <row r="66" spans="1:19" x14ac:dyDescent="0.25">
      <c r="A66">
        <v>32</v>
      </c>
      <c r="B66" t="s">
        <v>256</v>
      </c>
      <c r="C66">
        <v>86</v>
      </c>
      <c r="D66">
        <v>38</v>
      </c>
      <c r="E66">
        <v>48</v>
      </c>
      <c r="F66" s="18" t="s">
        <v>339</v>
      </c>
      <c r="H66" t="str">
        <f>IF(B66=$H$1,COUNT($H$2:H67)+1," ")</f>
        <v xml:space="preserve"> </v>
      </c>
      <c r="L66">
        <v>65</v>
      </c>
      <c r="M66">
        <v>19</v>
      </c>
      <c r="N66">
        <v>22</v>
      </c>
      <c r="O66" s="18" t="s">
        <v>372</v>
      </c>
      <c r="P66">
        <f t="shared" si="0"/>
        <v>41</v>
      </c>
      <c r="Q66" t="str">
        <f>INDEX(Elemek!$B$2:$B$113,MATCH(M66,Elemek!$C$2:$C$113,0))</f>
        <v>K</v>
      </c>
      <c r="R66" t="str">
        <f t="shared" si="1"/>
        <v>8.938623</v>
      </c>
      <c r="S66" t="str">
        <f t="shared" si="2"/>
        <v>8.938623</v>
      </c>
    </row>
    <row r="67" spans="1:19" x14ac:dyDescent="0.25">
      <c r="A67">
        <v>33</v>
      </c>
      <c r="B67" t="s">
        <v>152</v>
      </c>
      <c r="C67">
        <v>82</v>
      </c>
      <c r="D67">
        <v>36</v>
      </c>
      <c r="E67">
        <v>46</v>
      </c>
      <c r="F67" s="18" t="s">
        <v>340</v>
      </c>
      <c r="H67" t="str">
        <f>IF(B67=$H$1,COUNT($H$2:H68)+1," ")</f>
        <v xml:space="preserve"> </v>
      </c>
      <c r="L67">
        <v>66</v>
      </c>
      <c r="M67">
        <v>19</v>
      </c>
      <c r="N67">
        <v>20</v>
      </c>
      <c r="O67" s="18" t="s">
        <v>373</v>
      </c>
      <c r="P67">
        <f t="shared" ref="P67:P130" si="3">N67+M67</f>
        <v>39</v>
      </c>
      <c r="Q67" t="str">
        <f>INDEX(Elemek!$B$2:$B$113,MATCH(M67,Elemek!$C$2:$C$113,0))</f>
        <v>K</v>
      </c>
      <c r="R67" t="str">
        <f t="shared" ref="R67:R130" si="4">IF(NOT(ISBLANK(O67)),O67,ROUNDDOWN(AVERAGE($O$2:$O$990),2))</f>
        <v>8.938174</v>
      </c>
      <c r="S67" t="str">
        <f t="shared" ref="S67:S130" si="5">IF(ISBLANK(O67),ROUNDDOWN(AVERAGEIF($M$2:$M$990,M67,$O$2:$O$990),2),O67)</f>
        <v>8.938174</v>
      </c>
    </row>
    <row r="68" spans="1:19" x14ac:dyDescent="0.25">
      <c r="A68">
        <v>706</v>
      </c>
      <c r="B68" t="s">
        <v>148</v>
      </c>
      <c r="C68">
        <v>55</v>
      </c>
      <c r="D68">
        <v>27</v>
      </c>
      <c r="E68">
        <v>28</v>
      </c>
      <c r="F68" s="18" t="s">
        <v>971</v>
      </c>
      <c r="H68" t="str">
        <f>IF(B68=$H$1,COUNT($H$2:H69)+1," ")</f>
        <v xml:space="preserve"> </v>
      </c>
      <c r="L68">
        <v>67</v>
      </c>
      <c r="M68">
        <v>46</v>
      </c>
      <c r="N68">
        <v>58</v>
      </c>
      <c r="O68" s="18" t="s">
        <v>374</v>
      </c>
      <c r="P68">
        <f t="shared" si="3"/>
        <v>104</v>
      </c>
      <c r="Q68" t="str">
        <f>INDEX(Elemek!$B$2:$B$113,MATCH(M68,Elemek!$C$2:$C$113,0))</f>
        <v>Pd</v>
      </c>
      <c r="R68" t="str">
        <f t="shared" si="4"/>
        <v>8.930847</v>
      </c>
      <c r="S68" t="str">
        <f t="shared" si="5"/>
        <v>8.930847</v>
      </c>
    </row>
    <row r="69" spans="1:19" x14ac:dyDescent="0.25">
      <c r="A69">
        <v>34</v>
      </c>
      <c r="B69" t="s">
        <v>152</v>
      </c>
      <c r="C69">
        <v>84</v>
      </c>
      <c r="D69">
        <v>36</v>
      </c>
      <c r="E69">
        <v>48</v>
      </c>
      <c r="F69" s="18" t="s">
        <v>341</v>
      </c>
      <c r="H69" t="str">
        <f>IF(B69=$H$1,COUNT($H$2:H70)+1," ")</f>
        <v xml:space="preserve"> </v>
      </c>
      <c r="L69">
        <v>68</v>
      </c>
      <c r="M69">
        <v>17</v>
      </c>
      <c r="N69">
        <v>20</v>
      </c>
      <c r="O69" s="18" t="s">
        <v>375</v>
      </c>
      <c r="P69">
        <f t="shared" si="3"/>
        <v>37</v>
      </c>
      <c r="Q69" t="str">
        <f>INDEX(Elemek!$B$2:$B$113,MATCH(M69,Elemek!$C$2:$C$113,0))</f>
        <v>Cl</v>
      </c>
      <c r="R69" t="str">
        <f t="shared" si="4"/>
        <v>8.92976</v>
      </c>
      <c r="S69" t="str">
        <f t="shared" si="5"/>
        <v>8.92976</v>
      </c>
    </row>
    <row r="70" spans="1:19" x14ac:dyDescent="0.25">
      <c r="A70">
        <v>412</v>
      </c>
      <c r="B70" t="s">
        <v>295</v>
      </c>
      <c r="C70">
        <v>49</v>
      </c>
      <c r="D70">
        <v>23</v>
      </c>
      <c r="E70">
        <v>26</v>
      </c>
      <c r="F70" s="18" t="s">
        <v>716</v>
      </c>
      <c r="H70" t="str">
        <f>IF(B70=$H$1,COUNT($H$2:H71)+1," ")</f>
        <v xml:space="preserve"> </v>
      </c>
      <c r="L70">
        <v>69</v>
      </c>
      <c r="M70">
        <v>45</v>
      </c>
      <c r="N70">
        <v>58</v>
      </c>
      <c r="O70" s="18" t="s">
        <v>376</v>
      </c>
      <c r="P70">
        <f t="shared" si="3"/>
        <v>103</v>
      </c>
      <c r="Q70" t="str">
        <f>INDEX(Elemek!$B$2:$B$113,MATCH(M70,Elemek!$C$2:$C$113,0))</f>
        <v>Rh</v>
      </c>
      <c r="R70" t="str">
        <f t="shared" si="4"/>
        <v>8.92591</v>
      </c>
      <c r="S70" t="str">
        <f t="shared" si="5"/>
        <v>8.92591</v>
      </c>
    </row>
    <row r="71" spans="1:19" x14ac:dyDescent="0.25">
      <c r="A71">
        <v>35</v>
      </c>
      <c r="B71" t="s">
        <v>101</v>
      </c>
      <c r="C71">
        <v>73</v>
      </c>
      <c r="D71">
        <v>32</v>
      </c>
      <c r="E71">
        <v>41</v>
      </c>
      <c r="F71" s="18" t="s">
        <v>342</v>
      </c>
      <c r="H71" t="str">
        <f>IF(B71=$H$1,COUNT($H$2:H72)+1," ")</f>
        <v xml:space="preserve"> </v>
      </c>
      <c r="L71">
        <v>70</v>
      </c>
      <c r="M71">
        <v>16</v>
      </c>
      <c r="N71">
        <v>20</v>
      </c>
      <c r="O71" s="18" t="s">
        <v>377</v>
      </c>
      <c r="P71">
        <f t="shared" si="3"/>
        <v>36</v>
      </c>
      <c r="Q71" t="str">
        <f>INDEX(Elemek!$B$2:$B$113,MATCH(M71,Elemek!$C$2:$C$113,0))</f>
        <v>S</v>
      </c>
      <c r="R71" t="str">
        <f t="shared" si="4"/>
        <v>8.923108</v>
      </c>
      <c r="S71" t="str">
        <f t="shared" si="5"/>
        <v>8.923108</v>
      </c>
    </row>
    <row r="72" spans="1:19" x14ac:dyDescent="0.25">
      <c r="A72">
        <v>212</v>
      </c>
      <c r="B72" t="s">
        <v>260</v>
      </c>
      <c r="C72">
        <v>74</v>
      </c>
      <c r="D72">
        <v>34</v>
      </c>
      <c r="E72">
        <v>40</v>
      </c>
      <c r="F72" s="18" t="s">
        <v>519</v>
      </c>
      <c r="H72" t="str">
        <f>IF(B72=$H$1,COUNT($H$2:H73)+1," ")</f>
        <v xml:space="preserve"> </v>
      </c>
      <c r="L72">
        <v>71</v>
      </c>
      <c r="M72">
        <v>46</v>
      </c>
      <c r="N72">
        <v>60</v>
      </c>
      <c r="O72" s="18" t="s">
        <v>378</v>
      </c>
      <c r="P72">
        <f t="shared" si="3"/>
        <v>106</v>
      </c>
      <c r="Q72" t="str">
        <f>INDEX(Elemek!$B$2:$B$113,MATCH(M72,Elemek!$C$2:$C$113,0))</f>
        <v>Pd</v>
      </c>
      <c r="R72" t="str">
        <f t="shared" si="4"/>
        <v>8.91946</v>
      </c>
      <c r="S72" t="str">
        <f t="shared" si="5"/>
        <v>8.91946</v>
      </c>
    </row>
    <row r="73" spans="1:19" x14ac:dyDescent="0.25">
      <c r="A73">
        <v>36</v>
      </c>
      <c r="B73" t="s">
        <v>256</v>
      </c>
      <c r="C73">
        <v>87</v>
      </c>
      <c r="D73">
        <v>38</v>
      </c>
      <c r="E73">
        <v>49</v>
      </c>
      <c r="F73" s="18" t="s">
        <v>343</v>
      </c>
      <c r="H73" t="str">
        <f>IF(B73=$H$1,COUNT($H$2:H74)+1," ")</f>
        <v xml:space="preserve"> </v>
      </c>
      <c r="L73">
        <v>72</v>
      </c>
      <c r="M73">
        <v>46</v>
      </c>
      <c r="N73">
        <v>59</v>
      </c>
      <c r="O73" s="18" t="s">
        <v>379</v>
      </c>
      <c r="P73">
        <f t="shared" si="3"/>
        <v>105</v>
      </c>
      <c r="Q73" t="str">
        <f>INDEX(Elemek!$B$2:$B$113,MATCH(M73,Elemek!$C$2:$C$113,0))</f>
        <v>Pd</v>
      </c>
      <c r="R73" t="str">
        <f t="shared" si="4"/>
        <v>8.913356</v>
      </c>
      <c r="S73" t="str">
        <f t="shared" si="5"/>
        <v>8.913356</v>
      </c>
    </row>
    <row r="74" spans="1:19" x14ac:dyDescent="0.25">
      <c r="A74">
        <v>565</v>
      </c>
      <c r="B74" t="s">
        <v>173</v>
      </c>
      <c r="C74">
        <v>52</v>
      </c>
      <c r="D74">
        <v>25</v>
      </c>
      <c r="E74">
        <v>27</v>
      </c>
      <c r="F74" s="18" t="s">
        <v>852</v>
      </c>
      <c r="H74" t="str">
        <f>IF(B74=$H$1,COUNT($H$2:H75)+1," ")</f>
        <v xml:space="preserve"> </v>
      </c>
      <c r="L74">
        <v>73</v>
      </c>
      <c r="M74">
        <v>17</v>
      </c>
      <c r="N74">
        <v>18</v>
      </c>
      <c r="O74" s="18" t="s">
        <v>380</v>
      </c>
      <c r="P74">
        <f t="shared" si="3"/>
        <v>35</v>
      </c>
      <c r="Q74" t="str">
        <f>INDEX(Elemek!$B$2:$B$113,MATCH(M74,Elemek!$C$2:$C$113,0))</f>
        <v>Cl</v>
      </c>
      <c r="R74" t="str">
        <f t="shared" si="4"/>
        <v>8.900285</v>
      </c>
      <c r="S74" t="str">
        <f t="shared" si="5"/>
        <v>8.900285</v>
      </c>
    </row>
    <row r="75" spans="1:19" x14ac:dyDescent="0.25">
      <c r="A75">
        <v>37</v>
      </c>
      <c r="B75" t="s">
        <v>29</v>
      </c>
      <c r="C75">
        <v>75</v>
      </c>
      <c r="D75">
        <v>33</v>
      </c>
      <c r="E75">
        <v>42</v>
      </c>
      <c r="F75" s="18" t="s">
        <v>344</v>
      </c>
      <c r="H75" t="str">
        <f>IF(B75=$H$1,COUNT($H$2:H76)+1," ")</f>
        <v xml:space="preserve"> </v>
      </c>
      <c r="L75">
        <v>74</v>
      </c>
      <c r="M75">
        <v>46</v>
      </c>
      <c r="N75">
        <v>62</v>
      </c>
      <c r="O75" s="18" t="s">
        <v>381</v>
      </c>
      <c r="P75">
        <f t="shared" si="3"/>
        <v>108</v>
      </c>
      <c r="Q75" t="str">
        <f>INDEX(Elemek!$B$2:$B$113,MATCH(M75,Elemek!$C$2:$C$113,0))</f>
        <v>Pd</v>
      </c>
      <c r="R75" t="str">
        <f t="shared" si="4"/>
        <v>8.900253</v>
      </c>
      <c r="S75" t="str">
        <f t="shared" si="5"/>
        <v>8.900253</v>
      </c>
    </row>
    <row r="76" spans="1:19" x14ac:dyDescent="0.25">
      <c r="A76">
        <v>38</v>
      </c>
      <c r="B76" t="s">
        <v>152</v>
      </c>
      <c r="C76">
        <v>80</v>
      </c>
      <c r="D76">
        <v>36</v>
      </c>
      <c r="E76">
        <v>44</v>
      </c>
      <c r="F76" s="18" t="s">
        <v>345</v>
      </c>
      <c r="H76" t="str">
        <f>IF(B76=$H$1,COUNT($H$2:H77)+1," ")</f>
        <v xml:space="preserve"> </v>
      </c>
      <c r="L76">
        <v>75</v>
      </c>
      <c r="M76">
        <v>47</v>
      </c>
      <c r="N76">
        <v>60</v>
      </c>
      <c r="O76" s="18" t="s">
        <v>382</v>
      </c>
      <c r="P76">
        <f t="shared" si="3"/>
        <v>107</v>
      </c>
      <c r="Q76" t="str">
        <f>INDEX(Elemek!$B$2:$B$113,MATCH(M76,Elemek!$C$2:$C$113,0))</f>
        <v>Ag</v>
      </c>
      <c r="R76" t="str">
        <f t="shared" si="4"/>
        <v>8.897514</v>
      </c>
      <c r="S76" t="str">
        <f t="shared" si="5"/>
        <v>8.897514</v>
      </c>
    </row>
    <row r="77" spans="1:19" x14ac:dyDescent="0.25">
      <c r="A77">
        <v>640</v>
      </c>
      <c r="B77" t="s">
        <v>101</v>
      </c>
      <c r="C77">
        <v>69</v>
      </c>
      <c r="D77">
        <v>32</v>
      </c>
      <c r="E77">
        <v>37</v>
      </c>
      <c r="F77" s="18" t="s">
        <v>916</v>
      </c>
      <c r="H77" t="str">
        <f>IF(B77=$H$1,COUNT($H$2:H78)+1," ")</f>
        <v xml:space="preserve"> </v>
      </c>
      <c r="L77">
        <v>76</v>
      </c>
      <c r="M77">
        <v>48</v>
      </c>
      <c r="N77">
        <v>62</v>
      </c>
      <c r="O77" s="18" t="s">
        <v>383</v>
      </c>
      <c r="P77">
        <f t="shared" si="3"/>
        <v>110</v>
      </c>
      <c r="Q77" t="str">
        <f>INDEX(Elemek!$B$2:$B$113,MATCH(M77,Elemek!$C$2:$C$113,0))</f>
        <v>Cd</v>
      </c>
      <c r="R77" t="str">
        <f t="shared" si="4"/>
        <v>8.892718</v>
      </c>
      <c r="S77" t="str">
        <f t="shared" si="5"/>
        <v>8.892718</v>
      </c>
    </row>
    <row r="78" spans="1:19" x14ac:dyDescent="0.25">
      <c r="A78">
        <v>280</v>
      </c>
      <c r="B78" t="s">
        <v>247</v>
      </c>
      <c r="C78">
        <v>87</v>
      </c>
      <c r="D78">
        <v>37</v>
      </c>
      <c r="E78">
        <v>50</v>
      </c>
      <c r="F78" s="18" t="s">
        <v>587</v>
      </c>
      <c r="H78" t="str">
        <f>IF(B78=$H$1,COUNT($H$2:H79)+1," ")</f>
        <v xml:space="preserve"> </v>
      </c>
      <c r="L78">
        <v>77</v>
      </c>
      <c r="M78">
        <v>14</v>
      </c>
      <c r="N78">
        <v>16</v>
      </c>
      <c r="O78" s="18" t="s">
        <v>384</v>
      </c>
      <c r="P78">
        <f t="shared" si="3"/>
        <v>30</v>
      </c>
      <c r="Q78" t="str">
        <f>INDEX(Elemek!$B$2:$B$113,MATCH(M78,Elemek!$C$2:$C$113,0))</f>
        <v>Si</v>
      </c>
      <c r="R78" t="str">
        <f t="shared" si="4"/>
        <v>8.885761</v>
      </c>
      <c r="S78" t="str">
        <f t="shared" si="5"/>
        <v>8.885761</v>
      </c>
    </row>
    <row r="79" spans="1:19" x14ac:dyDescent="0.25">
      <c r="A79">
        <v>454</v>
      </c>
      <c r="B79" t="s">
        <v>29</v>
      </c>
      <c r="C79">
        <v>73</v>
      </c>
      <c r="D79">
        <v>33</v>
      </c>
      <c r="E79">
        <v>40</v>
      </c>
      <c r="F79" s="18" t="s">
        <v>753</v>
      </c>
      <c r="H79" t="str">
        <f>IF(B79=$H$1,COUNT($H$2:H80)+1," ")</f>
        <v xml:space="preserve"> </v>
      </c>
      <c r="L79">
        <v>78</v>
      </c>
      <c r="M79">
        <v>47</v>
      </c>
      <c r="N79">
        <v>62</v>
      </c>
      <c r="O79" s="18" t="s">
        <v>385</v>
      </c>
      <c r="P79">
        <f t="shared" si="3"/>
        <v>109</v>
      </c>
      <c r="Q79" t="str">
        <f>INDEX(Elemek!$B$2:$B$113,MATCH(M79,Elemek!$C$2:$C$113,0))</f>
        <v>Ag</v>
      </c>
      <c r="R79" t="str">
        <f t="shared" si="4"/>
        <v>8.8853</v>
      </c>
      <c r="S79" t="str">
        <f t="shared" si="5"/>
        <v>8.8853</v>
      </c>
    </row>
    <row r="80" spans="1:19" x14ac:dyDescent="0.25">
      <c r="A80">
        <v>147</v>
      </c>
      <c r="B80" t="s">
        <v>260</v>
      </c>
      <c r="C80">
        <v>80</v>
      </c>
      <c r="D80">
        <v>34</v>
      </c>
      <c r="E80">
        <v>46</v>
      </c>
      <c r="F80" s="18" t="s">
        <v>454</v>
      </c>
      <c r="H80" t="str">
        <f>IF(B80=$H$1,COUNT($H$2:H81)+1," ")</f>
        <v xml:space="preserve"> </v>
      </c>
      <c r="L80">
        <v>79</v>
      </c>
      <c r="M80">
        <v>16</v>
      </c>
      <c r="N80">
        <v>16</v>
      </c>
      <c r="O80" s="18" t="s">
        <v>386</v>
      </c>
      <c r="P80">
        <f t="shared" si="3"/>
        <v>32</v>
      </c>
      <c r="Q80" t="str">
        <f>INDEX(Elemek!$B$2:$B$113,MATCH(M80,Elemek!$C$2:$C$113,0))</f>
        <v>S</v>
      </c>
      <c r="R80" t="str">
        <f t="shared" si="4"/>
        <v>8.884318</v>
      </c>
      <c r="S80" t="str">
        <f t="shared" si="5"/>
        <v>8.884318</v>
      </c>
    </row>
    <row r="81" spans="1:19" x14ac:dyDescent="0.25">
      <c r="A81">
        <v>39</v>
      </c>
      <c r="B81" t="s">
        <v>260</v>
      </c>
      <c r="C81">
        <v>77</v>
      </c>
      <c r="D81">
        <v>34</v>
      </c>
      <c r="E81">
        <v>43</v>
      </c>
      <c r="F81" s="18" t="s">
        <v>346</v>
      </c>
      <c r="H81" t="str">
        <f>IF(B81=$H$1,COUNT($H$2:H82)+1," ")</f>
        <v xml:space="preserve"> </v>
      </c>
      <c r="L81">
        <v>80</v>
      </c>
      <c r="M81">
        <v>16</v>
      </c>
      <c r="N81">
        <v>17</v>
      </c>
      <c r="O81" s="18" t="s">
        <v>387</v>
      </c>
      <c r="P81">
        <f t="shared" si="3"/>
        <v>33</v>
      </c>
      <c r="Q81" t="str">
        <f>INDEX(Elemek!$B$2:$B$113,MATCH(M81,Elemek!$C$2:$C$113,0))</f>
        <v>S</v>
      </c>
      <c r="R81" t="str">
        <f t="shared" si="4"/>
        <v>8.876964</v>
      </c>
      <c r="S81" t="str">
        <f t="shared" si="5"/>
        <v>8.876964</v>
      </c>
    </row>
    <row r="82" spans="1:19" x14ac:dyDescent="0.25">
      <c r="A82">
        <v>475</v>
      </c>
      <c r="B82" t="s">
        <v>256</v>
      </c>
      <c r="C82">
        <v>89</v>
      </c>
      <c r="D82">
        <v>38</v>
      </c>
      <c r="E82">
        <v>51</v>
      </c>
      <c r="F82" s="18" t="s">
        <v>771</v>
      </c>
      <c r="H82" t="str">
        <f>IF(B82=$H$1,COUNT($H$2:H83)+1," ")</f>
        <v xml:space="preserve"> </v>
      </c>
      <c r="L82">
        <v>81</v>
      </c>
      <c r="M82">
        <v>15</v>
      </c>
      <c r="N82">
        <v>16</v>
      </c>
      <c r="O82" s="18" t="s">
        <v>388</v>
      </c>
      <c r="P82">
        <f t="shared" si="3"/>
        <v>31</v>
      </c>
      <c r="Q82" t="str">
        <f>INDEX(Elemek!$B$2:$B$113,MATCH(M82,Elemek!$C$2:$C$113,0))</f>
        <v>P</v>
      </c>
      <c r="R82" t="str">
        <f t="shared" si="4"/>
        <v>8.859744</v>
      </c>
      <c r="S82" t="str">
        <f t="shared" si="5"/>
        <v>8.859744</v>
      </c>
    </row>
    <row r="83" spans="1:19" x14ac:dyDescent="0.25">
      <c r="A83">
        <v>148</v>
      </c>
      <c r="B83" t="s">
        <v>152</v>
      </c>
      <c r="C83">
        <v>86</v>
      </c>
      <c r="D83">
        <v>36</v>
      </c>
      <c r="E83">
        <v>50</v>
      </c>
      <c r="F83" s="18" t="s">
        <v>455</v>
      </c>
      <c r="H83" t="str">
        <f>IF(B83=$H$1,COUNT($H$2:H84)+1," ")</f>
        <v xml:space="preserve"> </v>
      </c>
      <c r="L83">
        <v>82</v>
      </c>
      <c r="M83">
        <v>14</v>
      </c>
      <c r="N83">
        <v>14</v>
      </c>
      <c r="O83" s="18" t="s">
        <v>389</v>
      </c>
      <c r="P83">
        <f t="shared" si="3"/>
        <v>28</v>
      </c>
      <c r="Q83" t="str">
        <f>INDEX(Elemek!$B$2:$B$113,MATCH(M83,Elemek!$C$2:$C$113,0))</f>
        <v>Si</v>
      </c>
      <c r="R83" t="str">
        <f t="shared" si="4"/>
        <v>8.838935</v>
      </c>
      <c r="S83" t="str">
        <f t="shared" si="5"/>
        <v>8.838935</v>
      </c>
    </row>
    <row r="84" spans="1:19" x14ac:dyDescent="0.25">
      <c r="A84">
        <v>40</v>
      </c>
      <c r="B84" t="s">
        <v>247</v>
      </c>
      <c r="C84">
        <v>85</v>
      </c>
      <c r="D84">
        <v>37</v>
      </c>
      <c r="E84">
        <v>48</v>
      </c>
      <c r="F84" s="18" t="s">
        <v>347</v>
      </c>
      <c r="H84" t="str">
        <f>IF(B84=$H$1,COUNT($H$2:H85)+1," ")</f>
        <v xml:space="preserve"> </v>
      </c>
      <c r="L84">
        <v>83</v>
      </c>
      <c r="M84">
        <v>14</v>
      </c>
      <c r="N84">
        <v>15</v>
      </c>
      <c r="O84" s="18" t="s">
        <v>390</v>
      </c>
      <c r="P84">
        <f t="shared" si="3"/>
        <v>29</v>
      </c>
      <c r="Q84" t="str">
        <f>INDEX(Elemek!$B$2:$B$113,MATCH(M84,Elemek!$C$2:$C$113,0))</f>
        <v>Si</v>
      </c>
      <c r="R84" t="str">
        <f t="shared" si="4"/>
        <v>8.826327</v>
      </c>
      <c r="S84" t="str">
        <f t="shared" si="5"/>
        <v>8.826327</v>
      </c>
    </row>
    <row r="85" spans="1:19" x14ac:dyDescent="0.25">
      <c r="A85">
        <v>41</v>
      </c>
      <c r="B85" t="s">
        <v>66</v>
      </c>
      <c r="C85">
        <v>91</v>
      </c>
      <c r="D85">
        <v>40</v>
      </c>
      <c r="E85">
        <v>51</v>
      </c>
      <c r="F85" s="18" t="s">
        <v>348</v>
      </c>
      <c r="H85" t="str">
        <f>IF(B85=$H$1,COUNT($H$2:H86)+1," ")</f>
        <v xml:space="preserve"> </v>
      </c>
      <c r="L85">
        <v>84</v>
      </c>
      <c r="M85">
        <v>48</v>
      </c>
      <c r="N85">
        <v>64</v>
      </c>
      <c r="O85" s="18" t="s">
        <v>391</v>
      </c>
      <c r="P85">
        <f t="shared" si="3"/>
        <v>112</v>
      </c>
      <c r="Q85" t="str">
        <f>INDEX(Elemek!$B$2:$B$113,MATCH(M85,Elemek!$C$2:$C$113,0))</f>
        <v>Cd</v>
      </c>
      <c r="R85" t="str">
        <f t="shared" si="4"/>
        <v>8.880077</v>
      </c>
      <c r="S85" t="str">
        <f t="shared" si="5"/>
        <v>8.880077</v>
      </c>
    </row>
    <row r="86" spans="1:19" x14ac:dyDescent="0.25">
      <c r="A86">
        <v>759</v>
      </c>
      <c r="B86" t="s">
        <v>99</v>
      </c>
      <c r="C86">
        <v>66</v>
      </c>
      <c r="D86">
        <v>31</v>
      </c>
      <c r="E86">
        <v>35</v>
      </c>
      <c r="F86" s="18" t="s">
        <v>1013</v>
      </c>
      <c r="H86" t="str">
        <f>IF(B86=$H$1,COUNT($H$2:H87)+1," ")</f>
        <v xml:space="preserve"> </v>
      </c>
      <c r="L86">
        <v>85</v>
      </c>
      <c r="M86">
        <v>48</v>
      </c>
      <c r="N86">
        <v>63</v>
      </c>
      <c r="O86" s="18" t="s">
        <v>392</v>
      </c>
      <c r="P86">
        <f t="shared" si="3"/>
        <v>111</v>
      </c>
      <c r="Q86" t="str">
        <f>INDEX(Elemek!$B$2:$B$113,MATCH(M86,Elemek!$C$2:$C$113,0))</f>
        <v>Cd</v>
      </c>
      <c r="R86" t="str">
        <f t="shared" si="4"/>
        <v>8.875445</v>
      </c>
      <c r="S86" t="str">
        <f t="shared" si="5"/>
        <v>8.875445</v>
      </c>
    </row>
    <row r="87" spans="1:19" x14ac:dyDescent="0.25">
      <c r="A87">
        <v>42</v>
      </c>
      <c r="B87" t="s">
        <v>152</v>
      </c>
      <c r="C87">
        <v>83</v>
      </c>
      <c r="D87">
        <v>36</v>
      </c>
      <c r="E87">
        <v>47</v>
      </c>
      <c r="F87" s="18" t="s">
        <v>349</v>
      </c>
      <c r="H87" t="str">
        <f>IF(B87=$H$1,COUNT($H$2:H88)+1," ")</f>
        <v xml:space="preserve"> </v>
      </c>
      <c r="L87">
        <v>86</v>
      </c>
      <c r="M87">
        <v>50</v>
      </c>
      <c r="N87">
        <v>64</v>
      </c>
      <c r="O87" s="18" t="s">
        <v>393</v>
      </c>
      <c r="P87">
        <f t="shared" si="3"/>
        <v>114</v>
      </c>
      <c r="Q87" t="str">
        <f>INDEX(Elemek!$B$2:$B$113,MATCH(M87,Elemek!$C$2:$C$113,0))</f>
        <v>Sn</v>
      </c>
      <c r="R87" t="str">
        <f t="shared" si="4"/>
        <v>8.865722</v>
      </c>
      <c r="S87" t="str">
        <f t="shared" si="5"/>
        <v>8.865722</v>
      </c>
    </row>
    <row r="88" spans="1:19" x14ac:dyDescent="0.25">
      <c r="A88">
        <v>256</v>
      </c>
      <c r="B88" t="s">
        <v>101</v>
      </c>
      <c r="C88">
        <v>76</v>
      </c>
      <c r="D88">
        <v>32</v>
      </c>
      <c r="E88">
        <v>44</v>
      </c>
      <c r="F88" s="18" t="s">
        <v>563</v>
      </c>
      <c r="H88" t="str">
        <f>IF(B88=$H$1,COUNT($H$2:H89)+1," ")</f>
        <v xml:space="preserve"> </v>
      </c>
      <c r="L88">
        <v>87</v>
      </c>
      <c r="M88">
        <v>49</v>
      </c>
      <c r="N88">
        <v>64</v>
      </c>
      <c r="O88" s="18" t="s">
        <v>394</v>
      </c>
      <c r="P88">
        <f t="shared" si="3"/>
        <v>113</v>
      </c>
      <c r="Q88" t="str">
        <f>INDEX(Elemek!$B$2:$B$113,MATCH(M88,Elemek!$C$2:$C$113,0))</f>
        <v>In</v>
      </c>
      <c r="R88" t="str">
        <f t="shared" si="4"/>
        <v>8.862212</v>
      </c>
      <c r="S88" t="str">
        <f t="shared" si="5"/>
        <v>8.862212</v>
      </c>
    </row>
    <row r="89" spans="1:19" x14ac:dyDescent="0.25">
      <c r="A89">
        <v>43</v>
      </c>
      <c r="B89" t="s">
        <v>54</v>
      </c>
      <c r="C89">
        <v>79</v>
      </c>
      <c r="D89">
        <v>35</v>
      </c>
      <c r="E89">
        <v>44</v>
      </c>
      <c r="F89" s="18" t="s">
        <v>350</v>
      </c>
      <c r="H89" t="str">
        <f>IF(B89=$H$1,COUNT($H$2:H90)+1," ")</f>
        <v xml:space="preserve"> </v>
      </c>
      <c r="L89">
        <v>88</v>
      </c>
      <c r="M89">
        <v>50</v>
      </c>
      <c r="N89">
        <v>66</v>
      </c>
      <c r="O89" s="18" t="s">
        <v>395</v>
      </c>
      <c r="P89">
        <f t="shared" si="3"/>
        <v>116</v>
      </c>
      <c r="Q89" t="str">
        <f>INDEX(Elemek!$B$2:$B$113,MATCH(M89,Elemek!$C$2:$C$113,0))</f>
        <v>Sn</v>
      </c>
      <c r="R89" t="str">
        <f t="shared" si="4"/>
        <v>8.860362</v>
      </c>
      <c r="S89" t="str">
        <f t="shared" si="5"/>
        <v>8.860362</v>
      </c>
    </row>
    <row r="90" spans="1:19" x14ac:dyDescent="0.25">
      <c r="A90">
        <v>44</v>
      </c>
      <c r="B90" t="s">
        <v>54</v>
      </c>
      <c r="C90">
        <v>81</v>
      </c>
      <c r="D90">
        <v>35</v>
      </c>
      <c r="E90">
        <v>46</v>
      </c>
      <c r="F90" s="18" t="s">
        <v>351</v>
      </c>
      <c r="H90" t="str">
        <f>IF(B90=$H$1,COUNT($H$2:H91)+1," ")</f>
        <v xml:space="preserve"> </v>
      </c>
      <c r="L90">
        <v>89</v>
      </c>
      <c r="M90">
        <v>50</v>
      </c>
      <c r="N90">
        <v>65</v>
      </c>
      <c r="O90" s="18" t="s">
        <v>396</v>
      </c>
      <c r="P90">
        <f t="shared" si="3"/>
        <v>115</v>
      </c>
      <c r="Q90" t="str">
        <f>INDEX(Elemek!$B$2:$B$113,MATCH(M90,Elemek!$C$2:$C$113,0))</f>
        <v>Sn</v>
      </c>
      <c r="R90" t="str">
        <f t="shared" si="4"/>
        <v>8.854249</v>
      </c>
      <c r="S90" t="str">
        <f t="shared" si="5"/>
        <v>8.854249</v>
      </c>
    </row>
    <row r="91" spans="1:19" x14ac:dyDescent="0.25">
      <c r="A91">
        <v>561</v>
      </c>
      <c r="B91" t="s">
        <v>194</v>
      </c>
      <c r="C91">
        <v>56</v>
      </c>
      <c r="D91">
        <v>28</v>
      </c>
      <c r="E91">
        <v>28</v>
      </c>
      <c r="F91" s="18" t="s">
        <v>848</v>
      </c>
      <c r="H91" t="str">
        <f>IF(B91=$H$1,COUNT($H$2:H92)+1," ")</f>
        <v xml:space="preserve"> </v>
      </c>
      <c r="L91">
        <v>90</v>
      </c>
      <c r="M91">
        <v>50</v>
      </c>
      <c r="N91">
        <v>68</v>
      </c>
      <c r="O91" s="18" t="s">
        <v>397</v>
      </c>
      <c r="P91">
        <f t="shared" si="3"/>
        <v>118</v>
      </c>
      <c r="Q91" t="str">
        <f>INDEX(Elemek!$B$2:$B$113,MATCH(M91,Elemek!$C$2:$C$113,0))</f>
        <v>Sn</v>
      </c>
      <c r="R91" t="str">
        <f t="shared" si="4"/>
        <v>8.848073</v>
      </c>
      <c r="S91" t="str">
        <f t="shared" si="5"/>
        <v>8.848073</v>
      </c>
    </row>
    <row r="92" spans="1:19" x14ac:dyDescent="0.25">
      <c r="A92">
        <v>439</v>
      </c>
      <c r="B92" t="s">
        <v>260</v>
      </c>
      <c r="C92">
        <v>75</v>
      </c>
      <c r="D92">
        <v>34</v>
      </c>
      <c r="E92">
        <v>41</v>
      </c>
      <c r="F92" s="18" t="s">
        <v>740</v>
      </c>
      <c r="H92" t="str">
        <f>IF(B92=$H$1,COUNT($H$2:H93)+1," ")</f>
        <v xml:space="preserve"> </v>
      </c>
      <c r="L92">
        <v>91</v>
      </c>
      <c r="M92">
        <v>50</v>
      </c>
      <c r="N92">
        <v>67</v>
      </c>
      <c r="O92" s="18" t="s">
        <v>398</v>
      </c>
      <c r="P92">
        <f t="shared" si="3"/>
        <v>117</v>
      </c>
      <c r="Q92" t="str">
        <f>INDEX(Elemek!$B$2:$B$113,MATCH(M92,Elemek!$C$2:$C$113,0))</f>
        <v>Sn</v>
      </c>
      <c r="R92" t="str">
        <f t="shared" si="4"/>
        <v>8.843977</v>
      </c>
      <c r="S92" t="str">
        <f t="shared" si="5"/>
        <v>8.843977</v>
      </c>
    </row>
    <row r="93" spans="1:19" x14ac:dyDescent="0.25">
      <c r="A93">
        <v>510</v>
      </c>
      <c r="B93" t="s">
        <v>247</v>
      </c>
      <c r="C93">
        <v>86</v>
      </c>
      <c r="D93">
        <v>37</v>
      </c>
      <c r="E93">
        <v>49</v>
      </c>
      <c r="F93" s="18" t="s">
        <v>803</v>
      </c>
      <c r="H93" t="str">
        <f>IF(B93=$H$1,COUNT($H$2:H94)+1," ")</f>
        <v xml:space="preserve"> </v>
      </c>
      <c r="L93">
        <v>92</v>
      </c>
      <c r="M93">
        <v>50</v>
      </c>
      <c r="N93">
        <v>70</v>
      </c>
      <c r="O93" s="18" t="s">
        <v>399</v>
      </c>
      <c r="P93">
        <f t="shared" si="3"/>
        <v>120</v>
      </c>
      <c r="Q93" t="str">
        <f>INDEX(Elemek!$B$2:$B$113,MATCH(M93,Elemek!$C$2:$C$113,0))</f>
        <v>Sn</v>
      </c>
      <c r="R93" t="str">
        <f t="shared" si="4"/>
        <v>8.830537</v>
      </c>
      <c r="S93" t="str">
        <f t="shared" si="5"/>
        <v>8.830537</v>
      </c>
    </row>
    <row r="94" spans="1:19" x14ac:dyDescent="0.25">
      <c r="A94">
        <v>45</v>
      </c>
      <c r="B94" t="s">
        <v>66</v>
      </c>
      <c r="C94">
        <v>92</v>
      </c>
      <c r="D94">
        <v>40</v>
      </c>
      <c r="E94">
        <v>52</v>
      </c>
      <c r="F94" s="18" t="s">
        <v>352</v>
      </c>
      <c r="H94" t="str">
        <f>IF(B94=$H$1,COUNT($H$2:H95)+1," ")</f>
        <v xml:space="preserve"> </v>
      </c>
      <c r="L94">
        <v>93</v>
      </c>
      <c r="M94">
        <v>50</v>
      </c>
      <c r="N94">
        <v>69</v>
      </c>
      <c r="O94" s="18" t="s">
        <v>400</v>
      </c>
      <c r="P94">
        <f t="shared" si="3"/>
        <v>119</v>
      </c>
      <c r="Q94" t="str">
        <f>INDEX(Elemek!$B$2:$B$113,MATCH(M94,Elemek!$C$2:$C$113,0))</f>
        <v>Sn</v>
      </c>
      <c r="R94" t="str">
        <f t="shared" si="4"/>
        <v>8.828201</v>
      </c>
      <c r="S94" t="str">
        <f t="shared" si="5"/>
        <v>8.828201</v>
      </c>
    </row>
    <row r="95" spans="1:19" x14ac:dyDescent="0.25">
      <c r="A95">
        <v>312</v>
      </c>
      <c r="B95" t="s">
        <v>260</v>
      </c>
      <c r="C95">
        <v>79</v>
      </c>
      <c r="D95">
        <v>34</v>
      </c>
      <c r="E95">
        <v>45</v>
      </c>
      <c r="F95" s="18" t="s">
        <v>619</v>
      </c>
      <c r="H95" t="str">
        <f>IF(B95=$H$1,COUNT($H$2:H96)+1," ")</f>
        <v xml:space="preserve"> </v>
      </c>
      <c r="L95">
        <v>94</v>
      </c>
      <c r="M95">
        <v>51</v>
      </c>
      <c r="N95">
        <v>70</v>
      </c>
      <c r="O95" s="18" t="s">
        <v>401</v>
      </c>
      <c r="P95">
        <f t="shared" si="3"/>
        <v>121</v>
      </c>
      <c r="Q95" t="str">
        <f>INDEX(Elemek!$B$2:$B$113,MATCH(M95,Elemek!$C$2:$C$113,0))</f>
        <v>Sb</v>
      </c>
      <c r="R95" t="str">
        <f t="shared" si="4"/>
        <v>8.811783</v>
      </c>
      <c r="S95" t="str">
        <f t="shared" si="5"/>
        <v>8.811783</v>
      </c>
    </row>
    <row r="96" spans="1:19" x14ac:dyDescent="0.25">
      <c r="A96">
        <v>609</v>
      </c>
      <c r="B96" t="s">
        <v>128</v>
      </c>
      <c r="C96">
        <v>90</v>
      </c>
      <c r="D96">
        <v>39</v>
      </c>
      <c r="E96">
        <v>51</v>
      </c>
      <c r="F96" s="18" t="s">
        <v>889</v>
      </c>
      <c r="H96" t="str">
        <f>IF(B96=$H$1,COUNT($H$2:H97)+1," ")</f>
        <v xml:space="preserve"> </v>
      </c>
      <c r="L96">
        <v>95</v>
      </c>
      <c r="M96">
        <v>52</v>
      </c>
      <c r="N96">
        <v>70</v>
      </c>
      <c r="O96" s="18" t="s">
        <v>402</v>
      </c>
      <c r="P96">
        <f t="shared" si="3"/>
        <v>122</v>
      </c>
      <c r="Q96" t="str">
        <f>INDEX(Elemek!$B$2:$B$113,MATCH(M96,Elemek!$C$2:$C$113,0))</f>
        <v>Te</v>
      </c>
      <c r="R96" t="str">
        <f t="shared" si="4"/>
        <v>8.811606</v>
      </c>
      <c r="S96" t="str">
        <f t="shared" si="5"/>
        <v>8.811606</v>
      </c>
    </row>
    <row r="97" spans="1:19" x14ac:dyDescent="0.25">
      <c r="A97">
        <v>149</v>
      </c>
      <c r="B97" t="s">
        <v>256</v>
      </c>
      <c r="C97">
        <v>84</v>
      </c>
      <c r="D97">
        <v>38</v>
      </c>
      <c r="E97">
        <v>46</v>
      </c>
      <c r="F97" s="18" t="s">
        <v>456</v>
      </c>
      <c r="H97" t="str">
        <f>IF(B97=$H$1,COUNT($H$2:H98)+1," ")</f>
        <v xml:space="preserve"> </v>
      </c>
      <c r="L97">
        <v>96</v>
      </c>
      <c r="M97">
        <v>52</v>
      </c>
      <c r="N97">
        <v>72</v>
      </c>
      <c r="O97" s="18" t="s">
        <v>403</v>
      </c>
      <c r="P97">
        <f t="shared" si="3"/>
        <v>124</v>
      </c>
      <c r="Q97" t="str">
        <f>INDEX(Elemek!$B$2:$B$113,MATCH(M97,Elemek!$C$2:$C$113,0))</f>
        <v>Te</v>
      </c>
      <c r="R97" t="str">
        <f t="shared" si="4"/>
        <v>8.801364</v>
      </c>
      <c r="S97" t="str">
        <f t="shared" si="5"/>
        <v>8.801364</v>
      </c>
    </row>
    <row r="98" spans="1:19" x14ac:dyDescent="0.25">
      <c r="A98">
        <v>642</v>
      </c>
      <c r="B98" t="s">
        <v>29</v>
      </c>
      <c r="C98">
        <v>77</v>
      </c>
      <c r="D98">
        <v>33</v>
      </c>
      <c r="E98">
        <v>44</v>
      </c>
      <c r="F98" s="18" t="s">
        <v>917</v>
      </c>
      <c r="H98" t="str">
        <f>IF(B98=$H$1,COUNT($H$2:H99)+1," ")</f>
        <v xml:space="preserve"> </v>
      </c>
      <c r="L98">
        <v>97</v>
      </c>
      <c r="M98">
        <v>51</v>
      </c>
      <c r="N98">
        <v>72</v>
      </c>
      <c r="O98" s="18" t="s">
        <v>404</v>
      </c>
      <c r="P98">
        <f t="shared" si="3"/>
        <v>123</v>
      </c>
      <c r="Q98" t="str">
        <f>INDEX(Elemek!$B$2:$B$113,MATCH(M98,Elemek!$C$2:$C$113,0))</f>
        <v>Sb</v>
      </c>
      <c r="R98" t="str">
        <f t="shared" si="4"/>
        <v>8.796727</v>
      </c>
      <c r="S98" t="str">
        <f t="shared" si="5"/>
        <v>8.796727</v>
      </c>
    </row>
    <row r="99" spans="1:19" x14ac:dyDescent="0.25">
      <c r="A99">
        <v>46</v>
      </c>
      <c r="B99" t="s">
        <v>284</v>
      </c>
      <c r="C99">
        <v>46</v>
      </c>
      <c r="D99">
        <v>22</v>
      </c>
      <c r="E99">
        <v>24</v>
      </c>
      <c r="F99" s="18" t="s">
        <v>353</v>
      </c>
      <c r="H99" t="str">
        <f>IF(B99=$H$1,COUNT($H$2:H100)+1," ")</f>
        <v xml:space="preserve"> </v>
      </c>
      <c r="L99">
        <v>98</v>
      </c>
      <c r="M99">
        <v>52</v>
      </c>
      <c r="N99">
        <v>74</v>
      </c>
      <c r="O99" s="18" t="s">
        <v>405</v>
      </c>
      <c r="P99">
        <f t="shared" si="3"/>
        <v>126</v>
      </c>
      <c r="Q99" t="str">
        <f>INDEX(Elemek!$B$2:$B$113,MATCH(M99,Elemek!$C$2:$C$113,0))</f>
        <v>Te</v>
      </c>
      <c r="R99" t="str">
        <f t="shared" si="4"/>
        <v>8.786126</v>
      </c>
      <c r="S99" t="str">
        <f t="shared" si="5"/>
        <v>8.786126</v>
      </c>
    </row>
    <row r="100" spans="1:19" x14ac:dyDescent="0.25">
      <c r="A100">
        <v>315</v>
      </c>
      <c r="B100" t="s">
        <v>152</v>
      </c>
      <c r="C100">
        <v>81</v>
      </c>
      <c r="D100">
        <v>36</v>
      </c>
      <c r="E100">
        <v>45</v>
      </c>
      <c r="F100" s="18" t="s">
        <v>622</v>
      </c>
      <c r="H100" t="str">
        <f>IF(B100=$H$1,COUNT($H$2:H101)+1," ")</f>
        <v xml:space="preserve"> </v>
      </c>
      <c r="L100">
        <v>99</v>
      </c>
      <c r="M100">
        <v>52</v>
      </c>
      <c r="N100">
        <v>73</v>
      </c>
      <c r="O100" s="18" t="s">
        <v>406</v>
      </c>
      <c r="P100">
        <f t="shared" si="3"/>
        <v>125</v>
      </c>
      <c r="Q100" t="str">
        <f>INDEX(Elemek!$B$2:$B$113,MATCH(M100,Elemek!$C$2:$C$113,0))</f>
        <v>Te</v>
      </c>
      <c r="R100" t="str">
        <f t="shared" si="4"/>
        <v>8.783505</v>
      </c>
      <c r="S100" t="str">
        <f t="shared" si="5"/>
        <v>8.783505</v>
      </c>
    </row>
    <row r="101" spans="1:19" x14ac:dyDescent="0.25">
      <c r="A101">
        <v>379</v>
      </c>
      <c r="B101" t="s">
        <v>152</v>
      </c>
      <c r="C101">
        <v>85</v>
      </c>
      <c r="D101">
        <v>36</v>
      </c>
      <c r="E101">
        <v>49</v>
      </c>
      <c r="F101" s="18" t="s">
        <v>683</v>
      </c>
      <c r="H101" t="str">
        <f>IF(B101=$H$1,COUNT($H$2:H102)+1," ")</f>
        <v xml:space="preserve"> </v>
      </c>
      <c r="L101">
        <v>100</v>
      </c>
      <c r="M101">
        <v>54</v>
      </c>
      <c r="N101">
        <v>74</v>
      </c>
      <c r="O101" s="18" t="s">
        <v>407</v>
      </c>
      <c r="P101">
        <f t="shared" si="3"/>
        <v>128</v>
      </c>
      <c r="Q101" t="str">
        <f>INDEX(Elemek!$B$2:$B$113,MATCH(M101,Elemek!$C$2:$C$113,0))</f>
        <v>Xe</v>
      </c>
      <c r="R101" t="str">
        <f t="shared" si="4"/>
        <v>8.773359</v>
      </c>
      <c r="S101" t="str">
        <f t="shared" si="5"/>
        <v>8.773359</v>
      </c>
    </row>
    <row r="102" spans="1:19" x14ac:dyDescent="0.25">
      <c r="A102">
        <v>954</v>
      </c>
      <c r="B102" t="s">
        <v>101</v>
      </c>
      <c r="C102">
        <v>75</v>
      </c>
      <c r="D102">
        <v>32</v>
      </c>
      <c r="E102">
        <v>43</v>
      </c>
      <c r="F102" s="18" t="s">
        <v>1171</v>
      </c>
      <c r="H102" t="str">
        <f>IF(B102=$H$1,COUNT($H$2:H103)+1," ")</f>
        <v xml:space="preserve"> </v>
      </c>
      <c r="L102">
        <v>101</v>
      </c>
      <c r="M102">
        <v>53</v>
      </c>
      <c r="N102">
        <v>74</v>
      </c>
      <c r="O102" s="18" t="s">
        <v>408</v>
      </c>
      <c r="P102">
        <f t="shared" si="3"/>
        <v>127</v>
      </c>
      <c r="Q102" t="str">
        <f>INDEX(Elemek!$B$2:$B$113,MATCH(M102,Elemek!$C$2:$C$113,0))</f>
        <v>I</v>
      </c>
      <c r="R102" t="str">
        <f t="shared" si="4"/>
        <v>8.771981</v>
      </c>
      <c r="S102" t="str">
        <f t="shared" si="5"/>
        <v>8.771981</v>
      </c>
    </row>
    <row r="103" spans="1:19" x14ac:dyDescent="0.25">
      <c r="A103">
        <v>444</v>
      </c>
      <c r="B103" t="s">
        <v>128</v>
      </c>
      <c r="C103">
        <v>88</v>
      </c>
      <c r="D103">
        <v>39</v>
      </c>
      <c r="E103">
        <v>49</v>
      </c>
      <c r="F103" s="18" t="s">
        <v>744</v>
      </c>
      <c r="H103" t="str">
        <f>IF(B103=$H$1,COUNT($H$2:H104)+1," ")</f>
        <v xml:space="preserve"> </v>
      </c>
      <c r="L103">
        <v>102</v>
      </c>
      <c r="M103">
        <v>54</v>
      </c>
      <c r="N103">
        <v>76</v>
      </c>
      <c r="O103" s="18" t="s">
        <v>409</v>
      </c>
      <c r="P103">
        <f t="shared" si="3"/>
        <v>130</v>
      </c>
      <c r="Q103" t="str">
        <f>INDEX(Elemek!$B$2:$B$113,MATCH(M103,Elemek!$C$2:$C$113,0))</f>
        <v>Xe</v>
      </c>
      <c r="R103" t="str">
        <f t="shared" si="4"/>
        <v>8.762725</v>
      </c>
      <c r="S103" t="str">
        <f t="shared" si="5"/>
        <v>8.762725</v>
      </c>
    </row>
    <row r="104" spans="1:19" x14ac:dyDescent="0.25">
      <c r="A104">
        <v>512</v>
      </c>
      <c r="B104" t="s">
        <v>29</v>
      </c>
      <c r="C104">
        <v>74</v>
      </c>
      <c r="D104">
        <v>33</v>
      </c>
      <c r="E104">
        <v>41</v>
      </c>
      <c r="F104" s="18" t="s">
        <v>805</v>
      </c>
      <c r="H104" t="str">
        <f>IF(B104=$H$1,COUNT($H$2:H105)+1," ")</f>
        <v xml:space="preserve"> </v>
      </c>
      <c r="L104">
        <v>103</v>
      </c>
      <c r="M104">
        <v>54</v>
      </c>
      <c r="N104">
        <v>75</v>
      </c>
      <c r="O104" s="18" t="s">
        <v>410</v>
      </c>
      <c r="P104">
        <f t="shared" si="3"/>
        <v>129</v>
      </c>
      <c r="Q104" t="str">
        <f>INDEX(Elemek!$B$2:$B$113,MATCH(M104,Elemek!$C$2:$C$113,0))</f>
        <v>Xe</v>
      </c>
      <c r="R104" t="str">
        <f t="shared" si="4"/>
        <v>8.758904</v>
      </c>
      <c r="S104" t="str">
        <f t="shared" si="5"/>
        <v>8.758904</v>
      </c>
    </row>
    <row r="105" spans="1:19" x14ac:dyDescent="0.25">
      <c r="A105">
        <v>606</v>
      </c>
      <c r="B105" t="s">
        <v>29</v>
      </c>
      <c r="C105">
        <v>71</v>
      </c>
      <c r="D105">
        <v>33</v>
      </c>
      <c r="E105">
        <v>38</v>
      </c>
      <c r="F105" s="18" t="s">
        <v>886</v>
      </c>
      <c r="H105" t="str">
        <f>IF(B105=$H$1,COUNT($H$2:H106)+1," ")</f>
        <v xml:space="preserve"> </v>
      </c>
      <c r="L105">
        <v>104</v>
      </c>
      <c r="M105">
        <v>54</v>
      </c>
      <c r="N105">
        <v>78</v>
      </c>
      <c r="O105" s="18" t="s">
        <v>411</v>
      </c>
      <c r="P105">
        <f t="shared" si="3"/>
        <v>132</v>
      </c>
      <c r="Q105" t="str">
        <f>INDEX(Elemek!$B$2:$B$113,MATCH(M105,Elemek!$C$2:$C$113,0))</f>
        <v>Xe</v>
      </c>
      <c r="R105" t="str">
        <f t="shared" si="4"/>
        <v>8.747695</v>
      </c>
      <c r="S105" t="str">
        <f t="shared" si="5"/>
        <v>8.747695</v>
      </c>
    </row>
    <row r="106" spans="1:19" x14ac:dyDescent="0.25">
      <c r="A106">
        <v>47</v>
      </c>
      <c r="B106" t="s">
        <v>284</v>
      </c>
      <c r="C106">
        <v>47</v>
      </c>
      <c r="D106">
        <v>22</v>
      </c>
      <c r="E106">
        <v>25</v>
      </c>
      <c r="F106" s="18" t="s">
        <v>354</v>
      </c>
      <c r="H106" t="str">
        <f>IF(B106=$H$1,COUNT($H$2:H107)+1," ")</f>
        <v xml:space="preserve"> </v>
      </c>
      <c r="L106">
        <v>105</v>
      </c>
      <c r="M106">
        <v>54</v>
      </c>
      <c r="N106">
        <v>77</v>
      </c>
      <c r="O106" s="18" t="s">
        <v>412</v>
      </c>
      <c r="P106">
        <f t="shared" si="3"/>
        <v>131</v>
      </c>
      <c r="Q106" t="str">
        <f>INDEX(Elemek!$B$2:$B$113,MATCH(M106,Elemek!$C$2:$C$113,0))</f>
        <v>Xe</v>
      </c>
      <c r="R106" t="str">
        <f t="shared" si="4"/>
        <v>8.746253</v>
      </c>
      <c r="S106" t="str">
        <f t="shared" si="5"/>
        <v>8.746253</v>
      </c>
    </row>
    <row r="107" spans="1:19" x14ac:dyDescent="0.25">
      <c r="A107">
        <v>368</v>
      </c>
      <c r="B107" t="s">
        <v>256</v>
      </c>
      <c r="C107">
        <v>90</v>
      </c>
      <c r="D107">
        <v>38</v>
      </c>
      <c r="E107">
        <v>52</v>
      </c>
      <c r="F107" s="18" t="s">
        <v>674</v>
      </c>
      <c r="H107" t="str">
        <f>IF(B107=$H$1,COUNT($H$2:H108)+1," ")</f>
        <v xml:space="preserve"> </v>
      </c>
      <c r="L107">
        <v>106</v>
      </c>
      <c r="M107">
        <v>56</v>
      </c>
      <c r="N107">
        <v>78</v>
      </c>
      <c r="O107" s="18" t="s">
        <v>413</v>
      </c>
      <c r="P107">
        <f t="shared" si="3"/>
        <v>134</v>
      </c>
      <c r="Q107" t="str">
        <f>INDEX(Elemek!$B$2:$B$113,MATCH(M107,Elemek!$C$2:$C$113,0))</f>
        <v>Ba</v>
      </c>
      <c r="R107" t="str">
        <f t="shared" si="4"/>
        <v>8.735133</v>
      </c>
      <c r="S107" t="str">
        <f t="shared" si="5"/>
        <v>8.735133</v>
      </c>
    </row>
    <row r="108" spans="1:19" x14ac:dyDescent="0.25">
      <c r="A108">
        <v>816</v>
      </c>
      <c r="B108" t="s">
        <v>99</v>
      </c>
      <c r="C108">
        <v>73</v>
      </c>
      <c r="D108">
        <v>31</v>
      </c>
      <c r="E108">
        <v>42</v>
      </c>
      <c r="F108" s="18" t="s">
        <v>1060</v>
      </c>
      <c r="H108" t="str">
        <f>IF(B108=$H$1,COUNT($H$2:H109)+1," ")</f>
        <v xml:space="preserve"> </v>
      </c>
      <c r="L108">
        <v>107</v>
      </c>
      <c r="M108">
        <v>55</v>
      </c>
      <c r="N108">
        <v>78</v>
      </c>
      <c r="O108" s="18" t="s">
        <v>414</v>
      </c>
      <c r="P108">
        <f t="shared" si="3"/>
        <v>133</v>
      </c>
      <c r="Q108" t="str">
        <f>INDEX(Elemek!$B$2:$B$113,MATCH(M108,Elemek!$C$2:$C$113,0))</f>
        <v>Cs</v>
      </c>
      <c r="R108" t="str">
        <f t="shared" si="4"/>
        <v>8.733515</v>
      </c>
      <c r="S108" t="str">
        <f t="shared" si="5"/>
        <v>8.733515</v>
      </c>
    </row>
    <row r="109" spans="1:19" x14ac:dyDescent="0.25">
      <c r="A109">
        <v>593</v>
      </c>
      <c r="B109" t="s">
        <v>128</v>
      </c>
      <c r="C109">
        <v>87</v>
      </c>
      <c r="D109">
        <v>39</v>
      </c>
      <c r="E109">
        <v>48</v>
      </c>
      <c r="F109" s="18" t="s">
        <v>873</v>
      </c>
      <c r="H109" t="str">
        <f>IF(B109=$H$1,COUNT($H$2:H110)+1," ")</f>
        <v xml:space="preserve"> </v>
      </c>
      <c r="L109">
        <v>108</v>
      </c>
      <c r="M109">
        <v>56</v>
      </c>
      <c r="N109">
        <v>80</v>
      </c>
      <c r="O109" s="18" t="s">
        <v>415</v>
      </c>
      <c r="P109">
        <f t="shared" si="3"/>
        <v>136</v>
      </c>
      <c r="Q109" t="str">
        <f>INDEX(Elemek!$B$2:$B$113,MATCH(M109,Elemek!$C$2:$C$113,0))</f>
        <v>Ba</v>
      </c>
      <c r="R109" t="str">
        <f t="shared" si="4"/>
        <v>8.724908</v>
      </c>
      <c r="S109" t="str">
        <f t="shared" si="5"/>
        <v>8.724908</v>
      </c>
    </row>
    <row r="110" spans="1:19" x14ac:dyDescent="0.25">
      <c r="A110">
        <v>463</v>
      </c>
      <c r="B110" t="s">
        <v>256</v>
      </c>
      <c r="C110">
        <v>85</v>
      </c>
      <c r="D110">
        <v>38</v>
      </c>
      <c r="E110">
        <v>47</v>
      </c>
      <c r="F110" s="18" t="s">
        <v>761</v>
      </c>
      <c r="H110" t="str">
        <f>IF(B110=$H$1,COUNT($H$2:H111)+1," ")</f>
        <v xml:space="preserve"> </v>
      </c>
      <c r="L110">
        <v>109</v>
      </c>
      <c r="M110">
        <v>56</v>
      </c>
      <c r="N110">
        <v>79</v>
      </c>
      <c r="O110" s="18" t="s">
        <v>416</v>
      </c>
      <c r="P110">
        <f t="shared" si="3"/>
        <v>135</v>
      </c>
      <c r="Q110" t="str">
        <f>INDEX(Elemek!$B$2:$B$113,MATCH(M110,Elemek!$C$2:$C$113,0))</f>
        <v>Ba</v>
      </c>
      <c r="R110" t="str">
        <f t="shared" si="4"/>
        <v>8.722072</v>
      </c>
      <c r="S110" t="str">
        <f t="shared" si="5"/>
        <v>8.722072</v>
      </c>
    </row>
    <row r="111" spans="1:19" x14ac:dyDescent="0.25">
      <c r="A111">
        <v>594</v>
      </c>
      <c r="B111" t="s">
        <v>66</v>
      </c>
      <c r="C111">
        <v>89</v>
      </c>
      <c r="D111">
        <v>40</v>
      </c>
      <c r="E111">
        <v>49</v>
      </c>
      <c r="F111" s="18" t="s">
        <v>874</v>
      </c>
      <c r="H111" t="str">
        <f>IF(B111=$H$1,COUNT($H$2:H112)+1," ")</f>
        <v xml:space="preserve"> </v>
      </c>
      <c r="L111">
        <v>110</v>
      </c>
      <c r="M111">
        <v>56</v>
      </c>
      <c r="N111">
        <v>81</v>
      </c>
      <c r="O111" s="18" t="s">
        <v>417</v>
      </c>
      <c r="P111">
        <f t="shared" si="3"/>
        <v>137</v>
      </c>
      <c r="Q111" t="str">
        <f>INDEX(Elemek!$B$2:$B$113,MATCH(M111,Elemek!$C$2:$C$113,0))</f>
        <v>Ba</v>
      </c>
      <c r="R111" t="str">
        <f t="shared" si="4"/>
        <v>8.711628</v>
      </c>
      <c r="S111" t="str">
        <f t="shared" si="5"/>
        <v>8.711628</v>
      </c>
    </row>
    <row r="112" spans="1:19" x14ac:dyDescent="0.25">
      <c r="A112">
        <v>451</v>
      </c>
      <c r="B112" t="s">
        <v>247</v>
      </c>
      <c r="C112">
        <v>83</v>
      </c>
      <c r="D112">
        <v>37</v>
      </c>
      <c r="E112">
        <v>46</v>
      </c>
      <c r="F112" s="18" t="s">
        <v>750</v>
      </c>
      <c r="H112" t="str">
        <f>IF(B112=$H$1,COUNT($H$2:H113)+1," ")</f>
        <v xml:space="preserve"> </v>
      </c>
      <c r="L112">
        <v>111</v>
      </c>
      <c r="M112">
        <v>56</v>
      </c>
      <c r="N112">
        <v>82</v>
      </c>
      <c r="O112" s="18" t="s">
        <v>418</v>
      </c>
      <c r="P112">
        <f t="shared" si="3"/>
        <v>138</v>
      </c>
      <c r="Q112" t="str">
        <f>INDEX(Elemek!$B$2:$B$113,MATCH(M112,Elemek!$C$2:$C$113,0))</f>
        <v>Ba</v>
      </c>
      <c r="R112" t="str">
        <f t="shared" si="4"/>
        <v>8.710904</v>
      </c>
      <c r="S112" t="str">
        <f t="shared" si="5"/>
        <v>8.710904</v>
      </c>
    </row>
    <row r="113" spans="1:19" x14ac:dyDescent="0.25">
      <c r="A113">
        <v>725</v>
      </c>
      <c r="B113" t="s">
        <v>99</v>
      </c>
      <c r="C113">
        <v>72</v>
      </c>
      <c r="D113">
        <v>31</v>
      </c>
      <c r="E113">
        <v>41</v>
      </c>
      <c r="F113" s="18" t="s">
        <v>988</v>
      </c>
      <c r="H113" t="str">
        <f>IF(B113=$H$1,COUNT($H$2:H114)+1," ")</f>
        <v xml:space="preserve"> </v>
      </c>
      <c r="L113">
        <v>112</v>
      </c>
      <c r="M113">
        <v>13</v>
      </c>
      <c r="N113">
        <v>14</v>
      </c>
      <c r="O113" s="18" t="s">
        <v>419</v>
      </c>
      <c r="P113">
        <f t="shared" si="3"/>
        <v>27</v>
      </c>
      <c r="Q113" t="str">
        <f>INDEX(Elemek!$B$2:$B$113,MATCH(M113,Elemek!$C$2:$C$113,0))</f>
        <v>Al</v>
      </c>
      <c r="R113" t="str">
        <f t="shared" si="4"/>
        <v>8.708242</v>
      </c>
      <c r="S113" t="str">
        <f t="shared" si="5"/>
        <v>8.708242</v>
      </c>
    </row>
    <row r="114" spans="1:19" x14ac:dyDescent="0.25">
      <c r="A114">
        <v>341</v>
      </c>
      <c r="B114" t="s">
        <v>197</v>
      </c>
      <c r="C114">
        <v>91</v>
      </c>
      <c r="D114">
        <v>41</v>
      </c>
      <c r="E114">
        <v>50</v>
      </c>
      <c r="F114" s="18" t="s">
        <v>648</v>
      </c>
      <c r="H114" t="str">
        <f>IF(B114=$H$1,COUNT($H$2:H115)+1," ")</f>
        <v xml:space="preserve"> </v>
      </c>
      <c r="L114">
        <v>113</v>
      </c>
      <c r="M114">
        <v>58</v>
      </c>
      <c r="N114">
        <v>82</v>
      </c>
      <c r="O114" s="18" t="s">
        <v>420</v>
      </c>
      <c r="P114">
        <f t="shared" si="3"/>
        <v>140</v>
      </c>
      <c r="Q114" t="str">
        <f>INDEX(Elemek!$B$2:$B$113,MATCH(M114,Elemek!$C$2:$C$113,0))</f>
        <v>Ce</v>
      </c>
      <c r="R114" t="str">
        <f t="shared" si="4"/>
        <v>8.700494</v>
      </c>
      <c r="S114" t="str">
        <f t="shared" si="5"/>
        <v>8.700494</v>
      </c>
    </row>
    <row r="115" spans="1:19" x14ac:dyDescent="0.25">
      <c r="A115">
        <v>891</v>
      </c>
      <c r="B115" t="s">
        <v>54</v>
      </c>
      <c r="C115">
        <v>83</v>
      </c>
      <c r="D115">
        <v>35</v>
      </c>
      <c r="E115">
        <v>48</v>
      </c>
      <c r="F115" s="18" t="s">
        <v>1120</v>
      </c>
      <c r="H115" t="str">
        <f>IF(B115=$H$1,COUNT($H$2:H116)+1," ")</f>
        <v xml:space="preserve"> </v>
      </c>
      <c r="L115">
        <v>114</v>
      </c>
      <c r="M115">
        <v>57</v>
      </c>
      <c r="N115">
        <v>82</v>
      </c>
      <c r="O115" s="18" t="s">
        <v>421</v>
      </c>
      <c r="P115">
        <f t="shared" si="3"/>
        <v>139</v>
      </c>
      <c r="Q115" t="str">
        <f>INDEX(Elemek!$B$2:$B$113,MATCH(M115,Elemek!$C$2:$C$113,0))</f>
        <v>La</v>
      </c>
      <c r="R115" t="str">
        <f t="shared" si="4"/>
        <v>8.698892</v>
      </c>
      <c r="S115" t="str">
        <f t="shared" si="5"/>
        <v>8.698892</v>
      </c>
    </row>
    <row r="116" spans="1:19" x14ac:dyDescent="0.25">
      <c r="A116">
        <v>669</v>
      </c>
      <c r="B116" t="s">
        <v>29</v>
      </c>
      <c r="C116">
        <v>76</v>
      </c>
      <c r="D116">
        <v>33</v>
      </c>
      <c r="E116">
        <v>43</v>
      </c>
      <c r="F116" s="18" t="s">
        <v>941</v>
      </c>
      <c r="H116" t="str">
        <f>IF(B116=$H$1,COUNT($H$2:H117)+1," ")</f>
        <v xml:space="preserve"> </v>
      </c>
      <c r="L116">
        <v>115</v>
      </c>
      <c r="M116">
        <v>12</v>
      </c>
      <c r="N116">
        <v>14</v>
      </c>
      <c r="O116" s="18" t="s">
        <v>422</v>
      </c>
      <c r="P116">
        <f t="shared" si="3"/>
        <v>26</v>
      </c>
      <c r="Q116" t="str">
        <f>INDEX(Elemek!$B$2:$B$113,MATCH(M116,Elemek!$C$2:$C$113,0))</f>
        <v>Mg</v>
      </c>
      <c r="R116" t="str">
        <f t="shared" si="4"/>
        <v>8.694981</v>
      </c>
      <c r="S116" t="str">
        <f t="shared" si="5"/>
        <v>8.694981</v>
      </c>
    </row>
    <row r="117" spans="1:19" x14ac:dyDescent="0.25">
      <c r="A117">
        <v>615</v>
      </c>
      <c r="B117" t="s">
        <v>54</v>
      </c>
      <c r="C117">
        <v>77</v>
      </c>
      <c r="D117">
        <v>35</v>
      </c>
      <c r="E117">
        <v>42</v>
      </c>
      <c r="F117" s="18" t="s">
        <v>895</v>
      </c>
      <c r="H117" t="str">
        <f>IF(B117=$H$1,COUNT($H$2:H118)+1," ")</f>
        <v xml:space="preserve"> </v>
      </c>
      <c r="L117">
        <v>116</v>
      </c>
      <c r="M117">
        <v>59</v>
      </c>
      <c r="N117">
        <v>82</v>
      </c>
      <c r="O117" s="18" t="s">
        <v>423</v>
      </c>
      <c r="P117">
        <f t="shared" si="3"/>
        <v>141</v>
      </c>
      <c r="Q117" t="str">
        <f>INDEX(Elemek!$B$2:$B$113,MATCH(M117,Elemek!$C$2:$C$113,0))</f>
        <v>Pr</v>
      </c>
      <c r="R117" t="str">
        <f t="shared" si="4"/>
        <v>8.681405</v>
      </c>
      <c r="S117" t="str">
        <f t="shared" si="5"/>
        <v>8.681405</v>
      </c>
    </row>
    <row r="118" spans="1:19" x14ac:dyDescent="0.25">
      <c r="A118">
        <v>254</v>
      </c>
      <c r="B118" t="s">
        <v>152</v>
      </c>
      <c r="C118">
        <v>78</v>
      </c>
      <c r="D118">
        <v>36</v>
      </c>
      <c r="E118">
        <v>42</v>
      </c>
      <c r="F118" s="18" t="s">
        <v>561</v>
      </c>
      <c r="H118" t="str">
        <f>IF(B118=$H$1,COUNT($H$2:H119)+1," ")</f>
        <v xml:space="preserve"> </v>
      </c>
      <c r="L118">
        <v>117</v>
      </c>
      <c r="M118">
        <v>60</v>
      </c>
      <c r="N118">
        <v>82</v>
      </c>
      <c r="O118" s="18" t="s">
        <v>424</v>
      </c>
      <c r="P118">
        <f t="shared" si="3"/>
        <v>142</v>
      </c>
      <c r="Q118" t="str">
        <f>INDEX(Elemek!$B$2:$B$113,MATCH(M118,Elemek!$C$2:$C$113,0))</f>
        <v>Nd</v>
      </c>
      <c r="R118" t="str">
        <f t="shared" si="4"/>
        <v>8.676646</v>
      </c>
      <c r="S118" t="str">
        <f t="shared" si="5"/>
        <v>8.676646</v>
      </c>
    </row>
    <row r="119" spans="1:19" x14ac:dyDescent="0.25">
      <c r="A119">
        <v>453</v>
      </c>
      <c r="B119" t="s">
        <v>66</v>
      </c>
      <c r="C119">
        <v>88</v>
      </c>
      <c r="D119">
        <v>40</v>
      </c>
      <c r="E119">
        <v>48</v>
      </c>
      <c r="F119" s="18" t="s">
        <v>752</v>
      </c>
      <c r="H119" t="str">
        <f>IF(B119=$H$1,COUNT($H$2:H120)+1," ")</f>
        <v xml:space="preserve"> </v>
      </c>
      <c r="L119">
        <v>118</v>
      </c>
      <c r="M119">
        <v>12</v>
      </c>
      <c r="N119">
        <v>12</v>
      </c>
      <c r="O119" s="18" t="s">
        <v>425</v>
      </c>
      <c r="P119">
        <f t="shared" si="3"/>
        <v>24</v>
      </c>
      <c r="Q119" t="str">
        <f>INDEX(Elemek!$B$2:$B$113,MATCH(M119,Elemek!$C$2:$C$113,0))</f>
        <v>Mg</v>
      </c>
      <c r="R119" t="str">
        <f t="shared" si="4"/>
        <v>8.651911</v>
      </c>
      <c r="S119" t="str">
        <f t="shared" si="5"/>
        <v>8.651911</v>
      </c>
    </row>
    <row r="120" spans="1:19" x14ac:dyDescent="0.25">
      <c r="A120">
        <v>492</v>
      </c>
      <c r="B120" t="s">
        <v>247</v>
      </c>
      <c r="C120">
        <v>84</v>
      </c>
      <c r="D120">
        <v>37</v>
      </c>
      <c r="E120">
        <v>47</v>
      </c>
      <c r="F120" s="18" t="s">
        <v>787</v>
      </c>
      <c r="H120" t="str">
        <f>IF(B120=$H$1,COUNT($H$2:H121)+1," ")</f>
        <v xml:space="preserve"> </v>
      </c>
      <c r="L120">
        <v>119</v>
      </c>
      <c r="M120">
        <v>12</v>
      </c>
      <c r="N120">
        <v>13</v>
      </c>
      <c r="O120" s="18" t="s">
        <v>426</v>
      </c>
      <c r="P120">
        <f t="shared" si="3"/>
        <v>25</v>
      </c>
      <c r="Q120" t="str">
        <f>INDEX(Elemek!$B$2:$B$113,MATCH(M120,Elemek!$C$2:$C$113,0))</f>
        <v>Mg</v>
      </c>
      <c r="R120" t="str">
        <f t="shared" si="4"/>
        <v>8.599047</v>
      </c>
      <c r="S120" t="str">
        <f t="shared" si="5"/>
        <v>8.599047</v>
      </c>
    </row>
    <row r="121" spans="1:19" x14ac:dyDescent="0.25">
      <c r="A121">
        <v>470</v>
      </c>
      <c r="B121" t="s">
        <v>128</v>
      </c>
      <c r="C121">
        <v>91</v>
      </c>
      <c r="D121">
        <v>39</v>
      </c>
      <c r="E121">
        <v>52</v>
      </c>
      <c r="F121" s="18" t="s">
        <v>767</v>
      </c>
      <c r="H121" t="str">
        <f>IF(B121=$H$1,COUNT($H$2:H122)+1," ")</f>
        <v xml:space="preserve"> </v>
      </c>
      <c r="L121">
        <v>120</v>
      </c>
      <c r="M121">
        <v>64</v>
      </c>
      <c r="N121">
        <v>92</v>
      </c>
      <c r="O121" s="18" t="s">
        <v>427</v>
      </c>
      <c r="P121">
        <f t="shared" si="3"/>
        <v>156</v>
      </c>
      <c r="Q121" t="str">
        <f>INDEX(Elemek!$B$2:$B$113,MATCH(M121,Elemek!$C$2:$C$113,0))</f>
        <v>Gd</v>
      </c>
      <c r="R121" t="str">
        <f t="shared" si="4"/>
        <v>8.536342</v>
      </c>
      <c r="S121" t="str">
        <f t="shared" si="5"/>
        <v>8.536342</v>
      </c>
    </row>
    <row r="122" spans="1:19" x14ac:dyDescent="0.25">
      <c r="A122">
        <v>671</v>
      </c>
      <c r="B122" t="s">
        <v>29</v>
      </c>
      <c r="C122">
        <v>72</v>
      </c>
      <c r="D122">
        <v>33</v>
      </c>
      <c r="E122">
        <v>39</v>
      </c>
      <c r="F122" s="18" t="s">
        <v>943</v>
      </c>
      <c r="H122" t="str">
        <f>IF(B122=$H$1,COUNT($H$2:H123)+1," ")</f>
        <v xml:space="preserve"> </v>
      </c>
      <c r="L122">
        <v>121</v>
      </c>
      <c r="M122">
        <v>64</v>
      </c>
      <c r="N122">
        <v>93</v>
      </c>
      <c r="O122" s="18" t="s">
        <v>428</v>
      </c>
      <c r="P122">
        <f t="shared" si="3"/>
        <v>157</v>
      </c>
      <c r="Q122" t="str">
        <f>INDEX(Elemek!$B$2:$B$113,MATCH(M122,Elemek!$C$2:$C$113,0))</f>
        <v>Gd</v>
      </c>
      <c r="R122" t="str">
        <f t="shared" si="4"/>
        <v>8.522478</v>
      </c>
      <c r="S122" t="str">
        <f t="shared" si="5"/>
        <v>8.522478</v>
      </c>
    </row>
    <row r="123" spans="1:19" x14ac:dyDescent="0.25">
      <c r="A123">
        <v>827</v>
      </c>
      <c r="B123" t="s">
        <v>54</v>
      </c>
      <c r="C123">
        <v>80</v>
      </c>
      <c r="D123">
        <v>35</v>
      </c>
      <c r="E123">
        <v>45</v>
      </c>
      <c r="F123" s="18" t="s">
        <v>1068</v>
      </c>
      <c r="H123" t="str">
        <f>IF(B123=$H$1,COUNT($H$2:H124)+1," ")</f>
        <v xml:space="preserve"> </v>
      </c>
      <c r="L123">
        <v>122</v>
      </c>
      <c r="M123">
        <v>64</v>
      </c>
      <c r="N123">
        <v>94</v>
      </c>
      <c r="O123" s="18" t="s">
        <v>429</v>
      </c>
      <c r="P123">
        <f t="shared" si="3"/>
        <v>158</v>
      </c>
      <c r="Q123" t="str">
        <f>INDEX(Elemek!$B$2:$B$113,MATCH(M123,Elemek!$C$2:$C$113,0))</f>
        <v>Gd</v>
      </c>
      <c r="R123" t="str">
        <f t="shared" si="4"/>
        <v>8.518775</v>
      </c>
      <c r="S123" t="str">
        <f t="shared" si="5"/>
        <v>8.518775</v>
      </c>
    </row>
    <row r="124" spans="1:19" x14ac:dyDescent="0.25">
      <c r="A124">
        <v>258</v>
      </c>
      <c r="B124" t="s">
        <v>260</v>
      </c>
      <c r="C124">
        <v>82</v>
      </c>
      <c r="D124">
        <v>34</v>
      </c>
      <c r="E124">
        <v>48</v>
      </c>
      <c r="F124" s="18" t="s">
        <v>565</v>
      </c>
      <c r="H124" t="str">
        <f>IF(B124=$H$1,COUNT($H$2:H125)+1," ")</f>
        <v xml:space="preserve"> </v>
      </c>
      <c r="L124">
        <v>123</v>
      </c>
      <c r="M124">
        <v>65</v>
      </c>
      <c r="N124">
        <v>94</v>
      </c>
      <c r="O124" s="18" t="s">
        <v>430</v>
      </c>
      <c r="P124">
        <f t="shared" si="3"/>
        <v>159</v>
      </c>
      <c r="Q124" t="str">
        <f>INDEX(Elemek!$B$2:$B$113,MATCH(M124,Elemek!$C$2:$C$113,0))</f>
        <v>Tb</v>
      </c>
      <c r="R124" t="str">
        <f t="shared" si="4"/>
        <v>8.50868</v>
      </c>
      <c r="S124" t="str">
        <f t="shared" si="5"/>
        <v>8.50868</v>
      </c>
    </row>
    <row r="125" spans="1:19" x14ac:dyDescent="0.25">
      <c r="A125">
        <v>631</v>
      </c>
      <c r="B125" t="s">
        <v>64</v>
      </c>
      <c r="C125">
        <v>72</v>
      </c>
      <c r="D125">
        <v>30</v>
      </c>
      <c r="E125">
        <v>42</v>
      </c>
      <c r="F125" s="18" t="s">
        <v>908</v>
      </c>
      <c r="H125" t="str">
        <f>IF(B125=$H$1,COUNT($H$2:H126)+1," ")</f>
        <v xml:space="preserve"> </v>
      </c>
      <c r="L125">
        <v>124</v>
      </c>
      <c r="M125">
        <v>11</v>
      </c>
      <c r="N125">
        <v>12</v>
      </c>
      <c r="O125" s="18" t="s">
        <v>431</v>
      </c>
      <c r="P125">
        <f t="shared" si="3"/>
        <v>23</v>
      </c>
      <c r="Q125" t="str">
        <f>INDEX(Elemek!$B$2:$B$113,MATCH(M125,Elemek!$C$2:$C$113,0))</f>
        <v>Na</v>
      </c>
      <c r="R125" t="str">
        <f t="shared" si="4"/>
        <v>8.485675</v>
      </c>
      <c r="S125" t="str">
        <f t="shared" si="5"/>
        <v>8.485675</v>
      </c>
    </row>
    <row r="126" spans="1:19" x14ac:dyDescent="0.25">
      <c r="A126">
        <v>836</v>
      </c>
      <c r="B126" t="s">
        <v>64</v>
      </c>
      <c r="C126">
        <v>71</v>
      </c>
      <c r="D126">
        <v>30</v>
      </c>
      <c r="E126">
        <v>41</v>
      </c>
      <c r="F126" s="18" t="s">
        <v>1076</v>
      </c>
      <c r="H126" t="str">
        <f>IF(B126=$H$1,COUNT($H$2:H127)+1," ")</f>
        <v xml:space="preserve"> </v>
      </c>
      <c r="L126">
        <v>125</v>
      </c>
      <c r="M126">
        <v>66</v>
      </c>
      <c r="N126">
        <v>97</v>
      </c>
      <c r="O126" s="18" t="s">
        <v>432</v>
      </c>
      <c r="P126">
        <f t="shared" si="3"/>
        <v>163</v>
      </c>
      <c r="Q126" t="str">
        <f>INDEX(Elemek!$B$2:$B$113,MATCH(M126,Elemek!$C$2:$C$113,0))</f>
        <v>Dy</v>
      </c>
      <c r="R126" t="str">
        <f t="shared" si="4"/>
        <v>8.478607</v>
      </c>
      <c r="S126" t="str">
        <f t="shared" si="5"/>
        <v>8.478607</v>
      </c>
    </row>
    <row r="127" spans="1:19" x14ac:dyDescent="0.25">
      <c r="A127">
        <v>650</v>
      </c>
      <c r="B127" t="s">
        <v>54</v>
      </c>
      <c r="C127">
        <v>82</v>
      </c>
      <c r="D127">
        <v>35</v>
      </c>
      <c r="E127">
        <v>47</v>
      </c>
      <c r="F127" s="18" t="s">
        <v>925</v>
      </c>
      <c r="H127" t="str">
        <f>IF(B127=$H$1,COUNT($H$2:H128)+1," ")</f>
        <v xml:space="preserve"> </v>
      </c>
      <c r="L127">
        <v>126</v>
      </c>
      <c r="M127">
        <v>66</v>
      </c>
      <c r="N127">
        <v>98</v>
      </c>
      <c r="O127" s="18" t="s">
        <v>433</v>
      </c>
      <c r="P127">
        <f t="shared" si="3"/>
        <v>164</v>
      </c>
      <c r="Q127" t="str">
        <f>INDEX(Elemek!$B$2:$B$113,MATCH(M127,Elemek!$C$2:$C$113,0))</f>
        <v>Dy</v>
      </c>
      <c r="R127" t="str">
        <f t="shared" si="4"/>
        <v>8.473604</v>
      </c>
      <c r="S127" t="str">
        <f t="shared" si="5"/>
        <v>8.473604</v>
      </c>
    </row>
    <row r="128" spans="1:19" x14ac:dyDescent="0.25">
      <c r="A128">
        <v>202</v>
      </c>
      <c r="B128" t="s">
        <v>182</v>
      </c>
      <c r="C128">
        <v>92</v>
      </c>
      <c r="D128">
        <v>42</v>
      </c>
      <c r="E128">
        <v>50</v>
      </c>
      <c r="F128" s="18" t="s">
        <v>509</v>
      </c>
      <c r="H128" t="str">
        <f>IF(B128=$H$1,COUNT($H$2:H129)+1," ")</f>
        <v xml:space="preserve"> </v>
      </c>
      <c r="L128">
        <v>127</v>
      </c>
      <c r="M128">
        <v>10</v>
      </c>
      <c r="N128">
        <v>12</v>
      </c>
      <c r="O128" s="18" t="s">
        <v>434</v>
      </c>
      <c r="P128">
        <f t="shared" si="3"/>
        <v>22</v>
      </c>
      <c r="Q128" t="str">
        <f>INDEX(Elemek!$B$2:$B$113,MATCH(M128,Elemek!$C$2:$C$113,0))</f>
        <v>Ne</v>
      </c>
      <c r="R128" t="str">
        <f t="shared" si="4"/>
        <v>8.436087</v>
      </c>
      <c r="S128" t="str">
        <f t="shared" si="5"/>
        <v>8.436087</v>
      </c>
    </row>
    <row r="129" spans="1:19" x14ac:dyDescent="0.25">
      <c r="A129">
        <v>592</v>
      </c>
      <c r="B129" t="s">
        <v>267</v>
      </c>
      <c r="C129">
        <v>47</v>
      </c>
      <c r="D129">
        <v>21</v>
      </c>
      <c r="E129">
        <v>26</v>
      </c>
      <c r="F129" s="18" t="s">
        <v>872</v>
      </c>
      <c r="H129" t="str">
        <f>IF(B129=$H$1,COUNT($H$2:H130)+1," ")</f>
        <v xml:space="preserve"> </v>
      </c>
      <c r="L129">
        <v>128</v>
      </c>
      <c r="M129">
        <v>10</v>
      </c>
      <c r="N129">
        <v>10</v>
      </c>
      <c r="O129" s="18" t="s">
        <v>435</v>
      </c>
      <c r="P129">
        <f t="shared" si="3"/>
        <v>20</v>
      </c>
      <c r="Q129" t="str">
        <f>INDEX(Elemek!$B$2:$B$113,MATCH(M129,Elemek!$C$2:$C$113,0))</f>
        <v>Ne</v>
      </c>
      <c r="R129" t="str">
        <f t="shared" si="4"/>
        <v>8.423422</v>
      </c>
      <c r="S129" t="str">
        <f t="shared" si="5"/>
        <v>8.423422</v>
      </c>
    </row>
    <row r="130" spans="1:19" x14ac:dyDescent="0.25">
      <c r="A130">
        <v>548</v>
      </c>
      <c r="B130" t="s">
        <v>260</v>
      </c>
      <c r="C130">
        <v>72</v>
      </c>
      <c r="D130">
        <v>34</v>
      </c>
      <c r="E130">
        <v>38</v>
      </c>
      <c r="F130" s="18" t="s">
        <v>836</v>
      </c>
      <c r="H130" t="str">
        <f>IF(B130=$H$1,COUNT($H$2:H131)+1," ")</f>
        <v xml:space="preserve"> </v>
      </c>
      <c r="L130">
        <v>129</v>
      </c>
      <c r="M130">
        <v>8</v>
      </c>
      <c r="N130">
        <v>8</v>
      </c>
      <c r="O130" s="18" t="s">
        <v>436</v>
      </c>
      <c r="P130">
        <f t="shared" si="3"/>
        <v>16</v>
      </c>
      <c r="Q130" t="str">
        <f>INDEX(Elemek!$B$2:$B$113,MATCH(M130,Elemek!$C$2:$C$113,0))</f>
        <v>O</v>
      </c>
      <c r="R130" t="str">
        <f t="shared" si="4"/>
        <v>8.36739</v>
      </c>
      <c r="S130" t="str">
        <f t="shared" si="5"/>
        <v>8.36739</v>
      </c>
    </row>
    <row r="131" spans="1:19" x14ac:dyDescent="0.25">
      <c r="A131">
        <v>48</v>
      </c>
      <c r="B131" t="s">
        <v>137</v>
      </c>
      <c r="C131">
        <v>44</v>
      </c>
      <c r="D131">
        <v>20</v>
      </c>
      <c r="E131">
        <v>24</v>
      </c>
      <c r="F131" s="18" t="s">
        <v>355</v>
      </c>
      <c r="H131" t="str">
        <f>IF(B131=$H$1,COUNT($H$2:H132)+1," ")</f>
        <v xml:space="preserve"> </v>
      </c>
      <c r="L131">
        <v>130</v>
      </c>
      <c r="M131">
        <v>10</v>
      </c>
      <c r="N131">
        <v>11</v>
      </c>
      <c r="O131" s="18" t="s">
        <v>437</v>
      </c>
      <c r="P131">
        <f t="shared" ref="P131:P194" si="6">N131+M131</f>
        <v>21</v>
      </c>
      <c r="Q131" t="str">
        <f>INDEX(Elemek!$B$2:$B$113,MATCH(M131,Elemek!$C$2:$C$113,0))</f>
        <v>Ne</v>
      </c>
      <c r="R131" t="str">
        <f t="shared" ref="R131:R194" si="7">IF(NOT(ISBLANK(O131)),O131,ROUNDDOWN(AVERAGE($O$2:$O$990),2))</f>
        <v>8.34428</v>
      </c>
      <c r="S131" t="str">
        <f t="shared" ref="S131:S194" si="8">IF(ISBLANK(O131),ROUNDDOWN(AVERAGEIF($M$2:$M$990,M131,$O$2:$O$990),2),O131)</f>
        <v>8.34428</v>
      </c>
    </row>
    <row r="132" spans="1:19" x14ac:dyDescent="0.25">
      <c r="A132">
        <v>651</v>
      </c>
      <c r="B132" t="s">
        <v>152</v>
      </c>
      <c r="C132">
        <v>79</v>
      </c>
      <c r="D132">
        <v>36</v>
      </c>
      <c r="E132">
        <v>43</v>
      </c>
      <c r="F132" s="18" t="s">
        <v>926</v>
      </c>
      <c r="H132" t="str">
        <f>IF(B132=$H$1,COUNT($H$2:H133)+1," ")</f>
        <v xml:space="preserve"> </v>
      </c>
      <c r="L132">
        <v>131</v>
      </c>
      <c r="M132">
        <v>9</v>
      </c>
      <c r="N132">
        <v>10</v>
      </c>
      <c r="O132" s="18" t="s">
        <v>438</v>
      </c>
      <c r="P132">
        <f t="shared" si="6"/>
        <v>19</v>
      </c>
      <c r="Q132" t="str">
        <f>INDEX(Elemek!$B$2:$B$113,MATCH(M132,Elemek!$C$2:$C$113,0))</f>
        <v>F</v>
      </c>
      <c r="R132" t="str">
        <f t="shared" si="7"/>
        <v>8.149612</v>
      </c>
      <c r="S132" t="str">
        <f t="shared" si="8"/>
        <v>8.149612</v>
      </c>
    </row>
    <row r="133" spans="1:19" x14ac:dyDescent="0.25">
      <c r="A133">
        <v>49</v>
      </c>
      <c r="B133" t="s">
        <v>182</v>
      </c>
      <c r="C133">
        <v>94</v>
      </c>
      <c r="D133">
        <v>42</v>
      </c>
      <c r="E133">
        <v>52</v>
      </c>
      <c r="F133" s="18" t="s">
        <v>356</v>
      </c>
      <c r="H133" t="str">
        <f>IF(B133=$H$1,COUNT($H$2:H134)+1," ")</f>
        <v xml:space="preserve"> </v>
      </c>
      <c r="L133">
        <v>132</v>
      </c>
      <c r="M133">
        <v>8</v>
      </c>
      <c r="N133">
        <v>9</v>
      </c>
      <c r="O133" s="18" t="s">
        <v>439</v>
      </c>
      <c r="P133">
        <f t="shared" si="6"/>
        <v>17</v>
      </c>
      <c r="Q133" t="str">
        <f>INDEX(Elemek!$B$2:$B$113,MATCH(M133,Elemek!$C$2:$C$113,0))</f>
        <v>O</v>
      </c>
      <c r="R133" t="str">
        <f t="shared" si="7"/>
        <v>8.118904</v>
      </c>
      <c r="S133" t="str">
        <f t="shared" si="8"/>
        <v>8.118904</v>
      </c>
    </row>
    <row r="134" spans="1:19" x14ac:dyDescent="0.25">
      <c r="A134">
        <v>289</v>
      </c>
      <c r="B134" t="s">
        <v>197</v>
      </c>
      <c r="C134">
        <v>92</v>
      </c>
      <c r="D134">
        <v>41</v>
      </c>
      <c r="E134">
        <v>51</v>
      </c>
      <c r="F134" s="18" t="s">
        <v>596</v>
      </c>
      <c r="H134" t="str">
        <f>IF(B134=$H$1,COUNT($H$2:H135)+1," ")</f>
        <v xml:space="preserve"> </v>
      </c>
      <c r="L134">
        <v>133</v>
      </c>
      <c r="M134">
        <v>8</v>
      </c>
      <c r="N134">
        <v>10</v>
      </c>
      <c r="O134" s="18" t="s">
        <v>440</v>
      </c>
      <c r="P134">
        <f t="shared" si="6"/>
        <v>18</v>
      </c>
      <c r="Q134" t="str">
        <f>INDEX(Elemek!$B$2:$B$113,MATCH(M134,Elemek!$C$2:$C$113,0))</f>
        <v>O</v>
      </c>
      <c r="R134" t="str">
        <f t="shared" si="7"/>
        <v>8.114744</v>
      </c>
      <c r="S134" t="str">
        <f t="shared" si="8"/>
        <v>8.114744</v>
      </c>
    </row>
    <row r="135" spans="1:19" x14ac:dyDescent="0.25">
      <c r="A135">
        <v>50</v>
      </c>
      <c r="B135" t="s">
        <v>197</v>
      </c>
      <c r="C135">
        <v>93</v>
      </c>
      <c r="D135">
        <v>41</v>
      </c>
      <c r="E135">
        <v>52</v>
      </c>
      <c r="F135" s="18" t="s">
        <v>357</v>
      </c>
      <c r="H135" t="str">
        <f>IF(B135=$H$1,COUNT($H$2:H136)+1," ")</f>
        <v xml:space="preserve"> </v>
      </c>
      <c r="L135">
        <v>134</v>
      </c>
      <c r="M135">
        <v>6</v>
      </c>
      <c r="N135">
        <v>6</v>
      </c>
      <c r="O135" s="18" t="s">
        <v>441</v>
      </c>
      <c r="P135">
        <f t="shared" si="6"/>
        <v>12</v>
      </c>
      <c r="Q135" t="str">
        <f>INDEX(Elemek!$B$2:$B$113,MATCH(M135,Elemek!$C$2:$C$113,0))</f>
        <v>C</v>
      </c>
      <c r="R135" t="str">
        <f t="shared" si="7"/>
        <v>8.071327</v>
      </c>
      <c r="S135" t="str">
        <f t="shared" si="8"/>
        <v>8.071327</v>
      </c>
    </row>
    <row r="136" spans="1:19" x14ac:dyDescent="0.25">
      <c r="A136">
        <v>232</v>
      </c>
      <c r="B136" t="s">
        <v>137</v>
      </c>
      <c r="C136">
        <v>46</v>
      </c>
      <c r="D136">
        <v>20</v>
      </c>
      <c r="E136">
        <v>26</v>
      </c>
      <c r="F136" s="18" t="s">
        <v>539</v>
      </c>
      <c r="H136" t="str">
        <f>IF(B136=$H$1,COUNT($H$2:H137)+1," ")</f>
        <v xml:space="preserve"> </v>
      </c>
      <c r="L136">
        <v>135</v>
      </c>
      <c r="M136">
        <v>7</v>
      </c>
      <c r="N136">
        <v>8</v>
      </c>
      <c r="O136" s="18" t="s">
        <v>442</v>
      </c>
      <c r="P136">
        <f t="shared" si="6"/>
        <v>15</v>
      </c>
      <c r="Q136" t="str">
        <f>INDEX(Elemek!$B$2:$B$113,MATCH(M136,Elemek!$C$2:$C$113,0))</f>
        <v>N</v>
      </c>
      <c r="R136" t="str">
        <f t="shared" si="7"/>
        <v>8.064594</v>
      </c>
      <c r="S136" t="str">
        <f t="shared" si="8"/>
        <v>8.064594</v>
      </c>
    </row>
    <row r="137" spans="1:19" x14ac:dyDescent="0.25">
      <c r="A137">
        <v>303</v>
      </c>
      <c r="B137" t="s">
        <v>66</v>
      </c>
      <c r="C137">
        <v>93</v>
      </c>
      <c r="D137">
        <v>40</v>
      </c>
      <c r="E137">
        <v>53</v>
      </c>
      <c r="F137" s="18" t="s">
        <v>610</v>
      </c>
      <c r="H137" t="str">
        <f>IF(B137=$H$1,COUNT($H$2:H138)+1," ")</f>
        <v xml:space="preserve"> </v>
      </c>
      <c r="L137">
        <v>136</v>
      </c>
      <c r="M137">
        <v>7</v>
      </c>
      <c r="N137">
        <v>7</v>
      </c>
      <c r="O137" s="18" t="s">
        <v>443</v>
      </c>
      <c r="P137">
        <f t="shared" si="6"/>
        <v>14</v>
      </c>
      <c r="Q137" t="str">
        <f>INDEX(Elemek!$B$2:$B$113,MATCH(M137,Elemek!$C$2:$C$113,0))</f>
        <v>N</v>
      </c>
      <c r="R137" t="str">
        <f t="shared" si="7"/>
        <v>7.866827</v>
      </c>
      <c r="S137" t="str">
        <f t="shared" si="8"/>
        <v>7.866827</v>
      </c>
    </row>
    <row r="138" spans="1:19" x14ac:dyDescent="0.25">
      <c r="A138">
        <v>784</v>
      </c>
      <c r="B138" t="s">
        <v>260</v>
      </c>
      <c r="C138">
        <v>73</v>
      </c>
      <c r="D138">
        <v>34</v>
      </c>
      <c r="E138">
        <v>39</v>
      </c>
      <c r="F138" s="18" t="s">
        <v>1033</v>
      </c>
      <c r="H138" t="str">
        <f>IF(B138=$H$1,COUNT($H$2:H139)+1," ")</f>
        <v xml:space="preserve"> </v>
      </c>
      <c r="L138">
        <v>137</v>
      </c>
      <c r="M138">
        <v>6</v>
      </c>
      <c r="N138">
        <v>7</v>
      </c>
      <c r="O138" s="18" t="s">
        <v>444</v>
      </c>
      <c r="P138">
        <f t="shared" si="6"/>
        <v>13</v>
      </c>
      <c r="Q138" t="str">
        <f>INDEX(Elemek!$B$2:$B$113,MATCH(M138,Elemek!$C$2:$C$113,0))</f>
        <v>C</v>
      </c>
      <c r="R138" t="str">
        <f t="shared" si="7"/>
        <v>7.830943</v>
      </c>
      <c r="S138" t="str">
        <f t="shared" si="8"/>
        <v>7.830943</v>
      </c>
    </row>
    <row r="139" spans="1:19" x14ac:dyDescent="0.25">
      <c r="A139">
        <v>898</v>
      </c>
      <c r="B139" t="s">
        <v>101</v>
      </c>
      <c r="C139">
        <v>66</v>
      </c>
      <c r="D139">
        <v>32</v>
      </c>
      <c r="E139">
        <v>34</v>
      </c>
      <c r="F139" s="18" t="s">
        <v>1127</v>
      </c>
      <c r="H139" t="str">
        <f>IF(B139=$H$1,COUNT($H$2:H140)+1," ")</f>
        <v xml:space="preserve"> </v>
      </c>
      <c r="L139">
        <v>138</v>
      </c>
      <c r="M139">
        <v>2</v>
      </c>
      <c r="N139">
        <v>2</v>
      </c>
      <c r="O139" s="18" t="s">
        <v>445</v>
      </c>
      <c r="P139">
        <f t="shared" si="6"/>
        <v>4</v>
      </c>
      <c r="Q139" t="str">
        <f>INDEX(Elemek!$B$2:$B$113,MATCH(M139,Elemek!$C$2:$C$113,0))</f>
        <v>He</v>
      </c>
      <c r="R139" t="str">
        <f t="shared" si="7"/>
        <v>7.465077</v>
      </c>
      <c r="S139" t="str">
        <f t="shared" si="8"/>
        <v>7.465077</v>
      </c>
    </row>
    <row r="140" spans="1:19" x14ac:dyDescent="0.25">
      <c r="A140">
        <v>946</v>
      </c>
      <c r="B140" t="s">
        <v>29</v>
      </c>
      <c r="C140">
        <v>78</v>
      </c>
      <c r="D140">
        <v>33</v>
      </c>
      <c r="E140">
        <v>45</v>
      </c>
      <c r="F140" s="18" t="s">
        <v>1165</v>
      </c>
      <c r="H140" t="str">
        <f>IF(B140=$H$1,COUNT($H$2:H141)+1," ")</f>
        <v xml:space="preserve"> </v>
      </c>
      <c r="L140">
        <v>139</v>
      </c>
      <c r="M140">
        <v>5</v>
      </c>
      <c r="N140">
        <v>6</v>
      </c>
      <c r="O140" s="18" t="s">
        <v>446</v>
      </c>
      <c r="P140">
        <f t="shared" si="6"/>
        <v>11</v>
      </c>
      <c r="Q140" t="str">
        <f>INDEX(Elemek!$B$2:$B$113,MATCH(M140,Elemek!$C$2:$C$113,0))</f>
        <v>B</v>
      </c>
      <c r="R140" t="str">
        <f t="shared" si="7"/>
        <v>7.283337</v>
      </c>
      <c r="S140" t="str">
        <f t="shared" si="8"/>
        <v>7.283337</v>
      </c>
    </row>
    <row r="141" spans="1:19" x14ac:dyDescent="0.25">
      <c r="A141">
        <v>336</v>
      </c>
      <c r="B141" t="s">
        <v>182</v>
      </c>
      <c r="C141">
        <v>93</v>
      </c>
      <c r="D141">
        <v>42</v>
      </c>
      <c r="E141">
        <v>51</v>
      </c>
      <c r="F141" s="18" t="s">
        <v>643</v>
      </c>
      <c r="H141" t="str">
        <f>IF(B141=$H$1,COUNT($H$2:H142)+1," ")</f>
        <v xml:space="preserve"> </v>
      </c>
      <c r="L141">
        <v>140</v>
      </c>
      <c r="M141">
        <v>5</v>
      </c>
      <c r="N141">
        <v>5</v>
      </c>
      <c r="O141" s="18" t="s">
        <v>447</v>
      </c>
      <c r="P141">
        <f t="shared" si="6"/>
        <v>10</v>
      </c>
      <c r="Q141" t="str">
        <f>INDEX(Elemek!$B$2:$B$113,MATCH(M141,Elemek!$C$2:$C$113,0))</f>
        <v>B</v>
      </c>
      <c r="R141" t="str">
        <f t="shared" si="7"/>
        <v>6.866257</v>
      </c>
      <c r="S141" t="str">
        <f t="shared" si="8"/>
        <v>6.866257</v>
      </c>
    </row>
    <row r="142" spans="1:19" x14ac:dyDescent="0.25">
      <c r="A142">
        <v>822</v>
      </c>
      <c r="B142" t="s">
        <v>247</v>
      </c>
      <c r="C142">
        <v>81</v>
      </c>
      <c r="D142">
        <v>37</v>
      </c>
      <c r="E142">
        <v>44</v>
      </c>
      <c r="F142" s="18" t="s">
        <v>1065</v>
      </c>
      <c r="H142" t="str">
        <f>IF(B142=$H$1,COUNT($H$2:H143)+1," ")</f>
        <v xml:space="preserve"> </v>
      </c>
      <c r="L142">
        <v>141</v>
      </c>
      <c r="M142">
        <v>4</v>
      </c>
      <c r="N142">
        <v>5</v>
      </c>
      <c r="O142" s="18" t="s">
        <v>448</v>
      </c>
      <c r="P142">
        <f t="shared" si="6"/>
        <v>9</v>
      </c>
      <c r="Q142" t="str">
        <f>INDEX(Elemek!$B$2:$B$113,MATCH(M142,Elemek!$C$2:$C$113,0))</f>
        <v>Be</v>
      </c>
      <c r="R142" t="str">
        <f t="shared" si="7"/>
        <v>6.810483</v>
      </c>
      <c r="S142" t="str">
        <f t="shared" si="8"/>
        <v>6.810483</v>
      </c>
    </row>
    <row r="143" spans="1:19" x14ac:dyDescent="0.25">
      <c r="A143">
        <v>773</v>
      </c>
      <c r="B143" t="s">
        <v>297</v>
      </c>
      <c r="C143">
        <v>52</v>
      </c>
      <c r="D143">
        <v>26</v>
      </c>
      <c r="E143">
        <v>26</v>
      </c>
      <c r="F143" s="18" t="s">
        <v>1023</v>
      </c>
      <c r="H143" t="str">
        <f ca="1">IF(B143=$H$1,COUNT($H$2:H144)+1," ")</f>
        <v xml:space="preserve"> </v>
      </c>
      <c r="L143">
        <v>142</v>
      </c>
      <c r="M143">
        <v>3</v>
      </c>
      <c r="N143">
        <v>4</v>
      </c>
      <c r="O143" s="18" t="s">
        <v>449</v>
      </c>
      <c r="P143">
        <f t="shared" si="6"/>
        <v>7</v>
      </c>
      <c r="Q143" t="str">
        <f>INDEX(Elemek!$B$2:$B$113,MATCH(M143,Elemek!$C$2:$C$113,0))</f>
        <v>Li</v>
      </c>
      <c r="R143" t="str">
        <f t="shared" si="7"/>
        <v>5.941599</v>
      </c>
      <c r="S143" t="str">
        <f t="shared" si="8"/>
        <v>5.941599</v>
      </c>
    </row>
    <row r="144" spans="1:19" x14ac:dyDescent="0.25">
      <c r="A144">
        <v>234</v>
      </c>
      <c r="B144" t="s">
        <v>66</v>
      </c>
      <c r="C144">
        <v>94</v>
      </c>
      <c r="D144">
        <v>40</v>
      </c>
      <c r="E144">
        <v>54</v>
      </c>
      <c r="F144" s="18" t="s">
        <v>541</v>
      </c>
      <c r="H144" t="str">
        <f>IF(B144=$H$1,COUNT($H$2:H145)+1," ")</f>
        <v xml:space="preserve"> </v>
      </c>
      <c r="L144">
        <v>143</v>
      </c>
      <c r="M144">
        <v>3</v>
      </c>
      <c r="N144">
        <v>3</v>
      </c>
      <c r="O144" s="18" t="s">
        <v>450</v>
      </c>
      <c r="P144">
        <f t="shared" si="6"/>
        <v>6</v>
      </c>
      <c r="Q144" t="str">
        <f>INDEX(Elemek!$B$2:$B$113,MATCH(M144,Elemek!$C$2:$C$113,0))</f>
        <v>Li</v>
      </c>
      <c r="R144" t="str">
        <f t="shared" si="7"/>
        <v>5.723527</v>
      </c>
      <c r="S144" t="str">
        <f t="shared" si="8"/>
        <v>5.723527</v>
      </c>
    </row>
    <row r="145" spans="1:19" x14ac:dyDescent="0.25">
      <c r="A145">
        <v>789</v>
      </c>
      <c r="B145" t="s">
        <v>247</v>
      </c>
      <c r="C145">
        <v>82</v>
      </c>
      <c r="D145">
        <v>37</v>
      </c>
      <c r="E145">
        <v>45</v>
      </c>
      <c r="F145" s="18" t="s">
        <v>1037</v>
      </c>
      <c r="H145" t="str">
        <f>IF(B145=$H$1,COUNT($H$2:H146)+1," ")</f>
        <v xml:space="preserve"> </v>
      </c>
      <c r="L145">
        <v>144</v>
      </c>
      <c r="M145">
        <v>2</v>
      </c>
      <c r="N145">
        <v>1</v>
      </c>
      <c r="O145" s="18" t="s">
        <v>451</v>
      </c>
      <c r="P145">
        <f t="shared" si="6"/>
        <v>3</v>
      </c>
      <c r="Q145" t="str">
        <f>INDEX(Elemek!$B$2:$B$113,MATCH(M145,Elemek!$C$2:$C$113,0))</f>
        <v>He</v>
      </c>
      <c r="R145" t="str">
        <f t="shared" si="7"/>
        <v>3.094327</v>
      </c>
      <c r="S145" t="str">
        <f t="shared" si="8"/>
        <v>3.094327</v>
      </c>
    </row>
    <row r="146" spans="1:19" x14ac:dyDescent="0.25">
      <c r="A146">
        <v>959</v>
      </c>
      <c r="B146" t="s">
        <v>152</v>
      </c>
      <c r="C146">
        <v>87</v>
      </c>
      <c r="D146">
        <v>36</v>
      </c>
      <c r="E146">
        <v>51</v>
      </c>
      <c r="F146" s="18" t="s">
        <v>1175</v>
      </c>
      <c r="H146" t="str">
        <f>IF(B146=$H$1,COUNT($H$2:H147)+1," ")</f>
        <v xml:space="preserve"> </v>
      </c>
      <c r="L146">
        <v>145</v>
      </c>
      <c r="M146">
        <v>1</v>
      </c>
      <c r="N146">
        <v>1</v>
      </c>
      <c r="O146" s="18" t="s">
        <v>452</v>
      </c>
      <c r="P146">
        <f t="shared" si="6"/>
        <v>2</v>
      </c>
      <c r="Q146" t="str">
        <f>INDEX(Elemek!$B$2:$B$113,MATCH(M146,Elemek!$C$2:$C$113,0))</f>
        <v>H</v>
      </c>
      <c r="R146" t="str">
        <f t="shared" si="7"/>
        <v>1.503327</v>
      </c>
      <c r="S146" t="str">
        <f t="shared" si="8"/>
        <v>1.503327</v>
      </c>
    </row>
    <row r="147" spans="1:19" x14ac:dyDescent="0.25">
      <c r="A147">
        <v>634</v>
      </c>
      <c r="B147" t="s">
        <v>267</v>
      </c>
      <c r="C147">
        <v>48</v>
      </c>
      <c r="D147">
        <v>21</v>
      </c>
      <c r="E147">
        <v>27</v>
      </c>
      <c r="F147" s="18" t="s">
        <v>911</v>
      </c>
      <c r="H147" t="str">
        <f>IF(B147=$H$1,COUNT($H$2:H148)+1," ")</f>
        <v xml:space="preserve"> </v>
      </c>
      <c r="L147">
        <v>146</v>
      </c>
      <c r="M147">
        <v>1</v>
      </c>
      <c r="N147">
        <v>0</v>
      </c>
      <c r="O147" s="18" t="s">
        <v>453</v>
      </c>
      <c r="P147">
        <f t="shared" si="6"/>
        <v>1</v>
      </c>
      <c r="Q147" t="str">
        <f>INDEX(Elemek!$B$2:$B$113,MATCH(M147,Elemek!$C$2:$C$113,0))</f>
        <v>H</v>
      </c>
      <c r="R147" t="str">
        <f t="shared" si="7"/>
        <v>0.782327</v>
      </c>
      <c r="S147" t="str">
        <f t="shared" si="8"/>
        <v>0.782327</v>
      </c>
    </row>
    <row r="148" spans="1:19" x14ac:dyDescent="0.25">
      <c r="A148">
        <v>500</v>
      </c>
      <c r="B148" t="s">
        <v>256</v>
      </c>
      <c r="C148">
        <v>82</v>
      </c>
      <c r="D148">
        <v>38</v>
      </c>
      <c r="E148">
        <v>44</v>
      </c>
      <c r="F148" s="18" t="s">
        <v>795</v>
      </c>
      <c r="H148" t="str">
        <f>IF(B148=$H$1,COUNT($H$2:H149)+1," ")</f>
        <v xml:space="preserve"> </v>
      </c>
      <c r="L148">
        <v>147</v>
      </c>
      <c r="M148">
        <v>34</v>
      </c>
      <c r="N148">
        <v>46</v>
      </c>
      <c r="O148" s="18" t="s">
        <v>454</v>
      </c>
      <c r="P148">
        <f t="shared" si="6"/>
        <v>80</v>
      </c>
      <c r="Q148" t="str">
        <f>INDEX(Elemek!$B$2:$B$113,MATCH(M148,Elemek!$C$2:$C$113,0))</f>
        <v>Se</v>
      </c>
      <c r="R148" t="str">
        <f t="shared" si="7"/>
        <v>9.043326</v>
      </c>
      <c r="S148" t="str">
        <f t="shared" si="8"/>
        <v>9.043326</v>
      </c>
    </row>
    <row r="149" spans="1:19" x14ac:dyDescent="0.25">
      <c r="A149">
        <v>516</v>
      </c>
      <c r="B149" t="s">
        <v>295</v>
      </c>
      <c r="C149">
        <v>48</v>
      </c>
      <c r="D149">
        <v>23</v>
      </c>
      <c r="E149">
        <v>25</v>
      </c>
      <c r="F149" s="18" t="s">
        <v>809</v>
      </c>
      <c r="H149" t="str">
        <f>IF(B149=$H$1,COUNT($H$2:H150)+1," ")</f>
        <v xml:space="preserve"> </v>
      </c>
      <c r="L149">
        <v>148</v>
      </c>
      <c r="M149">
        <v>36</v>
      </c>
      <c r="N149">
        <v>50</v>
      </c>
      <c r="O149" s="18" t="s">
        <v>455</v>
      </c>
      <c r="P149">
        <f t="shared" si="6"/>
        <v>86</v>
      </c>
      <c r="Q149" t="str">
        <f>INDEX(Elemek!$B$2:$B$113,MATCH(M149,Elemek!$C$2:$C$113,0))</f>
        <v>Kr</v>
      </c>
      <c r="R149" t="str">
        <f t="shared" si="7"/>
        <v>9.039532</v>
      </c>
      <c r="S149" t="str">
        <f t="shared" si="8"/>
        <v>9.039532</v>
      </c>
    </row>
    <row r="150" spans="1:19" x14ac:dyDescent="0.25">
      <c r="A150">
        <v>656</v>
      </c>
      <c r="B150" t="s">
        <v>256</v>
      </c>
      <c r="C150">
        <v>83</v>
      </c>
      <c r="D150">
        <v>38</v>
      </c>
      <c r="E150">
        <v>45</v>
      </c>
      <c r="F150" s="18" t="s">
        <v>931</v>
      </c>
      <c r="H150" t="str">
        <f>IF(B150=$H$1,COUNT($H$2:H151)+1," ")</f>
        <v xml:space="preserve"> </v>
      </c>
      <c r="L150">
        <v>149</v>
      </c>
      <c r="M150">
        <v>38</v>
      </c>
      <c r="N150">
        <v>46</v>
      </c>
      <c r="O150" s="18" t="s">
        <v>456</v>
      </c>
      <c r="P150">
        <f t="shared" si="6"/>
        <v>84</v>
      </c>
      <c r="Q150" t="str">
        <f>INDEX(Elemek!$B$2:$B$113,MATCH(M150,Elemek!$C$2:$C$113,0))</f>
        <v>Sr</v>
      </c>
      <c r="R150" t="str">
        <f t="shared" si="7"/>
        <v>9.031375</v>
      </c>
      <c r="S150" t="str">
        <f t="shared" si="8"/>
        <v>9.031375</v>
      </c>
    </row>
    <row r="151" spans="1:19" x14ac:dyDescent="0.25">
      <c r="A151">
        <v>51</v>
      </c>
      <c r="B151" t="s">
        <v>182</v>
      </c>
      <c r="C151">
        <v>96</v>
      </c>
      <c r="D151">
        <v>42</v>
      </c>
      <c r="E151">
        <v>54</v>
      </c>
      <c r="F151" s="18" t="s">
        <v>358</v>
      </c>
      <c r="H151" t="str">
        <f>IF(B151=$H$1,COUNT($H$2:H152)+1," ")</f>
        <v xml:space="preserve"> </v>
      </c>
      <c r="L151">
        <v>150</v>
      </c>
      <c r="M151">
        <v>46</v>
      </c>
      <c r="N151">
        <v>56</v>
      </c>
      <c r="O151" s="18" t="s">
        <v>457</v>
      </c>
      <c r="P151">
        <f t="shared" si="6"/>
        <v>102</v>
      </c>
      <c r="Q151" t="str">
        <f>INDEX(Elemek!$B$2:$B$113,MATCH(M151,Elemek!$C$2:$C$113,0))</f>
        <v>Pd</v>
      </c>
      <c r="R151" t="str">
        <f t="shared" si="7"/>
        <v>8.933337</v>
      </c>
      <c r="S151" t="str">
        <f t="shared" si="8"/>
        <v>8.933337</v>
      </c>
    </row>
    <row r="152" spans="1:19" x14ac:dyDescent="0.25">
      <c r="A152">
        <v>742</v>
      </c>
      <c r="B152" t="s">
        <v>101</v>
      </c>
      <c r="C152">
        <v>77</v>
      </c>
      <c r="D152">
        <v>32</v>
      </c>
      <c r="E152">
        <v>45</v>
      </c>
      <c r="F152" s="18" t="s">
        <v>1001</v>
      </c>
      <c r="H152" t="str">
        <f>IF(B152=$H$1,COUNT($H$2:H153)+1," ")</f>
        <v xml:space="preserve"> </v>
      </c>
      <c r="L152">
        <v>151</v>
      </c>
      <c r="M152">
        <v>44</v>
      </c>
      <c r="N152">
        <v>60</v>
      </c>
      <c r="O152" s="18" t="s">
        <v>458</v>
      </c>
      <c r="P152">
        <f t="shared" si="6"/>
        <v>104</v>
      </c>
      <c r="Q152" t="str">
        <f>INDEX(Elemek!$B$2:$B$113,MATCH(M152,Elemek!$C$2:$C$113,0))</f>
        <v>Ru</v>
      </c>
      <c r="R152" t="str">
        <f t="shared" si="7"/>
        <v>8.918337</v>
      </c>
      <c r="S152" t="str">
        <f t="shared" si="8"/>
        <v>8.918337</v>
      </c>
    </row>
    <row r="153" spans="1:19" x14ac:dyDescent="0.25">
      <c r="A153">
        <v>713</v>
      </c>
      <c r="B153" t="s">
        <v>54</v>
      </c>
      <c r="C153">
        <v>76</v>
      </c>
      <c r="D153">
        <v>35</v>
      </c>
      <c r="E153">
        <v>41</v>
      </c>
      <c r="F153" s="18" t="s">
        <v>978</v>
      </c>
      <c r="H153" t="str">
        <f>IF(B153=$H$1,COUNT($H$2:H154)+1," ")</f>
        <v xml:space="preserve"> </v>
      </c>
      <c r="L153">
        <v>152</v>
      </c>
      <c r="M153">
        <v>18</v>
      </c>
      <c r="N153">
        <v>18</v>
      </c>
      <c r="O153" s="18" t="s">
        <v>459</v>
      </c>
      <c r="P153">
        <f t="shared" si="6"/>
        <v>36</v>
      </c>
      <c r="Q153" t="str">
        <f>INDEX(Elemek!$B$2:$B$113,MATCH(M153,Elemek!$C$2:$C$113,0))</f>
        <v>Ar</v>
      </c>
      <c r="R153" t="str">
        <f t="shared" si="7"/>
        <v>8.911105</v>
      </c>
      <c r="S153" t="str">
        <f t="shared" si="8"/>
        <v>8.911105</v>
      </c>
    </row>
    <row r="154" spans="1:19" x14ac:dyDescent="0.25">
      <c r="A154">
        <v>52</v>
      </c>
      <c r="B154" t="s">
        <v>182</v>
      </c>
      <c r="C154">
        <v>95</v>
      </c>
      <c r="D154">
        <v>42</v>
      </c>
      <c r="E154">
        <v>53</v>
      </c>
      <c r="F154" s="18" t="s">
        <v>359</v>
      </c>
      <c r="H154" t="str">
        <f>IF(B154=$H$1,COUNT($H$2:H155)+1," ")</f>
        <v xml:space="preserve"> </v>
      </c>
      <c r="L154">
        <v>153</v>
      </c>
      <c r="M154">
        <v>50</v>
      </c>
      <c r="N154">
        <v>72</v>
      </c>
      <c r="O154" s="18" t="s">
        <v>460</v>
      </c>
      <c r="P154">
        <f t="shared" si="6"/>
        <v>122</v>
      </c>
      <c r="Q154" t="str">
        <f>INDEX(Elemek!$B$2:$B$113,MATCH(M154,Elemek!$C$2:$C$113,0))</f>
        <v>Sn</v>
      </c>
      <c r="R154" t="str">
        <f t="shared" si="7"/>
        <v>8.80859</v>
      </c>
      <c r="S154" t="str">
        <f t="shared" si="8"/>
        <v>8.80859</v>
      </c>
    </row>
    <row r="155" spans="1:19" x14ac:dyDescent="0.25">
      <c r="A155">
        <v>720</v>
      </c>
      <c r="B155" t="s">
        <v>128</v>
      </c>
      <c r="C155">
        <v>86</v>
      </c>
      <c r="D155">
        <v>39</v>
      </c>
      <c r="E155">
        <v>47</v>
      </c>
      <c r="F155" s="18" t="s">
        <v>983</v>
      </c>
      <c r="H155" t="str">
        <f>IF(B155=$H$1,COUNT($H$2:H156)+1," ")</f>
        <v xml:space="preserve"> </v>
      </c>
      <c r="L155">
        <v>154</v>
      </c>
      <c r="M155">
        <v>60</v>
      </c>
      <c r="N155">
        <v>83</v>
      </c>
      <c r="O155" s="18" t="s">
        <v>461</v>
      </c>
      <c r="P155">
        <f t="shared" si="6"/>
        <v>143</v>
      </c>
      <c r="Q155" t="str">
        <f>INDEX(Elemek!$B$2:$B$113,MATCH(M155,Elemek!$C$2:$C$113,0))</f>
        <v>Nd</v>
      </c>
      <c r="R155" t="str">
        <f t="shared" si="7"/>
        <v>8.658792</v>
      </c>
      <c r="S155" t="str">
        <f t="shared" si="8"/>
        <v>8.658792</v>
      </c>
    </row>
    <row r="156" spans="1:19" x14ac:dyDescent="0.25">
      <c r="A156">
        <v>845</v>
      </c>
      <c r="B156" t="s">
        <v>128</v>
      </c>
      <c r="C156">
        <v>92</v>
      </c>
      <c r="D156">
        <v>39</v>
      </c>
      <c r="E156">
        <v>53</v>
      </c>
      <c r="F156" s="18" t="s">
        <v>1082</v>
      </c>
      <c r="H156" t="str">
        <f>IF(B156=$H$1,COUNT($H$2:H157)+1," ")</f>
        <v xml:space="preserve"> </v>
      </c>
      <c r="L156">
        <v>155</v>
      </c>
      <c r="M156">
        <v>62</v>
      </c>
      <c r="N156">
        <v>88</v>
      </c>
      <c r="O156" s="18" t="s">
        <v>462</v>
      </c>
      <c r="P156">
        <f t="shared" si="6"/>
        <v>150</v>
      </c>
      <c r="Q156" t="str">
        <f>INDEX(Elemek!$B$2:$B$113,MATCH(M156,Elemek!$C$2:$C$113,0))</f>
        <v>Sm</v>
      </c>
      <c r="R156" t="str">
        <f t="shared" si="7"/>
        <v>8.585043</v>
      </c>
      <c r="S156" t="str">
        <f t="shared" si="8"/>
        <v>8.585043</v>
      </c>
    </row>
    <row r="157" spans="1:19" x14ac:dyDescent="0.25">
      <c r="A157">
        <v>940</v>
      </c>
      <c r="B157" t="s">
        <v>54</v>
      </c>
      <c r="C157">
        <v>75</v>
      </c>
      <c r="D157">
        <v>35</v>
      </c>
      <c r="E157">
        <v>40</v>
      </c>
      <c r="F157" s="18" t="s">
        <v>1161</v>
      </c>
      <c r="H157" t="str">
        <f>IF(B157=$H$1,COUNT($H$2:H158)+1," ")</f>
        <v xml:space="preserve"> </v>
      </c>
      <c r="L157">
        <v>156</v>
      </c>
      <c r="M157">
        <v>62</v>
      </c>
      <c r="N157">
        <v>90</v>
      </c>
      <c r="O157" s="18" t="s">
        <v>463</v>
      </c>
      <c r="P157">
        <f t="shared" si="6"/>
        <v>152</v>
      </c>
      <c r="Q157" t="str">
        <f>INDEX(Elemek!$B$2:$B$113,MATCH(M157,Elemek!$C$2:$C$113,0))</f>
        <v>Sm</v>
      </c>
      <c r="R157" t="str">
        <f t="shared" si="7"/>
        <v>8.563227</v>
      </c>
      <c r="S157" t="str">
        <f t="shared" si="8"/>
        <v>8.563227</v>
      </c>
    </row>
    <row r="158" spans="1:19" x14ac:dyDescent="0.25">
      <c r="A158">
        <v>948</v>
      </c>
      <c r="B158" t="s">
        <v>101</v>
      </c>
      <c r="C158">
        <v>78</v>
      </c>
      <c r="D158">
        <v>32</v>
      </c>
      <c r="E158">
        <v>46</v>
      </c>
      <c r="F158" s="18" t="s">
        <v>1167</v>
      </c>
      <c r="H158" t="str">
        <f>IF(B158=$H$1,COUNT($H$2:H159)+1," ")</f>
        <v xml:space="preserve"> </v>
      </c>
      <c r="L158">
        <v>157</v>
      </c>
      <c r="M158">
        <v>64</v>
      </c>
      <c r="N158">
        <v>90</v>
      </c>
      <c r="O158" s="18" t="s">
        <v>464</v>
      </c>
      <c r="P158">
        <f t="shared" si="6"/>
        <v>154</v>
      </c>
      <c r="Q158" t="str">
        <f>INDEX(Elemek!$B$2:$B$113,MATCH(M158,Elemek!$C$2:$C$113,0))</f>
        <v>Gd</v>
      </c>
      <c r="R158" t="str">
        <f t="shared" si="7"/>
        <v>8.549985</v>
      </c>
      <c r="S158" t="str">
        <f t="shared" si="8"/>
        <v>8.549985</v>
      </c>
    </row>
    <row r="159" spans="1:19" x14ac:dyDescent="0.25">
      <c r="A159">
        <v>259</v>
      </c>
      <c r="B159" t="s">
        <v>137</v>
      </c>
      <c r="C159">
        <v>48</v>
      </c>
      <c r="D159">
        <v>20</v>
      </c>
      <c r="E159">
        <v>28</v>
      </c>
      <c r="F159" s="18" t="s">
        <v>566</v>
      </c>
      <c r="H159" t="str">
        <f>IF(B159=$H$1,COUNT($H$2:H160)+1," ")</f>
        <v xml:space="preserve"> </v>
      </c>
      <c r="L159">
        <v>158</v>
      </c>
      <c r="M159">
        <v>64</v>
      </c>
      <c r="N159">
        <v>91</v>
      </c>
      <c r="O159" s="18" t="s">
        <v>465</v>
      </c>
      <c r="P159">
        <f t="shared" si="6"/>
        <v>155</v>
      </c>
      <c r="Q159" t="str">
        <f>INDEX(Elemek!$B$2:$B$113,MATCH(M159,Elemek!$C$2:$C$113,0))</f>
        <v>Gd</v>
      </c>
      <c r="R159" t="str">
        <f t="shared" si="7"/>
        <v>8.536341</v>
      </c>
      <c r="S159" t="str">
        <f t="shared" si="8"/>
        <v>8.536341</v>
      </c>
    </row>
    <row r="160" spans="1:19" x14ac:dyDescent="0.25">
      <c r="A160">
        <v>757</v>
      </c>
      <c r="B160" t="s">
        <v>256</v>
      </c>
      <c r="C160">
        <v>91</v>
      </c>
      <c r="D160">
        <v>38</v>
      </c>
      <c r="E160">
        <v>53</v>
      </c>
      <c r="F160" s="18" t="s">
        <v>1012</v>
      </c>
      <c r="H160" t="str">
        <f>IF(B160=$H$1,COUNT($H$2:H161)+1," ")</f>
        <v xml:space="preserve"> </v>
      </c>
      <c r="L160">
        <v>159</v>
      </c>
      <c r="M160">
        <v>68</v>
      </c>
      <c r="N160">
        <v>96</v>
      </c>
      <c r="O160" s="18" t="s">
        <v>466</v>
      </c>
      <c r="P160">
        <f t="shared" si="6"/>
        <v>164</v>
      </c>
      <c r="Q160" t="str">
        <f>INDEX(Elemek!$B$2:$B$113,MATCH(M160,Elemek!$C$2:$C$113,0))</f>
        <v>Er</v>
      </c>
      <c r="R160" t="str">
        <f t="shared" si="7"/>
        <v>8.473462</v>
      </c>
      <c r="S160" t="str">
        <f t="shared" si="8"/>
        <v>8.473462</v>
      </c>
    </row>
    <row r="161" spans="1:19" x14ac:dyDescent="0.25">
      <c r="A161">
        <v>327</v>
      </c>
      <c r="B161" t="s">
        <v>197</v>
      </c>
      <c r="C161">
        <v>94</v>
      </c>
      <c r="D161">
        <v>41</v>
      </c>
      <c r="E161">
        <v>53</v>
      </c>
      <c r="F161" s="18" t="s">
        <v>634</v>
      </c>
      <c r="H161" t="str">
        <f>IF(B161=$H$1,COUNT($H$2:H162)+1," ")</f>
        <v xml:space="preserve"> </v>
      </c>
      <c r="L161">
        <v>160</v>
      </c>
      <c r="M161">
        <v>67</v>
      </c>
      <c r="N161">
        <v>98</v>
      </c>
      <c r="O161" s="18" t="s">
        <v>467</v>
      </c>
      <c r="P161">
        <f t="shared" si="6"/>
        <v>165</v>
      </c>
      <c r="Q161" t="str">
        <f>INDEX(Elemek!$B$2:$B$113,MATCH(M161,Elemek!$C$2:$C$113,0))</f>
        <v>Ho</v>
      </c>
      <c r="R161" t="str">
        <f t="shared" si="7"/>
        <v>8.464689</v>
      </c>
      <c r="S161" t="str">
        <f t="shared" si="8"/>
        <v>8.464689</v>
      </c>
    </row>
    <row r="162" spans="1:19" x14ac:dyDescent="0.25">
      <c r="A162">
        <v>722</v>
      </c>
      <c r="B162" t="s">
        <v>197</v>
      </c>
      <c r="C162">
        <v>90</v>
      </c>
      <c r="D162">
        <v>41</v>
      </c>
      <c r="E162">
        <v>49</v>
      </c>
      <c r="F162" s="18" t="s">
        <v>985</v>
      </c>
      <c r="H162" t="str">
        <f>IF(B162=$H$1,COUNT($H$2:H163)+1," ")</f>
        <v xml:space="preserve"> </v>
      </c>
      <c r="L162">
        <v>161</v>
      </c>
      <c r="M162">
        <v>68</v>
      </c>
      <c r="N162">
        <v>98</v>
      </c>
      <c r="O162" s="18" t="s">
        <v>468</v>
      </c>
      <c r="P162">
        <f t="shared" si="6"/>
        <v>166</v>
      </c>
      <c r="Q162" t="str">
        <f>INDEX(Elemek!$B$2:$B$113,MATCH(M162,Elemek!$C$2:$C$113,0))</f>
        <v>Er</v>
      </c>
      <c r="R162" t="str">
        <f t="shared" si="7"/>
        <v>8.462482</v>
      </c>
      <c r="S162" t="str">
        <f t="shared" si="8"/>
        <v>8.462482</v>
      </c>
    </row>
    <row r="163" spans="1:19" x14ac:dyDescent="0.25">
      <c r="A163">
        <v>53</v>
      </c>
      <c r="B163" t="s">
        <v>137</v>
      </c>
      <c r="C163">
        <v>42</v>
      </c>
      <c r="D163">
        <v>20</v>
      </c>
      <c r="E163">
        <v>22</v>
      </c>
      <c r="F163" s="18" t="s">
        <v>360</v>
      </c>
      <c r="H163" t="str">
        <f>IF(B163=$H$1,COUNT($H$2:H164)+1," ")</f>
        <v xml:space="preserve"> </v>
      </c>
      <c r="L163">
        <v>162</v>
      </c>
      <c r="M163">
        <v>68</v>
      </c>
      <c r="N163">
        <v>99</v>
      </c>
      <c r="O163" s="18" t="s">
        <v>469</v>
      </c>
      <c r="P163">
        <f t="shared" si="6"/>
        <v>167</v>
      </c>
      <c r="Q163" t="str">
        <f>INDEX(Elemek!$B$2:$B$113,MATCH(M163,Elemek!$C$2:$C$113,0))</f>
        <v>Er</v>
      </c>
      <c r="R163" t="str">
        <f t="shared" si="7"/>
        <v>8.45035</v>
      </c>
      <c r="S163" t="str">
        <f t="shared" si="8"/>
        <v>8.45035</v>
      </c>
    </row>
    <row r="164" spans="1:19" x14ac:dyDescent="0.25">
      <c r="A164">
        <v>815</v>
      </c>
      <c r="B164" t="s">
        <v>128</v>
      </c>
      <c r="C164">
        <v>85</v>
      </c>
      <c r="D164">
        <v>39</v>
      </c>
      <c r="E164">
        <v>46</v>
      </c>
      <c r="F164" s="18" t="s">
        <v>1059</v>
      </c>
      <c r="H164" t="str">
        <f>IF(B164=$H$1,COUNT($H$2:H165)+1," ")</f>
        <v xml:space="preserve"> </v>
      </c>
      <c r="L164">
        <v>163</v>
      </c>
      <c r="M164">
        <v>68</v>
      </c>
      <c r="N164">
        <v>100</v>
      </c>
      <c r="O164" s="18" t="s">
        <v>470</v>
      </c>
      <c r="P164">
        <f t="shared" si="6"/>
        <v>168</v>
      </c>
      <c r="Q164" t="str">
        <f>INDEX(Elemek!$B$2:$B$113,MATCH(M164,Elemek!$C$2:$C$113,0))</f>
        <v>Er</v>
      </c>
      <c r="R164" t="str">
        <f t="shared" si="7"/>
        <v>8.446308</v>
      </c>
      <c r="S164" t="str">
        <f t="shared" si="8"/>
        <v>8.446308</v>
      </c>
    </row>
    <row r="165" spans="1:19" x14ac:dyDescent="0.25">
      <c r="A165">
        <v>54</v>
      </c>
      <c r="B165" t="s">
        <v>26</v>
      </c>
      <c r="C165">
        <v>38</v>
      </c>
      <c r="D165">
        <v>18</v>
      </c>
      <c r="E165">
        <v>20</v>
      </c>
      <c r="F165" s="18" t="s">
        <v>361</v>
      </c>
      <c r="H165" t="str">
        <f>IF(B165=$H$1,COUNT($H$2:H166)+1," ")</f>
        <v xml:space="preserve"> </v>
      </c>
      <c r="L165">
        <v>164</v>
      </c>
      <c r="M165">
        <v>69</v>
      </c>
      <c r="N165">
        <v>100</v>
      </c>
      <c r="O165" s="18" t="s">
        <v>471</v>
      </c>
      <c r="P165">
        <f t="shared" si="6"/>
        <v>169</v>
      </c>
      <c r="Q165" t="str">
        <f>INDEX(Elemek!$B$2:$B$113,MATCH(M165,Elemek!$C$2:$C$113,0))</f>
        <v>Tm</v>
      </c>
      <c r="R165" t="str">
        <f t="shared" si="7"/>
        <v>8.433931</v>
      </c>
      <c r="S165" t="str">
        <f t="shared" si="8"/>
        <v>8.433931</v>
      </c>
    </row>
    <row r="166" spans="1:19" x14ac:dyDescent="0.25">
      <c r="A166">
        <v>489</v>
      </c>
      <c r="B166" t="s">
        <v>197</v>
      </c>
      <c r="C166">
        <v>95</v>
      </c>
      <c r="D166">
        <v>41</v>
      </c>
      <c r="E166">
        <v>54</v>
      </c>
      <c r="F166" s="18" t="s">
        <v>784</v>
      </c>
      <c r="H166" t="str">
        <f>IF(B166=$H$1,COUNT($H$2:H167)+1," ")</f>
        <v xml:space="preserve"> </v>
      </c>
      <c r="L166">
        <v>165</v>
      </c>
      <c r="M166">
        <v>70</v>
      </c>
      <c r="N166">
        <v>100</v>
      </c>
      <c r="O166" s="18" t="s">
        <v>472</v>
      </c>
      <c r="P166">
        <f t="shared" si="6"/>
        <v>170</v>
      </c>
      <c r="Q166" t="str">
        <f>INDEX(Elemek!$B$2:$B$113,MATCH(M166,Elemek!$C$2:$C$113,0))</f>
        <v>Yb</v>
      </c>
      <c r="R166" t="str">
        <f t="shared" si="7"/>
        <v>8.428792</v>
      </c>
      <c r="S166" t="str">
        <f t="shared" si="8"/>
        <v>8.428792</v>
      </c>
    </row>
    <row r="167" spans="1:19" x14ac:dyDescent="0.25">
      <c r="A167">
        <v>55</v>
      </c>
      <c r="B167" t="s">
        <v>267</v>
      </c>
      <c r="C167">
        <v>45</v>
      </c>
      <c r="D167">
        <v>21</v>
      </c>
      <c r="E167">
        <v>24</v>
      </c>
      <c r="F167" s="18" t="s">
        <v>362</v>
      </c>
      <c r="H167" t="str">
        <f>IF(B167=$H$1,COUNT($H$2:H168)+1," ")</f>
        <v xml:space="preserve"> </v>
      </c>
      <c r="L167">
        <v>166</v>
      </c>
      <c r="M167">
        <v>70</v>
      </c>
      <c r="N167">
        <v>101</v>
      </c>
      <c r="O167" s="18" t="s">
        <v>473</v>
      </c>
      <c r="P167">
        <f t="shared" si="6"/>
        <v>171</v>
      </c>
      <c r="Q167" t="str">
        <f>INDEX(Elemek!$B$2:$B$113,MATCH(M167,Elemek!$C$2:$C$113,0))</f>
        <v>Yb</v>
      </c>
      <c r="R167" t="str">
        <f t="shared" si="7"/>
        <v>8.418182</v>
      </c>
      <c r="S167" t="str">
        <f t="shared" si="8"/>
        <v>8.418182</v>
      </c>
    </row>
    <row r="168" spans="1:19" x14ac:dyDescent="0.25">
      <c r="A168">
        <v>932</v>
      </c>
      <c r="B168" t="s">
        <v>66</v>
      </c>
      <c r="C168">
        <v>87</v>
      </c>
      <c r="D168">
        <v>40</v>
      </c>
      <c r="E168">
        <v>47</v>
      </c>
      <c r="F168" s="18" t="s">
        <v>1155</v>
      </c>
      <c r="H168" t="str">
        <f>IF(B168=$H$1,COUNT($H$2:H169)+1," ")</f>
        <v xml:space="preserve"> </v>
      </c>
      <c r="L168">
        <v>167</v>
      </c>
      <c r="M168">
        <v>70</v>
      </c>
      <c r="N168">
        <v>102</v>
      </c>
      <c r="O168" s="18" t="s">
        <v>474</v>
      </c>
      <c r="P168">
        <f t="shared" si="6"/>
        <v>172</v>
      </c>
      <c r="Q168" t="str">
        <f>INDEX(Elemek!$B$2:$B$113,MATCH(M168,Elemek!$C$2:$C$113,0))</f>
        <v>Yb</v>
      </c>
      <c r="R168" t="str">
        <f t="shared" si="7"/>
        <v>8.415864</v>
      </c>
      <c r="S168" t="str">
        <f t="shared" si="8"/>
        <v>8.415864</v>
      </c>
    </row>
    <row r="169" spans="1:19" x14ac:dyDescent="0.25">
      <c r="A169">
        <v>962</v>
      </c>
      <c r="B169" t="s">
        <v>152</v>
      </c>
      <c r="C169">
        <v>77</v>
      </c>
      <c r="D169">
        <v>36</v>
      </c>
      <c r="E169">
        <v>41</v>
      </c>
      <c r="F169" s="18" t="s">
        <v>1178</v>
      </c>
      <c r="H169" t="str">
        <f>IF(B169=$H$1,COUNT($H$2:H170)+1," ")</f>
        <v xml:space="preserve"> </v>
      </c>
      <c r="L169">
        <v>168</v>
      </c>
      <c r="M169">
        <v>70</v>
      </c>
      <c r="N169">
        <v>103</v>
      </c>
      <c r="O169" s="18" t="s">
        <v>475</v>
      </c>
      <c r="P169">
        <f t="shared" si="6"/>
        <v>173</v>
      </c>
      <c r="Q169" t="str">
        <f>INDEX(Elemek!$B$2:$B$113,MATCH(M169,Elemek!$C$2:$C$113,0))</f>
        <v>Yb</v>
      </c>
      <c r="R169" t="str">
        <f t="shared" si="7"/>
        <v>8.404023</v>
      </c>
      <c r="S169" t="str">
        <f t="shared" si="8"/>
        <v>8.404023</v>
      </c>
    </row>
    <row r="170" spans="1:19" x14ac:dyDescent="0.25">
      <c r="A170">
        <v>719</v>
      </c>
      <c r="B170" t="s">
        <v>152</v>
      </c>
      <c r="C170">
        <v>76</v>
      </c>
      <c r="D170">
        <v>36</v>
      </c>
      <c r="E170">
        <v>40</v>
      </c>
      <c r="F170" s="18" t="s">
        <v>982</v>
      </c>
      <c r="H170" t="str">
        <f>IF(B170=$H$1,COUNT($H$2:H171)+1," ")</f>
        <v xml:space="preserve"> </v>
      </c>
      <c r="L170">
        <v>169</v>
      </c>
      <c r="M170">
        <v>70</v>
      </c>
      <c r="N170">
        <v>104</v>
      </c>
      <c r="O170" s="18" t="s">
        <v>476</v>
      </c>
      <c r="P170">
        <f t="shared" si="6"/>
        <v>174</v>
      </c>
      <c r="Q170" t="str">
        <f>INDEX(Elemek!$B$2:$B$113,MATCH(M170,Elemek!$C$2:$C$113,0))</f>
        <v>Yb</v>
      </c>
      <c r="R170" t="str">
        <f t="shared" si="7"/>
        <v>8.398624</v>
      </c>
      <c r="S170" t="str">
        <f t="shared" si="8"/>
        <v>8.398624</v>
      </c>
    </row>
    <row r="171" spans="1:19" x14ac:dyDescent="0.25">
      <c r="A171">
        <v>452</v>
      </c>
      <c r="B171" t="s">
        <v>267</v>
      </c>
      <c r="C171">
        <v>46</v>
      </c>
      <c r="D171">
        <v>21</v>
      </c>
      <c r="E171">
        <v>25</v>
      </c>
      <c r="F171" s="18" t="s">
        <v>751</v>
      </c>
      <c r="H171" t="str">
        <f>IF(B171=$H$1,COUNT($H$2:H172)+1," ")</f>
        <v xml:space="preserve"> </v>
      </c>
      <c r="L171">
        <v>170</v>
      </c>
      <c r="M171">
        <v>71</v>
      </c>
      <c r="N171">
        <v>104</v>
      </c>
      <c r="O171" s="18" t="s">
        <v>477</v>
      </c>
      <c r="P171">
        <f t="shared" si="6"/>
        <v>175</v>
      </c>
      <c r="Q171" t="str">
        <f>INDEX(Elemek!$B$2:$B$113,MATCH(M171,Elemek!$C$2:$C$113,0))</f>
        <v>Lu</v>
      </c>
      <c r="R171" t="str">
        <f t="shared" si="7"/>
        <v>8.386589</v>
      </c>
      <c r="S171" t="str">
        <f t="shared" si="8"/>
        <v>8.386589</v>
      </c>
    </row>
    <row r="172" spans="1:19" x14ac:dyDescent="0.25">
      <c r="A172">
        <v>428</v>
      </c>
      <c r="B172" t="s">
        <v>137</v>
      </c>
      <c r="C172">
        <v>45</v>
      </c>
      <c r="D172">
        <v>20</v>
      </c>
      <c r="E172">
        <v>25</v>
      </c>
      <c r="F172" s="18" t="s">
        <v>730</v>
      </c>
      <c r="H172" t="str">
        <f>IF(B172=$H$1,COUNT($H$2:H173)+1," ")</f>
        <v xml:space="preserve"> </v>
      </c>
      <c r="L172">
        <v>171</v>
      </c>
      <c r="M172">
        <v>73</v>
      </c>
      <c r="N172">
        <v>108</v>
      </c>
      <c r="O172" s="18" t="s">
        <v>478</v>
      </c>
      <c r="P172">
        <f t="shared" si="6"/>
        <v>181</v>
      </c>
      <c r="Q172" t="str">
        <f>INDEX(Elemek!$B$2:$B$113,MATCH(M172,Elemek!$C$2:$C$113,0))</f>
        <v>Ta</v>
      </c>
      <c r="R172" t="str">
        <f t="shared" si="7"/>
        <v>8.338961</v>
      </c>
      <c r="S172" t="str">
        <f t="shared" si="8"/>
        <v>8.338961</v>
      </c>
    </row>
    <row r="173" spans="1:19" x14ac:dyDescent="0.25">
      <c r="A173">
        <v>910</v>
      </c>
      <c r="B173" t="s">
        <v>197</v>
      </c>
      <c r="C173">
        <v>89</v>
      </c>
      <c r="D173">
        <v>41</v>
      </c>
      <c r="E173">
        <v>48</v>
      </c>
      <c r="F173" s="18" t="s">
        <v>1137</v>
      </c>
      <c r="H173" t="str">
        <f>IF(B173=$H$1,COUNT($H$2:H174)+1," ")</f>
        <v xml:space="preserve"> </v>
      </c>
      <c r="L173">
        <v>172</v>
      </c>
      <c r="M173">
        <v>75</v>
      </c>
      <c r="N173">
        <v>110</v>
      </c>
      <c r="O173" s="18" t="s">
        <v>479</v>
      </c>
      <c r="P173">
        <f t="shared" si="6"/>
        <v>185</v>
      </c>
      <c r="Q173" t="str">
        <f>INDEX(Elemek!$B$2:$B$113,MATCH(M173,Elemek!$C$2:$C$113,0))</f>
        <v>Re</v>
      </c>
      <c r="R173" t="str">
        <f t="shared" si="7"/>
        <v>8.308204</v>
      </c>
      <c r="S173" t="str">
        <f t="shared" si="8"/>
        <v>8.308204</v>
      </c>
    </row>
    <row r="174" spans="1:19" x14ac:dyDescent="0.25">
      <c r="A174">
        <v>751</v>
      </c>
      <c r="B174" t="s">
        <v>128</v>
      </c>
      <c r="C174">
        <v>93</v>
      </c>
      <c r="D174">
        <v>39</v>
      </c>
      <c r="E174">
        <v>54</v>
      </c>
      <c r="F174" s="18" t="s">
        <v>1009</v>
      </c>
      <c r="H174" t="str">
        <f>IF(B174=$H$1,COUNT($H$2:H175)+1," ")</f>
        <v xml:space="preserve"> </v>
      </c>
      <c r="L174">
        <v>173</v>
      </c>
      <c r="M174">
        <v>77</v>
      </c>
      <c r="N174">
        <v>114</v>
      </c>
      <c r="O174" s="18" t="s">
        <v>480</v>
      </c>
      <c r="P174">
        <f t="shared" si="6"/>
        <v>191</v>
      </c>
      <c r="Q174" t="str">
        <f>INDEX(Elemek!$B$2:$B$113,MATCH(M174,Elemek!$C$2:$C$113,0))</f>
        <v>Ir</v>
      </c>
      <c r="R174" t="str">
        <f t="shared" si="7"/>
        <v>8.263508</v>
      </c>
      <c r="S174" t="str">
        <f t="shared" si="8"/>
        <v>8.263508</v>
      </c>
    </row>
    <row r="175" spans="1:19" x14ac:dyDescent="0.25">
      <c r="A175">
        <v>869</v>
      </c>
      <c r="B175" t="s">
        <v>152</v>
      </c>
      <c r="C175">
        <v>88</v>
      </c>
      <c r="D175">
        <v>36</v>
      </c>
      <c r="E175">
        <v>52</v>
      </c>
      <c r="F175" s="18" t="s">
        <v>1102</v>
      </c>
      <c r="H175" t="str">
        <f>IF(B175=$H$1,COUNT($H$2:H176)+1," ")</f>
        <v xml:space="preserve"> </v>
      </c>
      <c r="L175">
        <v>174</v>
      </c>
      <c r="M175">
        <v>78</v>
      </c>
      <c r="N175">
        <v>116</v>
      </c>
      <c r="O175" s="18" t="s">
        <v>481</v>
      </c>
      <c r="P175">
        <f t="shared" si="6"/>
        <v>194</v>
      </c>
      <c r="Q175" t="str">
        <f>INDEX(Elemek!$B$2:$B$113,MATCH(M175,Elemek!$C$2:$C$113,0))</f>
        <v>Pt</v>
      </c>
      <c r="R175" t="str">
        <f t="shared" si="7"/>
        <v>8.250519</v>
      </c>
      <c r="S175" t="str">
        <f t="shared" si="8"/>
        <v>8.250519</v>
      </c>
    </row>
    <row r="176" spans="1:19" x14ac:dyDescent="0.25">
      <c r="A176">
        <v>465</v>
      </c>
      <c r="B176" t="s">
        <v>276</v>
      </c>
      <c r="C176">
        <v>95</v>
      </c>
      <c r="D176">
        <v>43</v>
      </c>
      <c r="E176">
        <v>52</v>
      </c>
      <c r="F176" s="18" t="s">
        <v>763</v>
      </c>
      <c r="H176" t="str">
        <f>IF(B176=$H$1,COUNT($H$2:H177)+1," ")</f>
        <v xml:space="preserve"> </v>
      </c>
      <c r="L176">
        <v>175</v>
      </c>
      <c r="M176">
        <v>77</v>
      </c>
      <c r="N176">
        <v>116</v>
      </c>
      <c r="O176" s="18" t="s">
        <v>482</v>
      </c>
      <c r="P176">
        <f t="shared" si="6"/>
        <v>193</v>
      </c>
      <c r="Q176" t="str">
        <f>INDEX(Elemek!$B$2:$B$113,MATCH(M176,Elemek!$C$2:$C$113,0))</f>
        <v>Ir</v>
      </c>
      <c r="R176" t="str">
        <f t="shared" si="7"/>
        <v>8.250259</v>
      </c>
      <c r="S176" t="str">
        <f t="shared" si="8"/>
        <v>8.250259</v>
      </c>
    </row>
    <row r="177" spans="1:19" x14ac:dyDescent="0.25">
      <c r="A177">
        <v>712</v>
      </c>
      <c r="B177" t="s">
        <v>66</v>
      </c>
      <c r="C177">
        <v>86</v>
      </c>
      <c r="D177">
        <v>40</v>
      </c>
      <c r="E177">
        <v>46</v>
      </c>
      <c r="F177" s="18" t="s">
        <v>977</v>
      </c>
      <c r="H177" t="str">
        <f>IF(B177=$H$1,COUNT($H$2:H178)+1," ")</f>
        <v xml:space="preserve"> </v>
      </c>
      <c r="L177">
        <v>176</v>
      </c>
      <c r="M177">
        <v>78</v>
      </c>
      <c r="N177">
        <v>117</v>
      </c>
      <c r="O177" s="18" t="s">
        <v>483</v>
      </c>
      <c r="P177">
        <f t="shared" si="6"/>
        <v>195</v>
      </c>
      <c r="Q177" t="str">
        <f>INDEX(Elemek!$B$2:$B$113,MATCH(M177,Elemek!$C$2:$C$113,0))</f>
        <v>Pt</v>
      </c>
      <c r="R177" t="str">
        <f t="shared" si="7"/>
        <v>8.239516</v>
      </c>
      <c r="S177" t="str">
        <f t="shared" si="8"/>
        <v>8.239516</v>
      </c>
    </row>
    <row r="178" spans="1:19" x14ac:dyDescent="0.25">
      <c r="A178">
        <v>56</v>
      </c>
      <c r="B178" t="s">
        <v>182</v>
      </c>
      <c r="C178">
        <v>97</v>
      </c>
      <c r="D178">
        <v>42</v>
      </c>
      <c r="E178">
        <v>55</v>
      </c>
      <c r="F178" s="18" t="s">
        <v>363</v>
      </c>
      <c r="H178" t="str">
        <f>IF(B178=$H$1,COUNT($H$2:H179)+1," ")</f>
        <v xml:space="preserve"> </v>
      </c>
      <c r="L178">
        <v>177</v>
      </c>
      <c r="M178">
        <v>78</v>
      </c>
      <c r="N178">
        <v>118</v>
      </c>
      <c r="O178" s="18" t="s">
        <v>484</v>
      </c>
      <c r="P178">
        <f t="shared" si="6"/>
        <v>196</v>
      </c>
      <c r="Q178" t="str">
        <f>INDEX(Elemek!$B$2:$B$113,MATCH(M178,Elemek!$C$2:$C$113,0))</f>
        <v>Pt</v>
      </c>
      <c r="R178" t="str">
        <f t="shared" si="7"/>
        <v>8.237896</v>
      </c>
      <c r="S178" t="str">
        <f t="shared" si="8"/>
        <v>8.237896</v>
      </c>
    </row>
    <row r="179" spans="1:19" x14ac:dyDescent="0.25">
      <c r="A179">
        <v>464</v>
      </c>
      <c r="B179" t="s">
        <v>66</v>
      </c>
      <c r="C179">
        <v>95</v>
      </c>
      <c r="D179">
        <v>40</v>
      </c>
      <c r="E179">
        <v>55</v>
      </c>
      <c r="F179" s="18" t="s">
        <v>762</v>
      </c>
      <c r="H179" t="str">
        <f>IF(B179=$H$1,COUNT($H$2:H180)+1," ")</f>
        <v xml:space="preserve"> </v>
      </c>
      <c r="L179">
        <v>178</v>
      </c>
      <c r="M179">
        <v>79</v>
      </c>
      <c r="N179">
        <v>118</v>
      </c>
      <c r="O179" s="18" t="s">
        <v>485</v>
      </c>
      <c r="P179">
        <f t="shared" si="6"/>
        <v>197</v>
      </c>
      <c r="Q179" t="str">
        <f>INDEX(Elemek!$B$2:$B$113,MATCH(M179,Elemek!$C$2:$C$113,0))</f>
        <v>Au</v>
      </c>
      <c r="R179" t="str">
        <f t="shared" si="7"/>
        <v>8.229404</v>
      </c>
      <c r="S179" t="str">
        <f t="shared" si="8"/>
        <v>8.229404</v>
      </c>
    </row>
    <row r="180" spans="1:19" x14ac:dyDescent="0.25">
      <c r="A180">
        <v>575</v>
      </c>
      <c r="B180" t="s">
        <v>137</v>
      </c>
      <c r="C180">
        <v>47</v>
      </c>
      <c r="D180">
        <v>20</v>
      </c>
      <c r="E180">
        <v>27</v>
      </c>
      <c r="F180" s="18" t="s">
        <v>860</v>
      </c>
      <c r="H180" t="str">
        <f>IF(B180=$H$1,COUNT($H$2:H181)+1," ")</f>
        <v xml:space="preserve"> </v>
      </c>
      <c r="L180">
        <v>179</v>
      </c>
      <c r="M180">
        <v>80</v>
      </c>
      <c r="N180">
        <v>118</v>
      </c>
      <c r="O180" s="18" t="s">
        <v>486</v>
      </c>
      <c r="P180">
        <f t="shared" si="6"/>
        <v>198</v>
      </c>
      <c r="Q180" t="str">
        <f>INDEX(Elemek!$B$2:$B$113,MATCH(M180,Elemek!$C$2:$C$113,0))</f>
        <v>Hg</v>
      </c>
      <c r="R180" t="str">
        <f t="shared" si="7"/>
        <v>8.227663</v>
      </c>
      <c r="S180" t="str">
        <f t="shared" si="8"/>
        <v>8.227663</v>
      </c>
    </row>
    <row r="181" spans="1:19" x14ac:dyDescent="0.25">
      <c r="A181">
        <v>877</v>
      </c>
      <c r="B181" t="s">
        <v>256</v>
      </c>
      <c r="C181">
        <v>92</v>
      </c>
      <c r="D181">
        <v>38</v>
      </c>
      <c r="E181">
        <v>54</v>
      </c>
      <c r="F181" s="18" t="s">
        <v>1108</v>
      </c>
      <c r="H181" t="str">
        <f>IF(B181=$H$1,COUNT($H$2:H182)+1," ")</f>
        <v xml:space="preserve"> </v>
      </c>
      <c r="L181">
        <v>180</v>
      </c>
      <c r="M181">
        <v>80</v>
      </c>
      <c r="N181">
        <v>119</v>
      </c>
      <c r="O181" s="18" t="s">
        <v>487</v>
      </c>
      <c r="P181">
        <f t="shared" si="6"/>
        <v>199</v>
      </c>
      <c r="Q181" t="str">
        <f>INDEX(Elemek!$B$2:$B$113,MATCH(M181,Elemek!$C$2:$C$113,0))</f>
        <v>Hg</v>
      </c>
      <c r="R181" t="str">
        <f t="shared" si="7"/>
        <v>8.219805</v>
      </c>
      <c r="S181" t="str">
        <f t="shared" si="8"/>
        <v>8.219805</v>
      </c>
    </row>
    <row r="182" spans="1:19" x14ac:dyDescent="0.25">
      <c r="A182">
        <v>57</v>
      </c>
      <c r="B182" t="s">
        <v>249</v>
      </c>
      <c r="C182">
        <v>98</v>
      </c>
      <c r="D182">
        <v>44</v>
      </c>
      <c r="E182">
        <v>54</v>
      </c>
      <c r="F182" s="18" t="s">
        <v>364</v>
      </c>
      <c r="H182" t="str">
        <f>IF(B182=$H$1,COUNT($H$2:H183)+1," ")</f>
        <v xml:space="preserve"> </v>
      </c>
      <c r="L182">
        <v>181</v>
      </c>
      <c r="M182">
        <v>80</v>
      </c>
      <c r="N182">
        <v>120</v>
      </c>
      <c r="O182" s="18" t="s">
        <v>488</v>
      </c>
      <c r="P182">
        <f t="shared" si="6"/>
        <v>200</v>
      </c>
      <c r="Q182" t="str">
        <f>INDEX(Elemek!$B$2:$B$113,MATCH(M182,Elemek!$C$2:$C$113,0))</f>
        <v>Hg</v>
      </c>
      <c r="R182" t="str">
        <f t="shared" si="7"/>
        <v>8.218848</v>
      </c>
      <c r="S182" t="str">
        <f t="shared" si="8"/>
        <v>8.218848</v>
      </c>
    </row>
    <row r="183" spans="1:19" x14ac:dyDescent="0.25">
      <c r="A183">
        <v>296</v>
      </c>
      <c r="B183" t="s">
        <v>276</v>
      </c>
      <c r="C183">
        <v>97</v>
      </c>
      <c r="D183">
        <v>43</v>
      </c>
      <c r="E183">
        <v>54</v>
      </c>
      <c r="F183" s="18" t="s">
        <v>603</v>
      </c>
      <c r="H183" t="str">
        <f>IF(B183=$H$1,COUNT($H$2:H184)+1," ")</f>
        <v xml:space="preserve"> </v>
      </c>
      <c r="L183">
        <v>182</v>
      </c>
      <c r="M183">
        <v>80</v>
      </c>
      <c r="N183">
        <v>121</v>
      </c>
      <c r="O183" s="18" t="s">
        <v>489</v>
      </c>
      <c r="P183">
        <f t="shared" si="6"/>
        <v>201</v>
      </c>
      <c r="Q183" t="str">
        <f>INDEX(Elemek!$B$2:$B$113,MATCH(M183,Elemek!$C$2:$C$113,0))</f>
        <v>Hg</v>
      </c>
      <c r="R183" t="str">
        <f t="shared" si="7"/>
        <v>8.208956</v>
      </c>
      <c r="S183" t="str">
        <f t="shared" si="8"/>
        <v>8.208956</v>
      </c>
    </row>
    <row r="184" spans="1:19" x14ac:dyDescent="0.25">
      <c r="A184">
        <v>251</v>
      </c>
      <c r="B184" t="s">
        <v>182</v>
      </c>
      <c r="C184">
        <v>98</v>
      </c>
      <c r="D184">
        <v>42</v>
      </c>
      <c r="E184">
        <v>56</v>
      </c>
      <c r="F184" s="18" t="s">
        <v>558</v>
      </c>
      <c r="H184" t="str">
        <f>IF(B184=$H$1,COUNT($H$2:H185)+1," ")</f>
        <v xml:space="preserve"> </v>
      </c>
      <c r="L184">
        <v>183</v>
      </c>
      <c r="M184">
        <v>80</v>
      </c>
      <c r="N184">
        <v>122</v>
      </c>
      <c r="O184" s="18" t="s">
        <v>490</v>
      </c>
      <c r="P184">
        <f t="shared" si="6"/>
        <v>202</v>
      </c>
      <c r="Q184" t="str">
        <f>INDEX(Elemek!$B$2:$B$113,MATCH(M184,Elemek!$C$2:$C$113,0))</f>
        <v>Hg</v>
      </c>
      <c r="R184" t="str">
        <f t="shared" si="7"/>
        <v>8.206703</v>
      </c>
      <c r="S184" t="str">
        <f t="shared" si="8"/>
        <v>8.206703</v>
      </c>
    </row>
    <row r="185" spans="1:19" x14ac:dyDescent="0.25">
      <c r="A185">
        <v>874</v>
      </c>
      <c r="B185" t="s">
        <v>276</v>
      </c>
      <c r="C185">
        <v>93</v>
      </c>
      <c r="D185">
        <v>43</v>
      </c>
      <c r="E185">
        <v>50</v>
      </c>
      <c r="F185" s="18" t="s">
        <v>1106</v>
      </c>
      <c r="H185" t="str">
        <f>IF(B185=$H$1,COUNT($H$2:H186)+1," ")</f>
        <v xml:space="preserve"> </v>
      </c>
      <c r="L185">
        <v>184</v>
      </c>
      <c r="M185">
        <v>81</v>
      </c>
      <c r="N185">
        <v>122</v>
      </c>
      <c r="O185" s="18" t="s">
        <v>491</v>
      </c>
      <c r="P185">
        <f t="shared" si="6"/>
        <v>203</v>
      </c>
      <c r="Q185" t="str">
        <f>INDEX(Elemek!$B$2:$B$113,MATCH(M185,Elemek!$C$2:$C$113,0))</f>
        <v>Tl</v>
      </c>
      <c r="R185" t="str">
        <f t="shared" si="7"/>
        <v>8.19823</v>
      </c>
      <c r="S185" t="str">
        <f t="shared" si="8"/>
        <v>8.19823</v>
      </c>
    </row>
    <row r="186" spans="1:19" x14ac:dyDescent="0.25">
      <c r="A186">
        <v>205</v>
      </c>
      <c r="B186" t="s">
        <v>249</v>
      </c>
      <c r="C186">
        <v>96</v>
      </c>
      <c r="D186">
        <v>44</v>
      </c>
      <c r="E186">
        <v>52</v>
      </c>
      <c r="F186" s="18" t="s">
        <v>512</v>
      </c>
      <c r="H186" t="str">
        <f>IF(B186=$H$1,COUNT($H$2:H187)+1," ")</f>
        <v xml:space="preserve"> </v>
      </c>
      <c r="L186">
        <v>185</v>
      </c>
      <c r="M186">
        <v>80</v>
      </c>
      <c r="N186">
        <v>124</v>
      </c>
      <c r="O186" s="18" t="s">
        <v>492</v>
      </c>
      <c r="P186">
        <f t="shared" si="6"/>
        <v>204</v>
      </c>
      <c r="Q186" t="str">
        <f>INDEX(Elemek!$B$2:$B$113,MATCH(M186,Elemek!$C$2:$C$113,0))</f>
        <v>Hg</v>
      </c>
      <c r="R186" t="str">
        <f t="shared" si="7"/>
        <v>8.192358</v>
      </c>
      <c r="S186" t="str">
        <f t="shared" si="8"/>
        <v>8.192358</v>
      </c>
    </row>
    <row r="187" spans="1:19" x14ac:dyDescent="0.25">
      <c r="A187">
        <v>814</v>
      </c>
      <c r="B187" t="s">
        <v>276</v>
      </c>
      <c r="C187">
        <v>94</v>
      </c>
      <c r="D187">
        <v>43</v>
      </c>
      <c r="E187">
        <v>51</v>
      </c>
      <c r="F187" s="18" t="s">
        <v>1058</v>
      </c>
      <c r="H187" t="str">
        <f>IF(B187=$H$1,COUNT($H$2:H188)+1," ")</f>
        <v xml:space="preserve"> </v>
      </c>
      <c r="L187">
        <v>186</v>
      </c>
      <c r="M187">
        <v>81</v>
      </c>
      <c r="N187">
        <v>124</v>
      </c>
      <c r="O187" s="18" t="s">
        <v>493</v>
      </c>
      <c r="P187">
        <f t="shared" si="6"/>
        <v>205</v>
      </c>
      <c r="Q187" t="str">
        <f>INDEX(Elemek!$B$2:$B$113,MATCH(M187,Elemek!$C$2:$C$113,0))</f>
        <v>Tl</v>
      </c>
      <c r="R187" t="str">
        <f t="shared" si="7"/>
        <v>8.187526</v>
      </c>
      <c r="S187" t="str">
        <f t="shared" si="8"/>
        <v>8.187526</v>
      </c>
    </row>
    <row r="188" spans="1:19" x14ac:dyDescent="0.25">
      <c r="A188">
        <v>579</v>
      </c>
      <c r="B188" t="s">
        <v>276</v>
      </c>
      <c r="C188">
        <v>96</v>
      </c>
      <c r="D188">
        <v>43</v>
      </c>
      <c r="E188">
        <v>53</v>
      </c>
      <c r="F188" s="18" t="s">
        <v>862</v>
      </c>
      <c r="H188" t="str">
        <f>IF(B188=$H$1,COUNT($H$2:H189)+1," ")</f>
        <v xml:space="preserve"> </v>
      </c>
      <c r="L188">
        <v>187</v>
      </c>
      <c r="M188">
        <v>20</v>
      </c>
      <c r="N188">
        <v>20</v>
      </c>
      <c r="O188" s="18" t="s">
        <v>494</v>
      </c>
      <c r="P188">
        <f t="shared" si="6"/>
        <v>40</v>
      </c>
      <c r="Q188" t="str">
        <f>INDEX(Elemek!$B$2:$B$113,MATCH(M188,Elemek!$C$2:$C$113,0))</f>
        <v>Ca</v>
      </c>
      <c r="R188" t="str">
        <f t="shared" si="7"/>
        <v>8.942485</v>
      </c>
      <c r="S188" t="str">
        <f t="shared" si="8"/>
        <v>8.942485</v>
      </c>
    </row>
    <row r="189" spans="1:19" x14ac:dyDescent="0.25">
      <c r="A189">
        <v>58</v>
      </c>
      <c r="B189" t="s">
        <v>137</v>
      </c>
      <c r="C189">
        <v>43</v>
      </c>
      <c r="D189">
        <v>20</v>
      </c>
      <c r="E189">
        <v>23</v>
      </c>
      <c r="F189" s="18" t="s">
        <v>365</v>
      </c>
      <c r="H189" t="str">
        <f>IF(B189=$H$1,COUNT($H$2:H190)+1," ")</f>
        <v xml:space="preserve"> </v>
      </c>
      <c r="L189">
        <v>188</v>
      </c>
      <c r="M189">
        <v>74</v>
      </c>
      <c r="N189">
        <v>110</v>
      </c>
      <c r="O189" s="18" t="s">
        <v>495</v>
      </c>
      <c r="P189">
        <f t="shared" si="6"/>
        <v>184</v>
      </c>
      <c r="Q189" t="str">
        <f>INDEX(Elemek!$B$2:$B$113,MATCH(M189,Elemek!$C$2:$C$113,0))</f>
        <v>W</v>
      </c>
      <c r="R189" t="str">
        <f t="shared" si="7"/>
        <v>8.319737</v>
      </c>
      <c r="S189" t="str">
        <f t="shared" si="8"/>
        <v>8.319737</v>
      </c>
    </row>
    <row r="190" spans="1:19" x14ac:dyDescent="0.25">
      <c r="A190">
        <v>59</v>
      </c>
      <c r="B190" t="s">
        <v>249</v>
      </c>
      <c r="C190">
        <v>100</v>
      </c>
      <c r="D190">
        <v>44</v>
      </c>
      <c r="E190">
        <v>56</v>
      </c>
      <c r="F190" s="18" t="s">
        <v>366</v>
      </c>
      <c r="H190" t="str">
        <f>IF(B190=$H$1,COUNT($H$2:H191)+1," ")</f>
        <v xml:space="preserve"> </v>
      </c>
      <c r="L190">
        <v>189</v>
      </c>
      <c r="M190">
        <v>74</v>
      </c>
      <c r="N190">
        <v>108</v>
      </c>
      <c r="O190" s="18" t="s">
        <v>496</v>
      </c>
      <c r="P190">
        <f t="shared" si="6"/>
        <v>182</v>
      </c>
      <c r="Q190" t="str">
        <f>INDEX(Elemek!$B$2:$B$113,MATCH(M190,Elemek!$C$2:$C$113,0))</f>
        <v>W</v>
      </c>
      <c r="R190" t="str">
        <f t="shared" si="7"/>
        <v>8.336424</v>
      </c>
      <c r="S190" t="str">
        <f t="shared" si="8"/>
        <v>8.336424</v>
      </c>
    </row>
    <row r="191" spans="1:19" x14ac:dyDescent="0.25">
      <c r="A191">
        <v>686</v>
      </c>
      <c r="B191" t="s">
        <v>155</v>
      </c>
      <c r="C191">
        <v>48</v>
      </c>
      <c r="D191">
        <v>24</v>
      </c>
      <c r="E191">
        <v>24</v>
      </c>
      <c r="F191" s="18" t="s">
        <v>954</v>
      </c>
      <c r="H191" t="str">
        <f>IF(B191=$H$1,COUNT($H$2:H192)+1," ")</f>
        <v xml:space="preserve"> </v>
      </c>
      <c r="L191">
        <v>190</v>
      </c>
      <c r="M191">
        <v>82</v>
      </c>
      <c r="N191">
        <v>126</v>
      </c>
      <c r="O191" s="18" t="s">
        <v>497</v>
      </c>
      <c r="P191">
        <f t="shared" si="6"/>
        <v>208</v>
      </c>
      <c r="Q191" t="str">
        <f>INDEX(Elemek!$B$2:$B$113,MATCH(M191,Elemek!$C$2:$C$113,0))</f>
        <v>Pb</v>
      </c>
      <c r="R191" t="str">
        <f t="shared" si="7"/>
        <v>8.175888</v>
      </c>
      <c r="S191" t="str">
        <f t="shared" si="8"/>
        <v>8.175888</v>
      </c>
    </row>
    <row r="192" spans="1:19" x14ac:dyDescent="0.25">
      <c r="A192">
        <v>680</v>
      </c>
      <c r="B192" t="s">
        <v>197</v>
      </c>
      <c r="C192">
        <v>96</v>
      </c>
      <c r="D192">
        <v>41</v>
      </c>
      <c r="E192">
        <v>55</v>
      </c>
      <c r="F192" s="18" t="s">
        <v>949</v>
      </c>
      <c r="H192" t="str">
        <f>IF(B192=$H$1,COUNT($H$2:H193)+1," ")</f>
        <v xml:space="preserve"> </v>
      </c>
      <c r="L192">
        <v>191</v>
      </c>
      <c r="M192">
        <v>82</v>
      </c>
      <c r="N192">
        <v>124</v>
      </c>
      <c r="O192" s="18" t="s">
        <v>498</v>
      </c>
      <c r="P192">
        <f t="shared" si="6"/>
        <v>206</v>
      </c>
      <c r="Q192" t="str">
        <f>INDEX(Elemek!$B$2:$B$113,MATCH(M192,Elemek!$C$2:$C$113,0))</f>
        <v>Pb</v>
      </c>
      <c r="R192" t="str">
        <f t="shared" si="7"/>
        <v>8.186791</v>
      </c>
      <c r="S192" t="str">
        <f t="shared" si="8"/>
        <v>8.186791</v>
      </c>
    </row>
    <row r="193" spans="1:19" x14ac:dyDescent="0.25">
      <c r="A193">
        <v>797</v>
      </c>
      <c r="B193" t="s">
        <v>182</v>
      </c>
      <c r="C193">
        <v>90</v>
      </c>
      <c r="D193">
        <v>42</v>
      </c>
      <c r="E193">
        <v>48</v>
      </c>
      <c r="F193" s="18" t="s">
        <v>1043</v>
      </c>
      <c r="H193" t="str">
        <f>IF(B193=$H$1,COUNT($H$2:H194)+1," ")</f>
        <v xml:space="preserve"> </v>
      </c>
      <c r="L193">
        <v>192</v>
      </c>
      <c r="M193">
        <v>54</v>
      </c>
      <c r="N193">
        <v>72</v>
      </c>
      <c r="O193" s="18" t="s">
        <v>499</v>
      </c>
      <c r="P193">
        <f t="shared" si="6"/>
        <v>126</v>
      </c>
      <c r="Q193" t="str">
        <f>INDEX(Elemek!$B$2:$B$113,MATCH(M193,Elemek!$C$2:$C$113,0))</f>
        <v>Xe</v>
      </c>
      <c r="R193" t="str">
        <f t="shared" si="7"/>
        <v>8.77901</v>
      </c>
      <c r="S193" t="str">
        <f t="shared" si="8"/>
        <v>8.77901</v>
      </c>
    </row>
    <row r="194" spans="1:19" x14ac:dyDescent="0.25">
      <c r="A194">
        <v>262</v>
      </c>
      <c r="B194" t="s">
        <v>66</v>
      </c>
      <c r="C194">
        <v>96</v>
      </c>
      <c r="D194">
        <v>40</v>
      </c>
      <c r="E194">
        <v>56</v>
      </c>
      <c r="F194" s="18" t="s">
        <v>569</v>
      </c>
      <c r="H194" t="str">
        <f>IF(B194=$H$1,COUNT($H$2:H195)+1," ")</f>
        <v xml:space="preserve"> </v>
      </c>
      <c r="L194">
        <v>193</v>
      </c>
      <c r="M194">
        <v>82</v>
      </c>
      <c r="N194">
        <v>125</v>
      </c>
      <c r="O194" s="18" t="s">
        <v>500</v>
      </c>
      <c r="P194">
        <f t="shared" si="6"/>
        <v>207</v>
      </c>
      <c r="Q194" t="str">
        <f>INDEX(Elemek!$B$2:$B$113,MATCH(M194,Elemek!$C$2:$C$113,0))</f>
        <v>Pb</v>
      </c>
      <c r="R194" t="str">
        <f t="shared" si="7"/>
        <v>8.179791</v>
      </c>
      <c r="S194" t="str">
        <f t="shared" si="8"/>
        <v>8.179791</v>
      </c>
    </row>
    <row r="195" spans="1:19" x14ac:dyDescent="0.25">
      <c r="A195">
        <v>603</v>
      </c>
      <c r="B195" t="s">
        <v>249</v>
      </c>
      <c r="C195">
        <v>97</v>
      </c>
      <c r="D195">
        <v>44</v>
      </c>
      <c r="E195">
        <v>53</v>
      </c>
      <c r="F195" s="18" t="s">
        <v>883</v>
      </c>
      <c r="H195" t="str">
        <f>IF(B195=$H$1,COUNT($H$2:H196)+1," ")</f>
        <v xml:space="preserve"> </v>
      </c>
      <c r="L195">
        <v>194</v>
      </c>
      <c r="M195">
        <v>52</v>
      </c>
      <c r="N195">
        <v>68</v>
      </c>
      <c r="O195" s="18" t="s">
        <v>501</v>
      </c>
      <c r="P195">
        <f t="shared" ref="P195:P258" si="9">N195+M195</f>
        <v>120</v>
      </c>
      <c r="Q195" t="str">
        <f>INDEX(Elemek!$B$2:$B$113,MATCH(M195,Elemek!$C$2:$C$113,0))</f>
        <v>Te</v>
      </c>
      <c r="R195" t="str">
        <f t="shared" ref="R195:R258" si="10">IF(NOT(ISBLANK(O195)),O195,ROUNDDOWN(AVERAGE($O$2:$O$990),2))</f>
        <v>8.816369</v>
      </c>
      <c r="S195" t="str">
        <f t="shared" ref="S195:S258" si="11">IF(ISBLANK(O195),ROUNDDOWN(AVERAGEIF($M$2:$M$990,M195,$O$2:$O$990),2),O195)</f>
        <v>8.816369</v>
      </c>
    </row>
    <row r="196" spans="1:19" x14ac:dyDescent="0.25">
      <c r="A196">
        <v>60</v>
      </c>
      <c r="B196" t="s">
        <v>249</v>
      </c>
      <c r="C196">
        <v>99</v>
      </c>
      <c r="D196">
        <v>44</v>
      </c>
      <c r="E196">
        <v>55</v>
      </c>
      <c r="F196" s="18" t="s">
        <v>367</v>
      </c>
      <c r="H196" t="str">
        <f>IF(B196=$H$1,COUNT($H$2:H197)+1," ")</f>
        <v xml:space="preserve"> </v>
      </c>
      <c r="L196">
        <v>195</v>
      </c>
      <c r="M196">
        <v>48</v>
      </c>
      <c r="N196">
        <v>58</v>
      </c>
      <c r="O196" s="18" t="s">
        <v>502</v>
      </c>
      <c r="P196">
        <f t="shared" si="9"/>
        <v>106</v>
      </c>
      <c r="Q196" t="str">
        <f>INDEX(Elemek!$B$2:$B$113,MATCH(M196,Elemek!$C$2:$C$113,0))</f>
        <v>Cd</v>
      </c>
      <c r="R196" t="str">
        <f t="shared" si="10"/>
        <v>8.893327</v>
      </c>
      <c r="S196" t="str">
        <f t="shared" si="11"/>
        <v>8.893327</v>
      </c>
    </row>
    <row r="197" spans="1:19" x14ac:dyDescent="0.25">
      <c r="A197">
        <v>966</v>
      </c>
      <c r="B197" t="s">
        <v>197</v>
      </c>
      <c r="C197">
        <v>97</v>
      </c>
      <c r="D197">
        <v>41</v>
      </c>
      <c r="E197">
        <v>56</v>
      </c>
      <c r="F197" s="18" t="s">
        <v>1182</v>
      </c>
      <c r="H197" t="str">
        <f>IF(B197=$H$1,COUNT($H$2:H198)+1," ")</f>
        <v xml:space="preserve"> </v>
      </c>
      <c r="L197">
        <v>196</v>
      </c>
      <c r="M197">
        <v>54</v>
      </c>
      <c r="N197">
        <v>80</v>
      </c>
      <c r="O197" s="18" t="s">
        <v>503</v>
      </c>
      <c r="P197">
        <f t="shared" si="9"/>
        <v>134</v>
      </c>
      <c r="Q197" t="str">
        <f>INDEX(Elemek!$B$2:$B$113,MATCH(M197,Elemek!$C$2:$C$113,0))</f>
        <v>Xe</v>
      </c>
      <c r="R197" t="str">
        <f t="shared" si="10"/>
        <v>8.728973</v>
      </c>
      <c r="S197" t="str">
        <f t="shared" si="11"/>
        <v>8.728973</v>
      </c>
    </row>
    <row r="198" spans="1:19" x14ac:dyDescent="0.25">
      <c r="A198">
        <v>316</v>
      </c>
      <c r="B198" t="s">
        <v>276</v>
      </c>
      <c r="C198">
        <v>99</v>
      </c>
      <c r="D198">
        <v>43</v>
      </c>
      <c r="E198">
        <v>56</v>
      </c>
      <c r="F198" s="18" t="s">
        <v>623</v>
      </c>
      <c r="H198" t="str">
        <f>IF(B198=$H$1,COUNT($H$2:H199)+1," ")</f>
        <v xml:space="preserve"> </v>
      </c>
      <c r="L198">
        <v>197</v>
      </c>
      <c r="M198">
        <v>28</v>
      </c>
      <c r="N198">
        <v>30</v>
      </c>
      <c r="O198" s="18" t="s">
        <v>504</v>
      </c>
      <c r="P198">
        <f t="shared" si="9"/>
        <v>58</v>
      </c>
      <c r="Q198" t="str">
        <f>INDEX(Elemek!$B$2:$B$113,MATCH(M198,Elemek!$C$2:$C$113,0))</f>
        <v>Ni</v>
      </c>
      <c r="R198" t="str">
        <f t="shared" si="10"/>
        <v>9.109736</v>
      </c>
      <c r="S198" t="str">
        <f t="shared" si="11"/>
        <v>9.109736</v>
      </c>
    </row>
    <row r="199" spans="1:19" x14ac:dyDescent="0.25">
      <c r="A199">
        <v>297</v>
      </c>
      <c r="B199" t="s">
        <v>276</v>
      </c>
      <c r="C199">
        <v>98</v>
      </c>
      <c r="D199">
        <v>43</v>
      </c>
      <c r="E199">
        <v>55</v>
      </c>
      <c r="F199" s="18" t="s">
        <v>604</v>
      </c>
      <c r="H199" t="str">
        <f>IF(B199=$H$1,COUNT($H$2:H200)+1," ")</f>
        <v xml:space="preserve"> </v>
      </c>
      <c r="L199">
        <v>198</v>
      </c>
      <c r="M199">
        <v>74</v>
      </c>
      <c r="N199">
        <v>109</v>
      </c>
      <c r="O199" s="18" t="s">
        <v>505</v>
      </c>
      <c r="P199">
        <f t="shared" si="9"/>
        <v>183</v>
      </c>
      <c r="Q199" t="str">
        <f>INDEX(Elemek!$B$2:$B$113,MATCH(M199,Elemek!$C$2:$C$113,0))</f>
        <v>W</v>
      </c>
      <c r="R199" t="str">
        <f t="shared" si="10"/>
        <v>8.324699</v>
      </c>
      <c r="S199" t="str">
        <f t="shared" si="11"/>
        <v>8.324699</v>
      </c>
    </row>
    <row r="200" spans="1:19" x14ac:dyDescent="0.25">
      <c r="A200">
        <v>61</v>
      </c>
      <c r="B200" t="s">
        <v>143</v>
      </c>
      <c r="C200">
        <v>34</v>
      </c>
      <c r="D200">
        <v>16</v>
      </c>
      <c r="E200">
        <v>18</v>
      </c>
      <c r="F200" s="18" t="s">
        <v>368</v>
      </c>
      <c r="H200" t="str">
        <f>IF(B200=$H$1,COUNT($H$2:H201)+1," ")</f>
        <v xml:space="preserve"> </v>
      </c>
      <c r="L200">
        <v>199</v>
      </c>
      <c r="M200">
        <v>26</v>
      </c>
      <c r="N200">
        <v>28</v>
      </c>
      <c r="O200" s="18" t="s">
        <v>506</v>
      </c>
      <c r="P200">
        <f t="shared" si="9"/>
        <v>54</v>
      </c>
      <c r="Q200" t="str">
        <f>INDEX(Elemek!$B$2:$B$113,MATCH(M200,Elemek!$C$2:$C$113,0))</f>
        <v>Fe</v>
      </c>
      <c r="R200" t="str">
        <f t="shared" si="10"/>
        <v>9.11304</v>
      </c>
      <c r="S200" t="str">
        <f t="shared" si="11"/>
        <v>9.11304</v>
      </c>
    </row>
    <row r="201" spans="1:19" x14ac:dyDescent="0.25">
      <c r="A201">
        <v>925</v>
      </c>
      <c r="B201" t="s">
        <v>256</v>
      </c>
      <c r="C201">
        <v>80</v>
      </c>
      <c r="D201">
        <v>38</v>
      </c>
      <c r="E201">
        <v>42</v>
      </c>
      <c r="F201" s="18" t="s">
        <v>1148</v>
      </c>
      <c r="H201" t="str">
        <f>IF(B201=$H$1,COUNT($H$2:H202)+1," ")</f>
        <v xml:space="preserve"> </v>
      </c>
      <c r="L201">
        <v>200</v>
      </c>
      <c r="M201">
        <v>56</v>
      </c>
      <c r="N201">
        <v>76</v>
      </c>
      <c r="O201" s="18" t="s">
        <v>507</v>
      </c>
      <c r="P201">
        <f t="shared" si="9"/>
        <v>132</v>
      </c>
      <c r="Q201" t="str">
        <f>INDEX(Elemek!$B$2:$B$113,MATCH(M201,Elemek!$C$2:$C$113,0))</f>
        <v>Ba</v>
      </c>
      <c r="R201" t="str">
        <f t="shared" si="10"/>
        <v>8.741288</v>
      </c>
      <c r="S201" t="str">
        <f t="shared" si="11"/>
        <v>8.741288</v>
      </c>
    </row>
    <row r="202" spans="1:19" x14ac:dyDescent="0.25">
      <c r="A202">
        <v>936</v>
      </c>
      <c r="B202" t="s">
        <v>249</v>
      </c>
      <c r="C202">
        <v>95</v>
      </c>
      <c r="D202">
        <v>44</v>
      </c>
      <c r="E202">
        <v>51</v>
      </c>
      <c r="F202" s="18" t="s">
        <v>1158</v>
      </c>
      <c r="H202" t="str">
        <f>IF(B202=$H$1,COUNT($H$2:H203)+1," ")</f>
        <v xml:space="preserve"> </v>
      </c>
      <c r="L202">
        <v>201</v>
      </c>
      <c r="M202">
        <v>46</v>
      </c>
      <c r="N202">
        <v>64</v>
      </c>
      <c r="O202" s="18" t="s">
        <v>508</v>
      </c>
      <c r="P202">
        <f t="shared" si="9"/>
        <v>110</v>
      </c>
      <c r="Q202" t="str">
        <f>INDEX(Elemek!$B$2:$B$113,MATCH(M202,Elemek!$C$2:$C$113,0))</f>
        <v>Pd</v>
      </c>
      <c r="R202" t="str">
        <f t="shared" si="10"/>
        <v>8.8745</v>
      </c>
      <c r="S202" t="str">
        <f t="shared" si="11"/>
        <v>8.8745</v>
      </c>
    </row>
    <row r="203" spans="1:19" x14ac:dyDescent="0.25">
      <c r="A203">
        <v>62</v>
      </c>
      <c r="B203" t="s">
        <v>26</v>
      </c>
      <c r="C203">
        <v>40</v>
      </c>
      <c r="D203">
        <v>18</v>
      </c>
      <c r="E203">
        <v>22</v>
      </c>
      <c r="F203" s="18" t="s">
        <v>369</v>
      </c>
      <c r="H203" t="str">
        <f>IF(B203=$H$1,COUNT($H$2:H204)+1," ")</f>
        <v xml:space="preserve"> </v>
      </c>
      <c r="L203">
        <v>202</v>
      </c>
      <c r="M203">
        <v>42</v>
      </c>
      <c r="N203">
        <v>50</v>
      </c>
      <c r="O203" s="18" t="s">
        <v>509</v>
      </c>
      <c r="P203">
        <f t="shared" si="9"/>
        <v>92</v>
      </c>
      <c r="Q203" t="str">
        <f>INDEX(Elemek!$B$2:$B$113,MATCH(M203,Elemek!$C$2:$C$113,0))</f>
        <v>Mo</v>
      </c>
      <c r="R203" t="str">
        <f t="shared" si="10"/>
        <v>9.01486</v>
      </c>
      <c r="S203" t="str">
        <f t="shared" si="11"/>
        <v>9.01486</v>
      </c>
    </row>
    <row r="204" spans="1:19" x14ac:dyDescent="0.25">
      <c r="A204">
        <v>63</v>
      </c>
      <c r="B204" t="s">
        <v>249</v>
      </c>
      <c r="C204">
        <v>102</v>
      </c>
      <c r="D204">
        <v>44</v>
      </c>
      <c r="E204">
        <v>58</v>
      </c>
      <c r="F204" s="18" t="s">
        <v>370</v>
      </c>
      <c r="H204" t="str">
        <f>IF(B204=$H$1,COUNT($H$2:H205)+1," ")</f>
        <v xml:space="preserve"> </v>
      </c>
      <c r="L204">
        <v>203</v>
      </c>
      <c r="M204">
        <v>82</v>
      </c>
      <c r="N204">
        <v>122</v>
      </c>
      <c r="O204" s="18" t="s">
        <v>510</v>
      </c>
      <c r="P204">
        <f t="shared" si="9"/>
        <v>204</v>
      </c>
      <c r="Q204" t="str">
        <f>INDEX(Elemek!$B$2:$B$113,MATCH(M204,Elemek!$C$2:$C$113,0))</f>
        <v>Pb</v>
      </c>
      <c r="R204" t="str">
        <f t="shared" si="10"/>
        <v>8.194414</v>
      </c>
      <c r="S204" t="str">
        <f t="shared" si="11"/>
        <v>8.194414</v>
      </c>
    </row>
    <row r="205" spans="1:19" x14ac:dyDescent="0.25">
      <c r="A205">
        <v>187</v>
      </c>
      <c r="B205" t="s">
        <v>137</v>
      </c>
      <c r="C205">
        <v>40</v>
      </c>
      <c r="D205">
        <v>20</v>
      </c>
      <c r="E205">
        <v>20</v>
      </c>
      <c r="F205" s="18" t="s">
        <v>494</v>
      </c>
      <c r="H205" t="str">
        <f>IF(B205=$H$1,COUNT($H$2:H206)+1," ")</f>
        <v xml:space="preserve"> </v>
      </c>
      <c r="L205">
        <v>204</v>
      </c>
      <c r="M205">
        <v>50</v>
      </c>
      <c r="N205">
        <v>62</v>
      </c>
      <c r="O205" s="18" t="s">
        <v>511</v>
      </c>
      <c r="P205">
        <f t="shared" si="9"/>
        <v>112</v>
      </c>
      <c r="Q205" t="str">
        <f>INDEX(Elemek!$B$2:$B$113,MATCH(M205,Elemek!$C$2:$C$113,0))</f>
        <v>Sn</v>
      </c>
      <c r="R205" t="str">
        <f t="shared" si="10"/>
        <v>8.862944</v>
      </c>
      <c r="S205" t="str">
        <f t="shared" si="11"/>
        <v>8.862944</v>
      </c>
    </row>
    <row r="206" spans="1:19" x14ac:dyDescent="0.25">
      <c r="A206">
        <v>64</v>
      </c>
      <c r="B206" t="s">
        <v>249</v>
      </c>
      <c r="C206">
        <v>101</v>
      </c>
      <c r="D206">
        <v>44</v>
      </c>
      <c r="E206">
        <v>57</v>
      </c>
      <c r="F206" s="18" t="s">
        <v>371</v>
      </c>
      <c r="H206" t="str">
        <f>IF(B206=$H$1,COUNT($H$2:H207)+1," ")</f>
        <v xml:space="preserve"> </v>
      </c>
      <c r="L206">
        <v>205</v>
      </c>
      <c r="M206">
        <v>44</v>
      </c>
      <c r="N206">
        <v>52</v>
      </c>
      <c r="O206" s="18" t="s">
        <v>512</v>
      </c>
      <c r="P206">
        <f t="shared" si="9"/>
        <v>96</v>
      </c>
      <c r="Q206" t="str">
        <f>INDEX(Elemek!$B$2:$B$113,MATCH(M206,Elemek!$C$2:$C$113,0))</f>
        <v>Ru</v>
      </c>
      <c r="R206" t="str">
        <f t="shared" si="10"/>
        <v>8.967911</v>
      </c>
      <c r="S206" t="str">
        <f t="shared" si="11"/>
        <v>8.967911</v>
      </c>
    </row>
    <row r="207" spans="1:19" x14ac:dyDescent="0.25">
      <c r="A207">
        <v>604</v>
      </c>
      <c r="B207" t="s">
        <v>182</v>
      </c>
      <c r="C207">
        <v>99</v>
      </c>
      <c r="D207">
        <v>42</v>
      </c>
      <c r="E207">
        <v>57</v>
      </c>
      <c r="F207" s="18" t="s">
        <v>884</v>
      </c>
      <c r="H207" t="str">
        <f>IF(B207=$H$1,COUNT($H$2:H208)+1," ")</f>
        <v xml:space="preserve"> </v>
      </c>
      <c r="L207">
        <v>206</v>
      </c>
      <c r="M207">
        <v>76</v>
      </c>
      <c r="N207">
        <v>116</v>
      </c>
      <c r="O207" s="18" t="s">
        <v>513</v>
      </c>
      <c r="P207">
        <f t="shared" si="9"/>
        <v>192</v>
      </c>
      <c r="Q207" t="str">
        <f>INDEX(Elemek!$B$2:$B$113,MATCH(M207,Elemek!$C$2:$C$113,0))</f>
        <v>Os</v>
      </c>
      <c r="R207" t="str">
        <f t="shared" si="10"/>
        <v>8.258202</v>
      </c>
      <c r="S207" t="str">
        <f t="shared" si="11"/>
        <v>8.258202</v>
      </c>
    </row>
    <row r="208" spans="1:19" x14ac:dyDescent="0.25">
      <c r="A208">
        <v>65</v>
      </c>
      <c r="B208" t="s">
        <v>141</v>
      </c>
      <c r="C208">
        <v>41</v>
      </c>
      <c r="D208">
        <v>19</v>
      </c>
      <c r="E208">
        <v>22</v>
      </c>
      <c r="F208" s="18" t="s">
        <v>372</v>
      </c>
      <c r="H208" t="str">
        <f>IF(B208=$H$1,COUNT($H$2:H209)+1," ")</f>
        <v xml:space="preserve"> </v>
      </c>
      <c r="L208">
        <v>207</v>
      </c>
      <c r="M208">
        <v>78</v>
      </c>
      <c r="N208">
        <v>120</v>
      </c>
      <c r="O208" s="18" t="s">
        <v>514</v>
      </c>
      <c r="P208">
        <f t="shared" si="9"/>
        <v>198</v>
      </c>
      <c r="Q208" t="str">
        <f>INDEX(Elemek!$B$2:$B$113,MATCH(M208,Elemek!$C$2:$C$113,0))</f>
        <v>Pt</v>
      </c>
      <c r="R208" t="str">
        <f t="shared" si="10"/>
        <v>8.222378</v>
      </c>
      <c r="S208" t="str">
        <f t="shared" si="11"/>
        <v>8.222378</v>
      </c>
    </row>
    <row r="209" spans="1:19" x14ac:dyDescent="0.25">
      <c r="A209">
        <v>66</v>
      </c>
      <c r="B209" t="s">
        <v>141</v>
      </c>
      <c r="C209">
        <v>39</v>
      </c>
      <c r="D209">
        <v>19</v>
      </c>
      <c r="E209">
        <v>20</v>
      </c>
      <c r="F209" s="18" t="s">
        <v>373</v>
      </c>
      <c r="H209" t="str">
        <f>IF(B209=$H$1,COUNT($H$2:H210)+1," ")</f>
        <v xml:space="preserve"> </v>
      </c>
      <c r="L209">
        <v>208</v>
      </c>
      <c r="M209">
        <v>64</v>
      </c>
      <c r="N209">
        <v>96</v>
      </c>
      <c r="O209" s="18" t="s">
        <v>515</v>
      </c>
      <c r="P209">
        <f t="shared" si="9"/>
        <v>160</v>
      </c>
      <c r="Q209" t="str">
        <f>INDEX(Elemek!$B$2:$B$113,MATCH(M209,Elemek!$C$2:$C$113,0))</f>
        <v>Gd</v>
      </c>
      <c r="R209" t="str">
        <f t="shared" si="10"/>
        <v>8.496009</v>
      </c>
      <c r="S209" t="str">
        <f t="shared" si="11"/>
        <v>8.496009</v>
      </c>
    </row>
    <row r="210" spans="1:19" x14ac:dyDescent="0.25">
      <c r="A210">
        <v>863</v>
      </c>
      <c r="B210" t="s">
        <v>284</v>
      </c>
      <c r="C210">
        <v>45</v>
      </c>
      <c r="D210">
        <v>22</v>
      </c>
      <c r="E210">
        <v>23</v>
      </c>
      <c r="F210" s="18" t="s">
        <v>1098</v>
      </c>
      <c r="H210" t="str">
        <f>IF(B210=$H$1,COUNT($H$2:H211)+1," ")</f>
        <v xml:space="preserve"> </v>
      </c>
      <c r="L210">
        <v>209</v>
      </c>
      <c r="M210">
        <v>62</v>
      </c>
      <c r="N210">
        <v>82</v>
      </c>
      <c r="O210" s="18" t="s">
        <v>516</v>
      </c>
      <c r="P210">
        <f t="shared" si="9"/>
        <v>144</v>
      </c>
      <c r="Q210" t="str">
        <f>INDEX(Elemek!$B$2:$B$113,MATCH(M210,Elemek!$C$2:$C$113,0))</f>
        <v>Sm</v>
      </c>
      <c r="R210" t="str">
        <f t="shared" si="10"/>
        <v>8.640577</v>
      </c>
      <c r="S210" t="str">
        <f t="shared" si="11"/>
        <v>8.640577</v>
      </c>
    </row>
    <row r="211" spans="1:19" x14ac:dyDescent="0.25">
      <c r="A211">
        <v>389</v>
      </c>
      <c r="B211" t="s">
        <v>245</v>
      </c>
      <c r="C211">
        <v>101</v>
      </c>
      <c r="D211">
        <v>45</v>
      </c>
      <c r="E211">
        <v>56</v>
      </c>
      <c r="F211" s="18" t="s">
        <v>693</v>
      </c>
      <c r="H211" t="str">
        <f>IF(B211=$H$1,COUNT($H$2:H212)+1," ")</f>
        <v xml:space="preserve"> </v>
      </c>
      <c r="L211">
        <v>210</v>
      </c>
      <c r="M211">
        <v>76</v>
      </c>
      <c r="N211">
        <v>114</v>
      </c>
      <c r="O211" s="18" t="s">
        <v>517</v>
      </c>
      <c r="P211">
        <f t="shared" si="9"/>
        <v>190</v>
      </c>
      <c r="Q211" t="str">
        <f>INDEX(Elemek!$B$2:$B$113,MATCH(M211,Elemek!$C$2:$C$113,0))</f>
        <v>Os</v>
      </c>
      <c r="R211" t="str">
        <f t="shared" si="10"/>
        <v>8.275045</v>
      </c>
      <c r="S211" t="str">
        <f t="shared" si="11"/>
        <v>8.275045</v>
      </c>
    </row>
    <row r="212" spans="1:19" x14ac:dyDescent="0.25">
      <c r="A212">
        <v>515</v>
      </c>
      <c r="B212" t="s">
        <v>245</v>
      </c>
      <c r="C212">
        <v>99</v>
      </c>
      <c r="D212">
        <v>45</v>
      </c>
      <c r="E212">
        <v>54</v>
      </c>
      <c r="F212" s="18" t="s">
        <v>808</v>
      </c>
      <c r="H212" t="str">
        <f>IF(B212=$H$1,COUNT($H$2:H213)+1," ")</f>
        <v xml:space="preserve"> </v>
      </c>
      <c r="L212">
        <v>211</v>
      </c>
      <c r="M212">
        <v>30</v>
      </c>
      <c r="N212">
        <v>34</v>
      </c>
      <c r="O212" s="18" t="s">
        <v>518</v>
      </c>
      <c r="P212">
        <f t="shared" si="9"/>
        <v>64</v>
      </c>
      <c r="Q212" t="str">
        <f>INDEX(Elemek!$B$2:$B$113,MATCH(M212,Elemek!$C$2:$C$113,0))</f>
        <v>Zn</v>
      </c>
      <c r="R212" t="str">
        <f t="shared" si="10"/>
        <v>9.102634</v>
      </c>
      <c r="S212" t="str">
        <f t="shared" si="11"/>
        <v>9.102634</v>
      </c>
    </row>
    <row r="213" spans="1:19" x14ac:dyDescent="0.25">
      <c r="A213">
        <v>150</v>
      </c>
      <c r="B213" t="s">
        <v>214</v>
      </c>
      <c r="C213">
        <v>102</v>
      </c>
      <c r="D213">
        <v>46</v>
      </c>
      <c r="E213">
        <v>56</v>
      </c>
      <c r="F213" s="18" t="s">
        <v>457</v>
      </c>
      <c r="H213" t="str">
        <f>IF(B213=$H$1,COUNT($H$2:H214)+1," ")</f>
        <v xml:space="preserve"> </v>
      </c>
      <c r="L213">
        <v>212</v>
      </c>
      <c r="M213">
        <v>34</v>
      </c>
      <c r="N213">
        <v>40</v>
      </c>
      <c r="O213" s="18" t="s">
        <v>519</v>
      </c>
      <c r="P213">
        <f t="shared" si="9"/>
        <v>74</v>
      </c>
      <c r="Q213" t="str">
        <f>INDEX(Elemek!$B$2:$B$113,MATCH(M213,Elemek!$C$2:$C$113,0))</f>
        <v>Se</v>
      </c>
      <c r="R213" t="str">
        <f t="shared" si="10"/>
        <v>9.047175</v>
      </c>
      <c r="S213" t="str">
        <f t="shared" si="11"/>
        <v>9.047175</v>
      </c>
    </row>
    <row r="214" spans="1:19" x14ac:dyDescent="0.25">
      <c r="A214">
        <v>265</v>
      </c>
      <c r="B214" t="s">
        <v>182</v>
      </c>
      <c r="C214">
        <v>100</v>
      </c>
      <c r="D214">
        <v>42</v>
      </c>
      <c r="E214">
        <v>58</v>
      </c>
      <c r="F214" s="18" t="s">
        <v>572</v>
      </c>
      <c r="H214" t="str">
        <f>IF(B214=$H$1,COUNT($H$2:H215)+1," ")</f>
        <v xml:space="preserve"> </v>
      </c>
      <c r="L214">
        <v>213</v>
      </c>
      <c r="M214">
        <v>74</v>
      </c>
      <c r="N214">
        <v>112</v>
      </c>
      <c r="O214" s="18" t="s">
        <v>520</v>
      </c>
      <c r="P214">
        <f t="shared" si="9"/>
        <v>186</v>
      </c>
      <c r="Q214" t="str">
        <f>INDEX(Elemek!$B$2:$B$113,MATCH(M214,Elemek!$C$2:$C$113,0))</f>
        <v>W</v>
      </c>
      <c r="R214" t="str">
        <f t="shared" si="10"/>
        <v>8.299873</v>
      </c>
      <c r="S214" t="str">
        <f t="shared" si="11"/>
        <v>8.299873</v>
      </c>
    </row>
    <row r="215" spans="1:19" x14ac:dyDescent="0.25">
      <c r="A215">
        <v>67</v>
      </c>
      <c r="B215" t="s">
        <v>214</v>
      </c>
      <c r="C215">
        <v>104</v>
      </c>
      <c r="D215">
        <v>46</v>
      </c>
      <c r="E215">
        <v>58</v>
      </c>
      <c r="F215" s="18" t="s">
        <v>374</v>
      </c>
      <c r="H215" t="str">
        <f>IF(B215=$H$1,COUNT($H$2:H216)+1," ")</f>
        <v xml:space="preserve"> </v>
      </c>
      <c r="L215">
        <v>214</v>
      </c>
      <c r="M215">
        <v>30</v>
      </c>
      <c r="N215">
        <v>40</v>
      </c>
      <c r="O215" s="18" t="s">
        <v>521</v>
      </c>
      <c r="P215">
        <f t="shared" si="9"/>
        <v>70</v>
      </c>
      <c r="Q215" t="str">
        <f>INDEX(Elemek!$B$2:$B$113,MATCH(M215,Elemek!$C$2:$C$113,0))</f>
        <v>Zn</v>
      </c>
      <c r="R215" t="str">
        <f t="shared" si="10"/>
        <v>9.065109</v>
      </c>
      <c r="S215" t="str">
        <f t="shared" si="11"/>
        <v>9.065109</v>
      </c>
    </row>
    <row r="216" spans="1:19" x14ac:dyDescent="0.25">
      <c r="A216">
        <v>68</v>
      </c>
      <c r="B216" t="s">
        <v>145</v>
      </c>
      <c r="C216">
        <v>37</v>
      </c>
      <c r="D216">
        <v>17</v>
      </c>
      <c r="E216">
        <v>20</v>
      </c>
      <c r="F216" s="18" t="s">
        <v>375</v>
      </c>
      <c r="H216" t="str">
        <f>IF(B216=$H$1,COUNT($H$2:H217)+1," ")</f>
        <v xml:space="preserve"> </v>
      </c>
      <c r="L216">
        <v>215</v>
      </c>
      <c r="M216">
        <v>76</v>
      </c>
      <c r="N216">
        <v>112</v>
      </c>
      <c r="O216" s="18" t="s">
        <v>522</v>
      </c>
      <c r="P216">
        <f t="shared" si="9"/>
        <v>188</v>
      </c>
      <c r="Q216" t="str">
        <f>INDEX(Elemek!$B$2:$B$113,MATCH(M216,Elemek!$C$2:$C$113,0))</f>
        <v>Os</v>
      </c>
      <c r="R216" t="str">
        <f t="shared" si="10"/>
        <v>8.290138</v>
      </c>
      <c r="S216" t="str">
        <f t="shared" si="11"/>
        <v>8.290138</v>
      </c>
    </row>
    <row r="217" spans="1:19" x14ac:dyDescent="0.25">
      <c r="A217">
        <v>320</v>
      </c>
      <c r="B217" t="s">
        <v>137</v>
      </c>
      <c r="C217">
        <v>41</v>
      </c>
      <c r="D217">
        <v>20</v>
      </c>
      <c r="E217">
        <v>21</v>
      </c>
      <c r="F217" s="18" t="s">
        <v>627</v>
      </c>
      <c r="H217" t="str">
        <f>IF(B217=$H$1,COUNT($H$2:H218)+1," ")</f>
        <v xml:space="preserve"> </v>
      </c>
      <c r="L217">
        <v>216</v>
      </c>
      <c r="M217">
        <v>60</v>
      </c>
      <c r="N217">
        <v>88</v>
      </c>
      <c r="O217" s="18" t="s">
        <v>523</v>
      </c>
      <c r="P217">
        <f t="shared" si="9"/>
        <v>148</v>
      </c>
      <c r="Q217" t="str">
        <f>INDEX(Elemek!$B$2:$B$113,MATCH(M217,Elemek!$C$2:$C$113,0))</f>
        <v>Nd</v>
      </c>
      <c r="R217" t="str">
        <f t="shared" si="10"/>
        <v>8.594388</v>
      </c>
      <c r="S217" t="str">
        <f t="shared" si="11"/>
        <v>8.594388</v>
      </c>
    </row>
    <row r="218" spans="1:19" x14ac:dyDescent="0.25">
      <c r="A218">
        <v>691</v>
      </c>
      <c r="B218" t="s">
        <v>245</v>
      </c>
      <c r="C218">
        <v>100</v>
      </c>
      <c r="D218">
        <v>45</v>
      </c>
      <c r="E218">
        <v>55</v>
      </c>
      <c r="F218" s="18" t="s">
        <v>958</v>
      </c>
      <c r="H218" t="str">
        <f>IF(B218=$H$1,COUNT($H$2:H219)+1," ")</f>
        <v xml:space="preserve"> </v>
      </c>
      <c r="L218">
        <v>217</v>
      </c>
      <c r="M218">
        <v>58</v>
      </c>
      <c r="N218">
        <v>84</v>
      </c>
      <c r="O218" s="18" t="s">
        <v>524</v>
      </c>
      <c r="P218">
        <f t="shared" si="9"/>
        <v>142</v>
      </c>
      <c r="Q218" t="str">
        <f>INDEX(Elemek!$B$2:$B$113,MATCH(M218,Elemek!$C$2:$C$113,0))</f>
        <v>Ce</v>
      </c>
      <c r="R218" t="str">
        <f t="shared" si="10"/>
        <v>8.666666</v>
      </c>
      <c r="S218" t="str">
        <f t="shared" si="11"/>
        <v>8.666666</v>
      </c>
    </row>
    <row r="219" spans="1:19" x14ac:dyDescent="0.25">
      <c r="A219">
        <v>710</v>
      </c>
      <c r="B219" t="s">
        <v>66</v>
      </c>
      <c r="C219">
        <v>97</v>
      </c>
      <c r="D219">
        <v>40</v>
      </c>
      <c r="E219">
        <v>57</v>
      </c>
      <c r="F219" s="18" t="s">
        <v>975</v>
      </c>
      <c r="H219" t="str">
        <f>IF(B219=$H$1,COUNT($H$2:H220)+1," ")</f>
        <v xml:space="preserve"> </v>
      </c>
      <c r="L219">
        <v>218</v>
      </c>
      <c r="M219">
        <v>72</v>
      </c>
      <c r="N219">
        <v>107</v>
      </c>
      <c r="O219" s="18" t="s">
        <v>525</v>
      </c>
      <c r="P219">
        <f t="shared" si="9"/>
        <v>179</v>
      </c>
      <c r="Q219" t="str">
        <f>INDEX(Elemek!$B$2:$B$113,MATCH(M219,Elemek!$C$2:$C$113,0))</f>
        <v>Hf</v>
      </c>
      <c r="R219" t="str">
        <f t="shared" si="10"/>
        <v>8.353293</v>
      </c>
      <c r="S219" t="str">
        <f t="shared" si="11"/>
        <v>8.353293</v>
      </c>
    </row>
    <row r="220" spans="1:19" x14ac:dyDescent="0.25">
      <c r="A220">
        <v>69</v>
      </c>
      <c r="B220" t="s">
        <v>245</v>
      </c>
      <c r="C220">
        <v>103</v>
      </c>
      <c r="D220">
        <v>45</v>
      </c>
      <c r="E220">
        <v>58</v>
      </c>
      <c r="F220" s="18" t="s">
        <v>376</v>
      </c>
      <c r="H220" t="str">
        <f>IF(B220=$H$1,COUNT($H$2:H221)+1," ")</f>
        <v xml:space="preserve"> </v>
      </c>
      <c r="L220">
        <v>219</v>
      </c>
      <c r="M220">
        <v>80</v>
      </c>
      <c r="N220">
        <v>116</v>
      </c>
      <c r="O220" s="18" t="s">
        <v>526</v>
      </c>
      <c r="P220">
        <f t="shared" si="9"/>
        <v>196</v>
      </c>
      <c r="Q220" t="str">
        <f>INDEX(Elemek!$B$2:$B$113,MATCH(M220,Elemek!$C$2:$C$113,0))</f>
        <v>Hg</v>
      </c>
      <c r="R220" t="str">
        <f t="shared" si="10"/>
        <v>8.23371</v>
      </c>
      <c r="S220" t="str">
        <f t="shared" si="11"/>
        <v>8.23371</v>
      </c>
    </row>
    <row r="221" spans="1:19" x14ac:dyDescent="0.25">
      <c r="A221">
        <v>359</v>
      </c>
      <c r="B221" t="s">
        <v>284</v>
      </c>
      <c r="C221">
        <v>44</v>
      </c>
      <c r="D221">
        <v>22</v>
      </c>
      <c r="E221">
        <v>22</v>
      </c>
      <c r="F221" s="18" t="s">
        <v>666</v>
      </c>
      <c r="H221" t="str">
        <f>IF(B221=$H$1,COUNT($H$2:H222)+1," ")</f>
        <v xml:space="preserve"> </v>
      </c>
      <c r="L221">
        <v>220</v>
      </c>
      <c r="M221">
        <v>62</v>
      </c>
      <c r="N221">
        <v>92</v>
      </c>
      <c r="O221" s="18" t="s">
        <v>527</v>
      </c>
      <c r="P221">
        <f t="shared" si="9"/>
        <v>154</v>
      </c>
      <c r="Q221" t="str">
        <f>INDEX(Elemek!$B$2:$B$113,MATCH(M221,Elemek!$C$2:$C$113,0))</f>
        <v>Sm</v>
      </c>
      <c r="R221" t="str">
        <f t="shared" si="10"/>
        <v>8.541857</v>
      </c>
      <c r="S221" t="str">
        <f t="shared" si="11"/>
        <v>8.541857</v>
      </c>
    </row>
    <row r="222" spans="1:19" x14ac:dyDescent="0.25">
      <c r="A222">
        <v>613</v>
      </c>
      <c r="B222" t="s">
        <v>267</v>
      </c>
      <c r="C222">
        <v>44</v>
      </c>
      <c r="D222">
        <v>21</v>
      </c>
      <c r="E222">
        <v>23</v>
      </c>
      <c r="F222" s="18" t="s">
        <v>893</v>
      </c>
      <c r="H222" t="str">
        <f>IF(B222=$H$1,COUNT($H$2:H223)+1," ")</f>
        <v xml:space="preserve"> </v>
      </c>
      <c r="L222">
        <v>221</v>
      </c>
      <c r="M222">
        <v>60</v>
      </c>
      <c r="N222">
        <v>86</v>
      </c>
      <c r="O222" s="18" t="s">
        <v>528</v>
      </c>
      <c r="P222">
        <f t="shared" si="9"/>
        <v>146</v>
      </c>
      <c r="Q222" t="str">
        <f>INDEX(Elemek!$B$2:$B$113,MATCH(M222,Elemek!$C$2:$C$113,0))</f>
        <v>Nd</v>
      </c>
      <c r="R222" t="str">
        <f t="shared" si="10"/>
        <v>8.625649</v>
      </c>
      <c r="S222" t="str">
        <f t="shared" si="11"/>
        <v>8.625649</v>
      </c>
    </row>
    <row r="223" spans="1:19" x14ac:dyDescent="0.25">
      <c r="A223">
        <v>347</v>
      </c>
      <c r="B223" t="s">
        <v>26</v>
      </c>
      <c r="C223">
        <v>39</v>
      </c>
      <c r="D223">
        <v>18</v>
      </c>
      <c r="E223">
        <v>21</v>
      </c>
      <c r="F223" s="18" t="s">
        <v>654</v>
      </c>
      <c r="H223" t="str">
        <f>IF(B223=$H$1,COUNT($H$2:H224)+1," ")</f>
        <v xml:space="preserve"> </v>
      </c>
      <c r="L223">
        <v>222</v>
      </c>
      <c r="M223">
        <v>24</v>
      </c>
      <c r="N223">
        <v>26</v>
      </c>
      <c r="O223" s="18" t="s">
        <v>529</v>
      </c>
      <c r="P223">
        <f t="shared" si="9"/>
        <v>50</v>
      </c>
      <c r="Q223" t="str">
        <f>INDEX(Elemek!$B$2:$B$113,MATCH(M223,Elemek!$C$2:$C$113,0))</f>
        <v>Cr</v>
      </c>
      <c r="R223" t="str">
        <f t="shared" si="10"/>
        <v>9.076517</v>
      </c>
      <c r="S223" t="str">
        <f t="shared" si="11"/>
        <v>9.076517</v>
      </c>
    </row>
    <row r="224" spans="1:19" x14ac:dyDescent="0.25">
      <c r="A224">
        <v>588</v>
      </c>
      <c r="B224" t="s">
        <v>214</v>
      </c>
      <c r="C224">
        <v>100</v>
      </c>
      <c r="D224">
        <v>46</v>
      </c>
      <c r="E224">
        <v>54</v>
      </c>
      <c r="F224" s="18" t="s">
        <v>869</v>
      </c>
      <c r="H224" t="str">
        <f>IF(B224=$H$1,COUNT($H$2:H225)+1," ")</f>
        <v xml:space="preserve"> </v>
      </c>
      <c r="L224">
        <v>223</v>
      </c>
      <c r="M224">
        <v>72</v>
      </c>
      <c r="N224">
        <v>106</v>
      </c>
      <c r="O224" s="18" t="s">
        <v>530</v>
      </c>
      <c r="P224">
        <f t="shared" si="9"/>
        <v>178</v>
      </c>
      <c r="Q224" t="str">
        <f>INDEX(Elemek!$B$2:$B$113,MATCH(M224,Elemek!$C$2:$C$113,0))</f>
        <v>Hf</v>
      </c>
      <c r="R224" t="str">
        <f t="shared" si="10"/>
        <v>8.365958</v>
      </c>
      <c r="S224" t="str">
        <f t="shared" si="11"/>
        <v>8.365958</v>
      </c>
    </row>
    <row r="225" spans="1:19" x14ac:dyDescent="0.25">
      <c r="A225">
        <v>70</v>
      </c>
      <c r="B225" t="s">
        <v>143</v>
      </c>
      <c r="C225">
        <v>36</v>
      </c>
      <c r="D225">
        <v>16</v>
      </c>
      <c r="E225">
        <v>20</v>
      </c>
      <c r="F225" s="18" t="s">
        <v>377</v>
      </c>
      <c r="H225" t="str">
        <f>IF(B225=$H$1,COUNT($H$2:H226)+1," ")</f>
        <v xml:space="preserve"> </v>
      </c>
      <c r="L225">
        <v>224</v>
      </c>
      <c r="M225">
        <v>72</v>
      </c>
      <c r="N225">
        <v>105</v>
      </c>
      <c r="O225" s="18" t="s">
        <v>531</v>
      </c>
      <c r="P225">
        <f t="shared" si="9"/>
        <v>177</v>
      </c>
      <c r="Q225" t="str">
        <f>INDEX(Elemek!$B$2:$B$113,MATCH(M225,Elemek!$C$2:$C$113,0))</f>
        <v>Hf</v>
      </c>
      <c r="R225" t="str">
        <f t="shared" si="10"/>
        <v>8.370139</v>
      </c>
      <c r="S225" t="str">
        <f t="shared" si="11"/>
        <v>8.370139</v>
      </c>
    </row>
    <row r="226" spans="1:19" x14ac:dyDescent="0.25">
      <c r="A226">
        <v>683</v>
      </c>
      <c r="B226" t="s">
        <v>141</v>
      </c>
      <c r="C226">
        <v>43</v>
      </c>
      <c r="D226">
        <v>19</v>
      </c>
      <c r="E226">
        <v>24</v>
      </c>
      <c r="F226" s="18" t="s">
        <v>951</v>
      </c>
      <c r="H226" t="str">
        <f>IF(B226=$H$1,COUNT($H$2:H227)+1," ")</f>
        <v xml:space="preserve"> </v>
      </c>
      <c r="L226">
        <v>225</v>
      </c>
      <c r="M226">
        <v>66</v>
      </c>
      <c r="N226">
        <v>90</v>
      </c>
      <c r="O226" s="18" t="s">
        <v>532</v>
      </c>
      <c r="P226">
        <f t="shared" si="9"/>
        <v>156</v>
      </c>
      <c r="Q226" t="str">
        <f>INDEX(Elemek!$B$2:$B$113,MATCH(M226,Elemek!$C$2:$C$113,0))</f>
        <v>Dy</v>
      </c>
      <c r="R226" t="str">
        <f t="shared" si="10"/>
        <v>8.523443</v>
      </c>
      <c r="S226" t="str">
        <f t="shared" si="11"/>
        <v>8.523443</v>
      </c>
    </row>
    <row r="227" spans="1:19" x14ac:dyDescent="0.25">
      <c r="A227">
        <v>390</v>
      </c>
      <c r="B227" t="s">
        <v>245</v>
      </c>
      <c r="C227">
        <v>102</v>
      </c>
      <c r="D227">
        <v>45</v>
      </c>
      <c r="E227">
        <v>57</v>
      </c>
      <c r="F227" s="18" t="s">
        <v>694</v>
      </c>
      <c r="H227" t="str">
        <f>IF(B227=$H$1,COUNT($H$2:H228)+1," ")</f>
        <v xml:space="preserve"> </v>
      </c>
      <c r="L227">
        <v>226</v>
      </c>
      <c r="M227">
        <v>63</v>
      </c>
      <c r="N227">
        <v>90</v>
      </c>
      <c r="O227" s="18" t="s">
        <v>533</v>
      </c>
      <c r="P227">
        <f t="shared" si="9"/>
        <v>153</v>
      </c>
      <c r="Q227" t="str">
        <f>INDEX(Elemek!$B$2:$B$113,MATCH(M227,Elemek!$C$2:$C$113,0))</f>
        <v>Eu</v>
      </c>
      <c r="R227" t="str">
        <f t="shared" si="10"/>
        <v>8.550893</v>
      </c>
      <c r="S227" t="str">
        <f t="shared" si="11"/>
        <v>8.550893</v>
      </c>
    </row>
    <row r="228" spans="1:19" x14ac:dyDescent="0.25">
      <c r="A228">
        <v>514</v>
      </c>
      <c r="B228" t="s">
        <v>214</v>
      </c>
      <c r="C228">
        <v>103</v>
      </c>
      <c r="D228">
        <v>46</v>
      </c>
      <c r="E228">
        <v>57</v>
      </c>
      <c r="F228" s="18" t="s">
        <v>807</v>
      </c>
      <c r="H228" t="str">
        <f>IF(B228=$H$1,COUNT($H$2:H229)+1," ")</f>
        <v xml:space="preserve"> </v>
      </c>
      <c r="L228">
        <v>227</v>
      </c>
      <c r="M228">
        <v>72</v>
      </c>
      <c r="N228">
        <v>108</v>
      </c>
      <c r="O228" s="18" t="s">
        <v>534</v>
      </c>
      <c r="P228">
        <f t="shared" si="9"/>
        <v>180</v>
      </c>
      <c r="Q228" t="str">
        <f>INDEX(Elemek!$B$2:$B$113,MATCH(M228,Elemek!$C$2:$C$113,0))</f>
        <v>Hf</v>
      </c>
      <c r="R228" t="str">
        <f t="shared" si="10"/>
        <v>8.34793</v>
      </c>
      <c r="S228" t="str">
        <f t="shared" si="11"/>
        <v>8.34793</v>
      </c>
    </row>
    <row r="229" spans="1:19" x14ac:dyDescent="0.25">
      <c r="A229">
        <v>71</v>
      </c>
      <c r="B229" t="s">
        <v>214</v>
      </c>
      <c r="C229">
        <v>106</v>
      </c>
      <c r="D229">
        <v>46</v>
      </c>
      <c r="E229">
        <v>60</v>
      </c>
      <c r="F229" s="18" t="s">
        <v>378</v>
      </c>
      <c r="H229" t="str">
        <f>IF(B229=$H$1,COUNT($H$2:H230)+1," ")</f>
        <v xml:space="preserve"> </v>
      </c>
      <c r="L229">
        <v>228</v>
      </c>
      <c r="M229">
        <v>48</v>
      </c>
      <c r="N229">
        <v>60</v>
      </c>
      <c r="O229" s="18" t="s">
        <v>535</v>
      </c>
      <c r="P229">
        <f t="shared" si="9"/>
        <v>108</v>
      </c>
      <c r="Q229" t="str">
        <f>INDEX(Elemek!$B$2:$B$113,MATCH(M229,Elemek!$C$2:$C$113,0))</f>
        <v>Cd</v>
      </c>
      <c r="R229" t="str">
        <f t="shared" si="10"/>
        <v>8.897735</v>
      </c>
      <c r="S229" t="str">
        <f t="shared" si="11"/>
        <v>8.897735</v>
      </c>
    </row>
    <row r="230" spans="1:19" x14ac:dyDescent="0.25">
      <c r="A230">
        <v>486</v>
      </c>
      <c r="B230" t="s">
        <v>249</v>
      </c>
      <c r="C230">
        <v>103</v>
      </c>
      <c r="D230">
        <v>44</v>
      </c>
      <c r="E230">
        <v>59</v>
      </c>
      <c r="F230" s="18" t="s">
        <v>782</v>
      </c>
      <c r="H230" t="str">
        <f>IF(B230=$H$1,COUNT($H$2:H231)+1," ")</f>
        <v xml:space="preserve"> </v>
      </c>
      <c r="L230">
        <v>229</v>
      </c>
      <c r="M230">
        <v>68</v>
      </c>
      <c r="N230">
        <v>102</v>
      </c>
      <c r="O230" s="18" t="s">
        <v>536</v>
      </c>
      <c r="P230">
        <f t="shared" si="9"/>
        <v>170</v>
      </c>
      <c r="Q230" t="str">
        <f>INDEX(Elemek!$B$2:$B$113,MATCH(M230,Elemek!$C$2:$C$113,0))</f>
        <v>Er</v>
      </c>
      <c r="R230" t="str">
        <f t="shared" si="10"/>
        <v>8.424945</v>
      </c>
      <c r="S230" t="str">
        <f t="shared" si="11"/>
        <v>8.424945</v>
      </c>
    </row>
    <row r="231" spans="1:19" x14ac:dyDescent="0.25">
      <c r="A231">
        <v>151</v>
      </c>
      <c r="B231" t="s">
        <v>249</v>
      </c>
      <c r="C231">
        <v>104</v>
      </c>
      <c r="D231">
        <v>44</v>
      </c>
      <c r="E231">
        <v>60</v>
      </c>
      <c r="F231" s="18" t="s">
        <v>458</v>
      </c>
      <c r="H231" t="str">
        <f>IF(B231=$H$1,COUNT($H$2:H232)+1," ")</f>
        <v xml:space="preserve"> </v>
      </c>
      <c r="L231">
        <v>230</v>
      </c>
      <c r="M231">
        <v>58</v>
      </c>
      <c r="N231">
        <v>80</v>
      </c>
      <c r="O231" s="18" t="s">
        <v>537</v>
      </c>
      <c r="P231">
        <f t="shared" si="9"/>
        <v>138</v>
      </c>
      <c r="Q231" t="str">
        <f>INDEX(Elemek!$B$2:$B$113,MATCH(M231,Elemek!$C$2:$C$113,0))</f>
        <v>Ce</v>
      </c>
      <c r="R231" t="str">
        <f t="shared" si="10"/>
        <v>8.705878</v>
      </c>
      <c r="S231" t="str">
        <f t="shared" si="11"/>
        <v>8.705878</v>
      </c>
    </row>
    <row r="232" spans="1:19" x14ac:dyDescent="0.25">
      <c r="A232">
        <v>772</v>
      </c>
      <c r="B232" t="s">
        <v>214</v>
      </c>
      <c r="C232">
        <v>101</v>
      </c>
      <c r="D232">
        <v>46</v>
      </c>
      <c r="E232">
        <v>55</v>
      </c>
      <c r="F232" s="18" t="s">
        <v>1022</v>
      </c>
      <c r="H232" t="str">
        <f>IF(B232=$H$1,COUNT($H$2:H233)+1," ")</f>
        <v xml:space="preserve"> </v>
      </c>
      <c r="L232">
        <v>231</v>
      </c>
      <c r="M232">
        <v>72</v>
      </c>
      <c r="N232">
        <v>104</v>
      </c>
      <c r="O232" s="18" t="s">
        <v>538</v>
      </c>
      <c r="P232">
        <f t="shared" si="9"/>
        <v>176</v>
      </c>
      <c r="Q232" t="str">
        <f>INDEX(Elemek!$B$2:$B$113,MATCH(M232,Elemek!$C$2:$C$113,0))</f>
        <v>Hf</v>
      </c>
      <c r="R232" t="str">
        <f t="shared" si="10"/>
        <v>8.381427</v>
      </c>
      <c r="S232" t="str">
        <f t="shared" si="11"/>
        <v>8.381427</v>
      </c>
    </row>
    <row r="233" spans="1:19" x14ac:dyDescent="0.25">
      <c r="A233">
        <v>72</v>
      </c>
      <c r="B233" t="s">
        <v>214</v>
      </c>
      <c r="C233">
        <v>105</v>
      </c>
      <c r="D233">
        <v>46</v>
      </c>
      <c r="E233">
        <v>59</v>
      </c>
      <c r="F233" s="18" t="s">
        <v>379</v>
      </c>
      <c r="H233" t="str">
        <f>IF(B233=$H$1,COUNT($H$2:H234)+1," ")</f>
        <v xml:space="preserve"> </v>
      </c>
      <c r="L233">
        <v>232</v>
      </c>
      <c r="M233">
        <v>20</v>
      </c>
      <c r="N233">
        <v>26</v>
      </c>
      <c r="O233" s="18" t="s">
        <v>539</v>
      </c>
      <c r="P233">
        <f t="shared" si="9"/>
        <v>46</v>
      </c>
      <c r="Q233" t="str">
        <f>INDEX(Elemek!$B$2:$B$113,MATCH(M233,Elemek!$C$2:$C$113,0))</f>
        <v>Ca</v>
      </c>
      <c r="R233" t="str">
        <f t="shared" si="10"/>
        <v>9.009047</v>
      </c>
      <c r="S233" t="str">
        <f t="shared" si="11"/>
        <v>9.009047</v>
      </c>
    </row>
    <row r="234" spans="1:19" x14ac:dyDescent="0.25">
      <c r="A234">
        <v>839</v>
      </c>
      <c r="B234" t="s">
        <v>267</v>
      </c>
      <c r="C234">
        <v>43</v>
      </c>
      <c r="D234">
        <v>21</v>
      </c>
      <c r="E234">
        <v>22</v>
      </c>
      <c r="F234" s="18" t="s">
        <v>1079</v>
      </c>
      <c r="H234" t="str">
        <f>IF(B234=$H$1,COUNT($H$2:H235)+1," ")</f>
        <v xml:space="preserve"> </v>
      </c>
      <c r="L234">
        <v>233</v>
      </c>
      <c r="M234">
        <v>70</v>
      </c>
      <c r="N234">
        <v>106</v>
      </c>
      <c r="O234" s="18" t="s">
        <v>540</v>
      </c>
      <c r="P234">
        <f t="shared" si="9"/>
        <v>176</v>
      </c>
      <c r="Q234" t="str">
        <f>INDEX(Elemek!$B$2:$B$113,MATCH(M234,Elemek!$C$2:$C$113,0))</f>
        <v>Yb</v>
      </c>
      <c r="R234" t="str">
        <f t="shared" si="10"/>
        <v>8.375271</v>
      </c>
      <c r="S234" t="str">
        <f t="shared" si="11"/>
        <v>8.375271</v>
      </c>
    </row>
    <row r="235" spans="1:19" x14ac:dyDescent="0.25">
      <c r="A235">
        <v>152</v>
      </c>
      <c r="B235" t="s">
        <v>26</v>
      </c>
      <c r="C235">
        <v>36</v>
      </c>
      <c r="D235">
        <v>18</v>
      </c>
      <c r="E235">
        <v>18</v>
      </c>
      <c r="F235" s="18" t="s">
        <v>459</v>
      </c>
      <c r="H235" t="str">
        <f>IF(B235=$H$1,COUNT($H$2:H236)+1," ")</f>
        <v xml:space="preserve"> </v>
      </c>
      <c r="L235">
        <v>234</v>
      </c>
      <c r="M235">
        <v>40</v>
      </c>
      <c r="N235">
        <v>54</v>
      </c>
      <c r="O235" s="18" t="s">
        <v>541</v>
      </c>
      <c r="P235">
        <f t="shared" si="9"/>
        <v>94</v>
      </c>
      <c r="Q235" t="str">
        <f>INDEX(Elemek!$B$2:$B$113,MATCH(M235,Elemek!$C$2:$C$113,0))</f>
        <v>Zr</v>
      </c>
      <c r="R235" t="str">
        <f t="shared" si="10"/>
        <v>8.999698</v>
      </c>
      <c r="S235" t="str">
        <f t="shared" si="11"/>
        <v>8.999698</v>
      </c>
    </row>
    <row r="236" spans="1:19" x14ac:dyDescent="0.25">
      <c r="A236">
        <v>285</v>
      </c>
      <c r="B236" t="s">
        <v>141</v>
      </c>
      <c r="C236">
        <v>40</v>
      </c>
      <c r="D236">
        <v>19</v>
      </c>
      <c r="E236">
        <v>21</v>
      </c>
      <c r="F236" s="18" t="s">
        <v>592</v>
      </c>
      <c r="H236" t="str">
        <f>IF(B236=$H$1,COUNT($H$2:H237)+1," ")</f>
        <v xml:space="preserve"> </v>
      </c>
      <c r="L236">
        <v>235</v>
      </c>
      <c r="M236">
        <v>50</v>
      </c>
      <c r="N236">
        <v>74</v>
      </c>
      <c r="O236" s="18" t="s">
        <v>542</v>
      </c>
      <c r="P236">
        <f t="shared" si="9"/>
        <v>124</v>
      </c>
      <c r="Q236" t="str">
        <f>INDEX(Elemek!$B$2:$B$113,MATCH(M236,Elemek!$C$2:$C$113,0))</f>
        <v>Sn</v>
      </c>
      <c r="R236" t="str">
        <f t="shared" si="10"/>
        <v>8.782914</v>
      </c>
      <c r="S236" t="str">
        <f t="shared" si="11"/>
        <v>8.782914</v>
      </c>
    </row>
    <row r="237" spans="1:19" x14ac:dyDescent="0.25">
      <c r="A237">
        <v>649</v>
      </c>
      <c r="B237" t="s">
        <v>245</v>
      </c>
      <c r="C237">
        <v>105</v>
      </c>
      <c r="D237">
        <v>45</v>
      </c>
      <c r="E237">
        <v>60</v>
      </c>
      <c r="F237" s="18" t="s">
        <v>924</v>
      </c>
      <c r="H237" t="str">
        <f>IF(B237=$H$1,COUNT($H$2:H238)+1," ")</f>
        <v xml:space="preserve"> </v>
      </c>
      <c r="L237">
        <v>236</v>
      </c>
      <c r="M237">
        <v>66</v>
      </c>
      <c r="N237">
        <v>96</v>
      </c>
      <c r="O237" s="18" t="s">
        <v>543</v>
      </c>
      <c r="P237">
        <f t="shared" si="9"/>
        <v>162</v>
      </c>
      <c r="Q237" t="str">
        <f>INDEX(Elemek!$B$2:$B$113,MATCH(M237,Elemek!$C$2:$C$113,0))</f>
        <v>Dy</v>
      </c>
      <c r="R237" t="str">
        <f t="shared" si="10"/>
        <v>8.492234</v>
      </c>
      <c r="S237" t="str">
        <f t="shared" si="11"/>
        <v>8.492234</v>
      </c>
    </row>
    <row r="238" spans="1:19" x14ac:dyDescent="0.25">
      <c r="A238">
        <v>490</v>
      </c>
      <c r="B238" t="s">
        <v>26</v>
      </c>
      <c r="C238">
        <v>37</v>
      </c>
      <c r="D238">
        <v>18</v>
      </c>
      <c r="E238">
        <v>19</v>
      </c>
      <c r="F238" s="18" t="s">
        <v>785</v>
      </c>
      <c r="H238" t="str">
        <f>IF(B238=$H$1,COUNT($H$2:H239)+1," ")</f>
        <v xml:space="preserve"> </v>
      </c>
      <c r="L238">
        <v>237</v>
      </c>
      <c r="M238">
        <v>58</v>
      </c>
      <c r="N238">
        <v>78</v>
      </c>
      <c r="O238" s="18" t="s">
        <v>544</v>
      </c>
      <c r="P238">
        <f t="shared" si="9"/>
        <v>136</v>
      </c>
      <c r="Q238" t="str">
        <f>INDEX(Elemek!$B$2:$B$113,MATCH(M238,Elemek!$C$2:$C$113,0))</f>
        <v>Ce</v>
      </c>
      <c r="R238" t="str">
        <f t="shared" si="10"/>
        <v>8.707122</v>
      </c>
      <c r="S238" t="str">
        <f t="shared" si="11"/>
        <v>8.707122</v>
      </c>
    </row>
    <row r="239" spans="1:19" x14ac:dyDescent="0.25">
      <c r="A239">
        <v>737</v>
      </c>
      <c r="B239" t="s">
        <v>141</v>
      </c>
      <c r="C239">
        <v>42</v>
      </c>
      <c r="D239">
        <v>19</v>
      </c>
      <c r="E239">
        <v>23</v>
      </c>
      <c r="F239" s="18" t="s">
        <v>996</v>
      </c>
      <c r="H239" t="str">
        <f>IF(B239=$H$1,COUNT($H$2:H240)+1," ")</f>
        <v xml:space="preserve"> </v>
      </c>
      <c r="L239">
        <v>238</v>
      </c>
      <c r="M239">
        <v>48</v>
      </c>
      <c r="N239">
        <v>66</v>
      </c>
      <c r="O239" s="18" t="s">
        <v>545</v>
      </c>
      <c r="P239">
        <f t="shared" si="9"/>
        <v>114</v>
      </c>
      <c r="Q239" t="str">
        <f>INDEX(Elemek!$B$2:$B$113,MATCH(M239,Elemek!$C$2:$C$113,0))</f>
        <v>Cd</v>
      </c>
      <c r="R239" t="str">
        <f t="shared" si="10"/>
        <v>8.860985</v>
      </c>
      <c r="S239" t="str">
        <f t="shared" si="11"/>
        <v>8.860985</v>
      </c>
    </row>
    <row r="240" spans="1:19" x14ac:dyDescent="0.25">
      <c r="A240">
        <v>484</v>
      </c>
      <c r="B240" t="s">
        <v>83</v>
      </c>
      <c r="C240">
        <v>105</v>
      </c>
      <c r="D240">
        <v>47</v>
      </c>
      <c r="E240">
        <v>58</v>
      </c>
      <c r="F240" s="18" t="s">
        <v>780</v>
      </c>
      <c r="H240" t="str">
        <f>IF(B240=$H$1,COUNT($H$2:H241)+1," ")</f>
        <v xml:space="preserve"> </v>
      </c>
      <c r="L240">
        <v>239</v>
      </c>
      <c r="M240">
        <v>52</v>
      </c>
      <c r="N240">
        <v>71</v>
      </c>
      <c r="O240" s="18" t="s">
        <v>546</v>
      </c>
      <c r="P240">
        <f t="shared" si="9"/>
        <v>123</v>
      </c>
      <c r="Q240" t="str">
        <f>INDEX(Elemek!$B$2:$B$113,MATCH(M240,Elemek!$C$2:$C$113,0))</f>
        <v>Te</v>
      </c>
      <c r="R240" t="str">
        <f t="shared" si="10"/>
        <v>8.796302</v>
      </c>
      <c r="S240" t="str">
        <f t="shared" si="11"/>
        <v>8.796302</v>
      </c>
    </row>
    <row r="241" spans="1:19" x14ac:dyDescent="0.25">
      <c r="A241">
        <v>73</v>
      </c>
      <c r="B241" t="s">
        <v>145</v>
      </c>
      <c r="C241">
        <v>35</v>
      </c>
      <c r="D241">
        <v>17</v>
      </c>
      <c r="E241">
        <v>18</v>
      </c>
      <c r="F241" s="18" t="s">
        <v>380</v>
      </c>
      <c r="H241" t="str">
        <f>IF(B241=$H$1,COUNT($H$2:H242)+1," ")</f>
        <v xml:space="preserve"> </v>
      </c>
      <c r="L241">
        <v>240</v>
      </c>
      <c r="M241">
        <v>60</v>
      </c>
      <c r="N241">
        <v>85</v>
      </c>
      <c r="O241" s="18" t="s">
        <v>547</v>
      </c>
      <c r="P241">
        <f t="shared" si="9"/>
        <v>145</v>
      </c>
      <c r="Q241" t="str">
        <f>INDEX(Elemek!$B$2:$B$113,MATCH(M241,Elemek!$C$2:$C$113,0))</f>
        <v>Nd</v>
      </c>
      <c r="R241" t="str">
        <f t="shared" si="10"/>
        <v>8.632963</v>
      </c>
      <c r="S241" t="str">
        <f t="shared" si="11"/>
        <v>8.632963</v>
      </c>
    </row>
    <row r="242" spans="1:19" x14ac:dyDescent="0.25">
      <c r="A242">
        <v>74</v>
      </c>
      <c r="B242" t="s">
        <v>214</v>
      </c>
      <c r="C242">
        <v>108</v>
      </c>
      <c r="D242">
        <v>46</v>
      </c>
      <c r="E242">
        <v>62</v>
      </c>
      <c r="F242" s="18" t="s">
        <v>381</v>
      </c>
      <c r="H242" t="str">
        <f>IF(B242=$H$1,COUNT($H$2:H243)+1," ")</f>
        <v xml:space="preserve"> </v>
      </c>
      <c r="L242">
        <v>241</v>
      </c>
      <c r="M242">
        <v>78</v>
      </c>
      <c r="N242">
        <v>114</v>
      </c>
      <c r="O242" s="18" t="s">
        <v>548</v>
      </c>
      <c r="P242">
        <f t="shared" si="9"/>
        <v>192</v>
      </c>
      <c r="Q242" t="str">
        <f>INDEX(Elemek!$B$2:$B$113,MATCH(M242,Elemek!$C$2:$C$113,0))</f>
        <v>Pt</v>
      </c>
      <c r="R242" t="str">
        <f t="shared" si="10"/>
        <v>8.260353</v>
      </c>
      <c r="S242" t="str">
        <f t="shared" si="11"/>
        <v>8.260353</v>
      </c>
    </row>
    <row r="243" spans="1:19" x14ac:dyDescent="0.25">
      <c r="A243">
        <v>228</v>
      </c>
      <c r="B243" t="s">
        <v>134</v>
      </c>
      <c r="C243">
        <v>108</v>
      </c>
      <c r="D243">
        <v>48</v>
      </c>
      <c r="E243">
        <v>60</v>
      </c>
      <c r="F243" s="18" t="s">
        <v>535</v>
      </c>
      <c r="H243" t="str">
        <f>IF(B243=$H$1,COUNT($H$2:H244)+1," ")</f>
        <v xml:space="preserve"> </v>
      </c>
      <c r="L243">
        <v>242</v>
      </c>
      <c r="M243">
        <v>73</v>
      </c>
      <c r="N243">
        <v>107</v>
      </c>
      <c r="O243" s="18" t="s">
        <v>549</v>
      </c>
      <c r="P243">
        <f t="shared" si="9"/>
        <v>180</v>
      </c>
      <c r="Q243" t="str">
        <f>INDEX(Elemek!$B$2:$B$113,MATCH(M243,Elemek!$C$2:$C$113,0))</f>
        <v>Ta</v>
      </c>
      <c r="R243" t="str">
        <f t="shared" si="10"/>
        <v>8.342767</v>
      </c>
      <c r="S243" t="str">
        <f t="shared" si="11"/>
        <v>8.342767</v>
      </c>
    </row>
    <row r="244" spans="1:19" x14ac:dyDescent="0.25">
      <c r="A244">
        <v>75</v>
      </c>
      <c r="B244" t="s">
        <v>83</v>
      </c>
      <c r="C244">
        <v>107</v>
      </c>
      <c r="D244">
        <v>47</v>
      </c>
      <c r="E244">
        <v>60</v>
      </c>
      <c r="F244" s="18" t="s">
        <v>382</v>
      </c>
      <c r="H244" t="str">
        <f>IF(B244=$H$1,COUNT($H$2:H245)+1," ")</f>
        <v xml:space="preserve"> </v>
      </c>
      <c r="L244">
        <v>243</v>
      </c>
      <c r="M244">
        <v>66</v>
      </c>
      <c r="N244">
        <v>95</v>
      </c>
      <c r="O244" s="18" t="s">
        <v>550</v>
      </c>
      <c r="P244">
        <f t="shared" si="9"/>
        <v>161</v>
      </c>
      <c r="Q244" t="str">
        <f>INDEX(Elemek!$B$2:$B$113,MATCH(M244,Elemek!$C$2:$C$113,0))</f>
        <v>Dy</v>
      </c>
      <c r="R244" t="str">
        <f t="shared" si="10"/>
        <v>8.494067</v>
      </c>
      <c r="S244" t="str">
        <f t="shared" si="11"/>
        <v>8.494067</v>
      </c>
    </row>
    <row r="245" spans="1:19" x14ac:dyDescent="0.25">
      <c r="A245">
        <v>295</v>
      </c>
      <c r="B245" t="s">
        <v>214</v>
      </c>
      <c r="C245">
        <v>107</v>
      </c>
      <c r="D245">
        <v>46</v>
      </c>
      <c r="E245">
        <v>61</v>
      </c>
      <c r="F245" s="18" t="s">
        <v>602</v>
      </c>
      <c r="H245" t="str">
        <f>IF(B245=$H$1,COUNT($H$2:H246)+1," ")</f>
        <v xml:space="preserve"> </v>
      </c>
      <c r="L245">
        <v>244</v>
      </c>
      <c r="M245">
        <v>66</v>
      </c>
      <c r="N245">
        <v>94</v>
      </c>
      <c r="O245" s="18" t="s">
        <v>551</v>
      </c>
      <c r="P245">
        <f t="shared" si="9"/>
        <v>160</v>
      </c>
      <c r="Q245" t="str">
        <f>INDEX(Elemek!$B$2:$B$113,MATCH(M245,Elemek!$C$2:$C$113,0))</f>
        <v>Dy</v>
      </c>
      <c r="R245" t="str">
        <f t="shared" si="10"/>
        <v>8.506816</v>
      </c>
      <c r="S245" t="str">
        <f t="shared" si="11"/>
        <v>8.506816</v>
      </c>
    </row>
    <row r="246" spans="1:19" x14ac:dyDescent="0.25">
      <c r="A246">
        <v>450</v>
      </c>
      <c r="B246" t="s">
        <v>143</v>
      </c>
      <c r="C246">
        <v>35</v>
      </c>
      <c r="D246">
        <v>16</v>
      </c>
      <c r="E246">
        <v>19</v>
      </c>
      <c r="F246" s="18" t="s">
        <v>749</v>
      </c>
      <c r="H246" t="str">
        <f>IF(B246=$H$1,COUNT($H$2:H247)+1," ")</f>
        <v xml:space="preserve"> </v>
      </c>
      <c r="L246">
        <v>245</v>
      </c>
      <c r="M246">
        <v>76</v>
      </c>
      <c r="N246">
        <v>113</v>
      </c>
      <c r="O246" s="18" t="s">
        <v>552</v>
      </c>
      <c r="P246">
        <f t="shared" si="9"/>
        <v>189</v>
      </c>
      <c r="Q246" t="str">
        <f>INDEX(Elemek!$B$2:$B$113,MATCH(M246,Elemek!$C$2:$C$113,0))</f>
        <v>Os</v>
      </c>
      <c r="R246" t="str">
        <f t="shared" si="10"/>
        <v>8.277599</v>
      </c>
      <c r="S246" t="str">
        <f t="shared" si="11"/>
        <v>8.277599</v>
      </c>
    </row>
    <row r="247" spans="1:19" x14ac:dyDescent="0.25">
      <c r="A247">
        <v>979</v>
      </c>
      <c r="B247" t="s">
        <v>83</v>
      </c>
      <c r="C247">
        <v>103</v>
      </c>
      <c r="D247">
        <v>47</v>
      </c>
      <c r="E247">
        <v>56</v>
      </c>
      <c r="F247" s="18" t="s">
        <v>1189</v>
      </c>
      <c r="H247" t="str">
        <f>IF(B247=$H$1,COUNT($H$2:H248)+1," ")</f>
        <v xml:space="preserve"> </v>
      </c>
      <c r="L247">
        <v>246</v>
      </c>
      <c r="M247">
        <v>76</v>
      </c>
      <c r="N247">
        <v>111</v>
      </c>
      <c r="O247" s="18" t="s">
        <v>553</v>
      </c>
      <c r="P247">
        <f t="shared" si="9"/>
        <v>187</v>
      </c>
      <c r="Q247" t="str">
        <f>INDEX(Elemek!$B$2:$B$113,MATCH(M247,Elemek!$C$2:$C$113,0))</f>
        <v>Os</v>
      </c>
      <c r="R247" t="str">
        <f t="shared" si="10"/>
        <v>8.291746</v>
      </c>
      <c r="S247" t="str">
        <f t="shared" si="11"/>
        <v>8.291746</v>
      </c>
    </row>
    <row r="248" spans="1:19" x14ac:dyDescent="0.25">
      <c r="A248">
        <v>195</v>
      </c>
      <c r="B248" t="s">
        <v>134</v>
      </c>
      <c r="C248">
        <v>106</v>
      </c>
      <c r="D248">
        <v>48</v>
      </c>
      <c r="E248">
        <v>58</v>
      </c>
      <c r="F248" s="18" t="s">
        <v>502</v>
      </c>
      <c r="H248" t="str">
        <f>IF(B248=$H$1,COUNT($H$2:H249)+1," ")</f>
        <v xml:space="preserve"> </v>
      </c>
      <c r="L248">
        <v>247</v>
      </c>
      <c r="M248">
        <v>62</v>
      </c>
      <c r="N248">
        <v>87</v>
      </c>
      <c r="O248" s="18" t="s">
        <v>554</v>
      </c>
      <c r="P248">
        <f t="shared" si="9"/>
        <v>149</v>
      </c>
      <c r="Q248" t="str">
        <f>INDEX(Elemek!$B$2:$B$113,MATCH(M248,Elemek!$C$2:$C$113,0))</f>
        <v>Sm</v>
      </c>
      <c r="R248" t="str">
        <f t="shared" si="10"/>
        <v>8.589058</v>
      </c>
      <c r="S248" t="str">
        <f t="shared" si="11"/>
        <v>8.589058</v>
      </c>
    </row>
    <row r="249" spans="1:19" x14ac:dyDescent="0.25">
      <c r="A249">
        <v>76</v>
      </c>
      <c r="B249" t="s">
        <v>134</v>
      </c>
      <c r="C249">
        <v>110</v>
      </c>
      <c r="D249">
        <v>48</v>
      </c>
      <c r="E249">
        <v>62</v>
      </c>
      <c r="F249" s="18" t="s">
        <v>383</v>
      </c>
      <c r="H249" t="str">
        <f>IF(B249=$H$1,COUNT($H$2:H250)+1," ")</f>
        <v xml:space="preserve"> </v>
      </c>
      <c r="L249">
        <v>248</v>
      </c>
      <c r="M249">
        <v>66</v>
      </c>
      <c r="N249">
        <v>92</v>
      </c>
      <c r="O249" s="18" t="s">
        <v>555</v>
      </c>
      <c r="P249">
        <f t="shared" si="9"/>
        <v>158</v>
      </c>
      <c r="Q249" t="str">
        <f>INDEX(Elemek!$B$2:$B$113,MATCH(M249,Elemek!$C$2:$C$113,0))</f>
        <v>Dy</v>
      </c>
      <c r="R249" t="str">
        <f t="shared" si="10"/>
        <v>8.516973</v>
      </c>
      <c r="S249" t="str">
        <f t="shared" si="11"/>
        <v>8.516973</v>
      </c>
    </row>
    <row r="250" spans="1:19" x14ac:dyDescent="0.25">
      <c r="A250">
        <v>311</v>
      </c>
      <c r="B250" t="s">
        <v>145</v>
      </c>
      <c r="C250">
        <v>36</v>
      </c>
      <c r="D250">
        <v>17</v>
      </c>
      <c r="E250">
        <v>19</v>
      </c>
      <c r="F250" s="18" t="s">
        <v>618</v>
      </c>
      <c r="H250" t="str">
        <f>IF(B250=$H$1,COUNT($H$2:H251)+1," ")</f>
        <v xml:space="preserve"> </v>
      </c>
      <c r="L250">
        <v>249</v>
      </c>
      <c r="M250">
        <v>68</v>
      </c>
      <c r="N250">
        <v>94</v>
      </c>
      <c r="O250" s="18" t="s">
        <v>556</v>
      </c>
      <c r="P250">
        <f t="shared" si="9"/>
        <v>162</v>
      </c>
      <c r="Q250" t="str">
        <f>INDEX(Elemek!$B$2:$B$113,MATCH(M250,Elemek!$C$2:$C$113,0))</f>
        <v>Er</v>
      </c>
      <c r="R250" t="str">
        <f t="shared" si="10"/>
        <v>8.480852</v>
      </c>
      <c r="S250" t="str">
        <f t="shared" si="11"/>
        <v>8.480852</v>
      </c>
    </row>
    <row r="251" spans="1:19" x14ac:dyDescent="0.25">
      <c r="A251">
        <v>363</v>
      </c>
      <c r="B251" t="s">
        <v>26</v>
      </c>
      <c r="C251">
        <v>42</v>
      </c>
      <c r="D251">
        <v>18</v>
      </c>
      <c r="E251">
        <v>24</v>
      </c>
      <c r="F251" s="18" t="s">
        <v>670</v>
      </c>
      <c r="H251" t="str">
        <f>IF(B251=$H$1,COUNT($H$2:H252)+1," ")</f>
        <v xml:space="preserve"> </v>
      </c>
      <c r="L251">
        <v>250</v>
      </c>
      <c r="M251">
        <v>70</v>
      </c>
      <c r="N251">
        <v>98</v>
      </c>
      <c r="O251" s="18" t="s">
        <v>557</v>
      </c>
      <c r="P251">
        <f t="shared" si="9"/>
        <v>168</v>
      </c>
      <c r="Q251" t="str">
        <f>INDEX(Elemek!$B$2:$B$113,MATCH(M251,Elemek!$C$2:$C$113,0))</f>
        <v>Yb</v>
      </c>
      <c r="R251" t="str">
        <f t="shared" si="10"/>
        <v>8.437845</v>
      </c>
      <c r="S251" t="str">
        <f t="shared" si="11"/>
        <v>8.437845</v>
      </c>
    </row>
    <row r="252" spans="1:19" x14ac:dyDescent="0.25">
      <c r="A252">
        <v>549</v>
      </c>
      <c r="B252" t="s">
        <v>83</v>
      </c>
      <c r="C252">
        <v>106</v>
      </c>
      <c r="D252">
        <v>47</v>
      </c>
      <c r="E252">
        <v>59</v>
      </c>
      <c r="F252" s="18" t="s">
        <v>837</v>
      </c>
      <c r="H252" t="str">
        <f>IF(B252=$H$1,COUNT($H$2:H253)+1," ")</f>
        <v xml:space="preserve"> </v>
      </c>
      <c r="L252">
        <v>251</v>
      </c>
      <c r="M252">
        <v>42</v>
      </c>
      <c r="N252">
        <v>56</v>
      </c>
      <c r="O252" s="18" t="s">
        <v>558</v>
      </c>
      <c r="P252">
        <f t="shared" si="9"/>
        <v>98</v>
      </c>
      <c r="Q252" t="str">
        <f>INDEX(Elemek!$B$2:$B$113,MATCH(M252,Elemek!$C$2:$C$113,0))</f>
        <v>Mo</v>
      </c>
      <c r="R252" t="str">
        <f t="shared" si="10"/>
        <v>8.970426</v>
      </c>
      <c r="S252" t="str">
        <f t="shared" si="11"/>
        <v>8.970426</v>
      </c>
    </row>
    <row r="253" spans="1:19" x14ac:dyDescent="0.25">
      <c r="A253">
        <v>970</v>
      </c>
      <c r="B253" t="s">
        <v>83</v>
      </c>
      <c r="C253">
        <v>104</v>
      </c>
      <c r="D253">
        <v>47</v>
      </c>
      <c r="E253">
        <v>57</v>
      </c>
      <c r="F253" s="18" t="s">
        <v>1185</v>
      </c>
      <c r="H253" t="str">
        <f>IF(B253=$H$1,COUNT($H$2:H254)+1," ")</f>
        <v xml:space="preserve"> </v>
      </c>
      <c r="L253">
        <v>252</v>
      </c>
      <c r="M253">
        <v>52</v>
      </c>
      <c r="N253">
        <v>76</v>
      </c>
      <c r="O253" s="18" t="s">
        <v>559</v>
      </c>
      <c r="P253">
        <f t="shared" si="9"/>
        <v>128</v>
      </c>
      <c r="Q253" t="str">
        <f>INDEX(Elemek!$B$2:$B$113,MATCH(M253,Elemek!$C$2:$C$113,0))</f>
        <v>Te</v>
      </c>
      <c r="R253" t="str">
        <f t="shared" si="10"/>
        <v>8.743261</v>
      </c>
      <c r="S253" t="str">
        <f t="shared" si="11"/>
        <v>8.743261</v>
      </c>
    </row>
    <row r="254" spans="1:19" x14ac:dyDescent="0.25">
      <c r="A254">
        <v>826</v>
      </c>
      <c r="B254" t="s">
        <v>249</v>
      </c>
      <c r="C254">
        <v>105</v>
      </c>
      <c r="D254">
        <v>44</v>
      </c>
      <c r="E254">
        <v>61</v>
      </c>
      <c r="F254" s="18" t="s">
        <v>1067</v>
      </c>
      <c r="H254" t="str">
        <f>IF(B254=$H$1,COUNT($H$2:H255)+1," ")</f>
        <v xml:space="preserve"> </v>
      </c>
      <c r="L254">
        <v>253</v>
      </c>
      <c r="M254">
        <v>54</v>
      </c>
      <c r="N254">
        <v>70</v>
      </c>
      <c r="O254" s="18" t="s">
        <v>560</v>
      </c>
      <c r="P254">
        <f t="shared" si="9"/>
        <v>124</v>
      </c>
      <c r="Q254" t="str">
        <f>INDEX(Elemek!$B$2:$B$113,MATCH(M254,Elemek!$C$2:$C$113,0))</f>
        <v>Xe</v>
      </c>
      <c r="R254" t="str">
        <f t="shared" si="10"/>
        <v>8.778264</v>
      </c>
      <c r="S254" t="str">
        <f t="shared" si="11"/>
        <v>8.778264</v>
      </c>
    </row>
    <row r="255" spans="1:19" x14ac:dyDescent="0.25">
      <c r="A255">
        <v>77</v>
      </c>
      <c r="B255" t="s">
        <v>265</v>
      </c>
      <c r="C255">
        <v>30</v>
      </c>
      <c r="D255">
        <v>14</v>
      </c>
      <c r="E255">
        <v>16</v>
      </c>
      <c r="F255" s="18" t="s">
        <v>384</v>
      </c>
      <c r="H255" t="str">
        <f>IF(B255=$H$1,COUNT($H$2:H256)+1," ")</f>
        <v xml:space="preserve"> </v>
      </c>
      <c r="L255">
        <v>254</v>
      </c>
      <c r="M255">
        <v>36</v>
      </c>
      <c r="N255">
        <v>42</v>
      </c>
      <c r="O255" s="18" t="s">
        <v>561</v>
      </c>
      <c r="P255">
        <f t="shared" si="9"/>
        <v>78</v>
      </c>
      <c r="Q255" t="str">
        <f>INDEX(Elemek!$B$2:$B$113,MATCH(M255,Elemek!$C$2:$C$113,0))</f>
        <v>Kr</v>
      </c>
      <c r="R255" t="str">
        <f t="shared" si="10"/>
        <v>9.022349</v>
      </c>
      <c r="S255" t="str">
        <f t="shared" si="11"/>
        <v>9.022349</v>
      </c>
    </row>
    <row r="256" spans="1:19" x14ac:dyDescent="0.25">
      <c r="A256">
        <v>407</v>
      </c>
      <c r="B256" t="s">
        <v>249</v>
      </c>
      <c r="C256">
        <v>106</v>
      </c>
      <c r="D256">
        <v>44</v>
      </c>
      <c r="E256">
        <v>62</v>
      </c>
      <c r="F256" s="18" t="s">
        <v>711</v>
      </c>
      <c r="H256" t="str">
        <f>IF(B256=$H$1,COUNT($H$2:H257)+1," ")</f>
        <v xml:space="preserve"> </v>
      </c>
      <c r="L256">
        <v>255</v>
      </c>
      <c r="M256">
        <v>54</v>
      </c>
      <c r="N256">
        <v>82</v>
      </c>
      <c r="O256" s="18" t="s">
        <v>562</v>
      </c>
      <c r="P256">
        <f t="shared" si="9"/>
        <v>136</v>
      </c>
      <c r="Q256" t="str">
        <f>INDEX(Elemek!$B$2:$B$113,MATCH(M256,Elemek!$C$2:$C$113,0))</f>
        <v>Xe</v>
      </c>
      <c r="R256" t="str">
        <f t="shared" si="10"/>
        <v>8.706805</v>
      </c>
      <c r="S256" t="str">
        <f t="shared" si="11"/>
        <v>8.706805</v>
      </c>
    </row>
    <row r="257" spans="1:19" x14ac:dyDescent="0.25">
      <c r="A257">
        <v>78</v>
      </c>
      <c r="B257" t="s">
        <v>83</v>
      </c>
      <c r="C257">
        <v>109</v>
      </c>
      <c r="D257">
        <v>47</v>
      </c>
      <c r="E257">
        <v>62</v>
      </c>
      <c r="F257" s="18" t="s">
        <v>385</v>
      </c>
      <c r="H257" t="str">
        <f>IF(B257=$H$1,COUNT($H$2:H258)+1," ")</f>
        <v xml:space="preserve"> </v>
      </c>
      <c r="L257">
        <v>256</v>
      </c>
      <c r="M257">
        <v>32</v>
      </c>
      <c r="N257">
        <v>44</v>
      </c>
      <c r="O257" s="18" t="s">
        <v>563</v>
      </c>
      <c r="P257">
        <f t="shared" si="9"/>
        <v>76</v>
      </c>
      <c r="Q257" t="str">
        <f>INDEX(Elemek!$B$2:$B$113,MATCH(M257,Elemek!$C$2:$C$113,0))</f>
        <v>Ge</v>
      </c>
      <c r="R257" t="str">
        <f t="shared" si="10"/>
        <v>9.034656</v>
      </c>
      <c r="S257" t="str">
        <f t="shared" si="11"/>
        <v>9.034656</v>
      </c>
    </row>
    <row r="258" spans="1:19" x14ac:dyDescent="0.25">
      <c r="A258">
        <v>902</v>
      </c>
      <c r="B258" t="s">
        <v>245</v>
      </c>
      <c r="C258">
        <v>106</v>
      </c>
      <c r="D258">
        <v>45</v>
      </c>
      <c r="E258">
        <v>61</v>
      </c>
      <c r="F258" s="18" t="s">
        <v>1130</v>
      </c>
      <c r="H258" t="str">
        <f>IF(B258=$H$1,COUNT($H$2:H259)+1," ")</f>
        <v xml:space="preserve"> </v>
      </c>
      <c r="L258">
        <v>257</v>
      </c>
      <c r="M258">
        <v>56</v>
      </c>
      <c r="N258">
        <v>74</v>
      </c>
      <c r="O258" s="18" t="s">
        <v>564</v>
      </c>
      <c r="P258">
        <f t="shared" si="9"/>
        <v>130</v>
      </c>
      <c r="Q258" t="str">
        <f>INDEX(Elemek!$B$2:$B$113,MATCH(M258,Elemek!$C$2:$C$113,0))</f>
        <v>Ba</v>
      </c>
      <c r="R258" t="str">
        <f t="shared" si="10"/>
        <v>8.742574</v>
      </c>
      <c r="S258" t="str">
        <f t="shared" si="11"/>
        <v>8.742574</v>
      </c>
    </row>
    <row r="259" spans="1:19" x14ac:dyDescent="0.25">
      <c r="A259">
        <v>79</v>
      </c>
      <c r="B259" t="s">
        <v>143</v>
      </c>
      <c r="C259">
        <v>32</v>
      </c>
      <c r="D259">
        <v>16</v>
      </c>
      <c r="E259">
        <v>16</v>
      </c>
      <c r="F259" s="18" t="s">
        <v>386</v>
      </c>
      <c r="H259" t="str">
        <f>IF(B259=$H$1,COUNT($H$2:H260)+1," ")</f>
        <v xml:space="preserve"> </v>
      </c>
      <c r="L259">
        <v>258</v>
      </c>
      <c r="M259">
        <v>34</v>
      </c>
      <c r="N259">
        <v>48</v>
      </c>
      <c r="O259" s="18" t="s">
        <v>565</v>
      </c>
      <c r="P259">
        <f t="shared" ref="P259:P322" si="12">N259+M259</f>
        <v>82</v>
      </c>
      <c r="Q259" t="str">
        <f>INDEX(Elemek!$B$2:$B$113,MATCH(M259,Elemek!$C$2:$C$113,0))</f>
        <v>Se</v>
      </c>
      <c r="R259" t="str">
        <f t="shared" ref="R259:R322" si="13">IF(NOT(ISBLANK(O259)),O259,ROUNDDOWN(AVERAGE($O$2:$O$990),2))</f>
        <v>9.017596</v>
      </c>
      <c r="S259" t="str">
        <f t="shared" ref="S259:S322" si="14">IF(ISBLANK(O259),ROUNDDOWN(AVERAGEIF($M$2:$M$990,M259,$O$2:$O$990),2),O259)</f>
        <v>9.017596</v>
      </c>
    </row>
    <row r="260" spans="1:19" x14ac:dyDescent="0.25">
      <c r="A260">
        <v>788</v>
      </c>
      <c r="B260" t="s">
        <v>134</v>
      </c>
      <c r="C260">
        <v>107</v>
      </c>
      <c r="D260">
        <v>48</v>
      </c>
      <c r="E260">
        <v>59</v>
      </c>
      <c r="F260" s="18" t="s">
        <v>1036</v>
      </c>
      <c r="H260" t="str">
        <f>IF(B260=$H$1,COUNT($H$2:H261)+1," ")</f>
        <v xml:space="preserve"> </v>
      </c>
      <c r="L260">
        <v>259</v>
      </c>
      <c r="M260">
        <v>20</v>
      </c>
      <c r="N260">
        <v>28</v>
      </c>
      <c r="O260" s="18" t="s">
        <v>566</v>
      </c>
      <c r="P260">
        <f t="shared" si="12"/>
        <v>48</v>
      </c>
      <c r="Q260" t="str">
        <f>INDEX(Elemek!$B$2:$B$113,MATCH(M260,Elemek!$C$2:$C$113,0))</f>
        <v>Ca</v>
      </c>
      <c r="R260" t="str">
        <f t="shared" si="13"/>
        <v>8.992452</v>
      </c>
      <c r="S260" t="str">
        <f t="shared" si="14"/>
        <v>8.992452</v>
      </c>
    </row>
    <row r="261" spans="1:19" x14ac:dyDescent="0.25">
      <c r="A261">
        <v>405</v>
      </c>
      <c r="B261" t="s">
        <v>134</v>
      </c>
      <c r="C261">
        <v>109</v>
      </c>
      <c r="D261">
        <v>48</v>
      </c>
      <c r="E261">
        <v>61</v>
      </c>
      <c r="F261" s="18" t="s">
        <v>709</v>
      </c>
      <c r="H261" t="str">
        <f>IF(B261=$H$1,COUNT($H$2:H262)+1," ")</f>
        <v xml:space="preserve"> </v>
      </c>
      <c r="L261">
        <v>260</v>
      </c>
      <c r="M261">
        <v>48</v>
      </c>
      <c r="N261">
        <v>68</v>
      </c>
      <c r="O261" s="18" t="s">
        <v>567</v>
      </c>
      <c r="P261">
        <f t="shared" si="12"/>
        <v>116</v>
      </c>
      <c r="Q261" t="str">
        <f>INDEX(Elemek!$B$2:$B$113,MATCH(M261,Elemek!$C$2:$C$113,0))</f>
        <v>Cd</v>
      </c>
      <c r="R261" t="str">
        <f t="shared" si="13"/>
        <v>8.836146</v>
      </c>
      <c r="S261" t="str">
        <f t="shared" si="14"/>
        <v>8.836146</v>
      </c>
    </row>
    <row r="262" spans="1:19" x14ac:dyDescent="0.25">
      <c r="A262">
        <v>343</v>
      </c>
      <c r="B262" t="s">
        <v>83</v>
      </c>
      <c r="C262">
        <v>108</v>
      </c>
      <c r="D262">
        <v>47</v>
      </c>
      <c r="E262">
        <v>61</v>
      </c>
      <c r="F262" s="18" t="s">
        <v>650</v>
      </c>
      <c r="H262" t="str">
        <f>IF(B262=$H$1,COUNT($H$2:H263)+1," ")</f>
        <v xml:space="preserve"> </v>
      </c>
      <c r="L262">
        <v>261</v>
      </c>
      <c r="M262">
        <v>83</v>
      </c>
      <c r="N262">
        <v>126</v>
      </c>
      <c r="O262" s="18" t="s">
        <v>568</v>
      </c>
      <c r="P262">
        <f t="shared" si="12"/>
        <v>209</v>
      </c>
      <c r="Q262" t="str">
        <f>INDEX(Elemek!$B$2:$B$113,MATCH(M262,Elemek!$C$2:$C$113,0))</f>
        <v>Bi</v>
      </c>
      <c r="R262" t="str">
        <f t="shared" si="13"/>
        <v>8.158689</v>
      </c>
      <c r="S262" t="str">
        <f t="shared" si="14"/>
        <v>8.158689</v>
      </c>
    </row>
    <row r="263" spans="1:19" x14ac:dyDescent="0.25">
      <c r="A263">
        <v>84</v>
      </c>
      <c r="B263" t="s">
        <v>134</v>
      </c>
      <c r="C263">
        <v>112</v>
      </c>
      <c r="D263">
        <v>48</v>
      </c>
      <c r="E263">
        <v>64</v>
      </c>
      <c r="F263" s="18" t="s">
        <v>391</v>
      </c>
      <c r="H263" t="str">
        <f>IF(B263=$H$1,COUNT($H$2:H264)+1," ")</f>
        <v xml:space="preserve"> </v>
      </c>
      <c r="L263">
        <v>262</v>
      </c>
      <c r="M263">
        <v>40</v>
      </c>
      <c r="N263">
        <v>56</v>
      </c>
      <c r="O263" s="18" t="s">
        <v>569</v>
      </c>
      <c r="P263">
        <f t="shared" si="12"/>
        <v>96</v>
      </c>
      <c r="Q263" t="str">
        <f>INDEX(Elemek!$B$2:$B$113,MATCH(M263,Elemek!$C$2:$C$113,0))</f>
        <v>Zr</v>
      </c>
      <c r="R263" t="str">
        <f t="shared" si="13"/>
        <v>8.961359</v>
      </c>
      <c r="S263" t="str">
        <f t="shared" si="14"/>
        <v>8.961359</v>
      </c>
    </row>
    <row r="264" spans="1:19" x14ac:dyDescent="0.25">
      <c r="A264">
        <v>919</v>
      </c>
      <c r="B264" t="s">
        <v>26</v>
      </c>
      <c r="C264">
        <v>41</v>
      </c>
      <c r="D264">
        <v>18</v>
      </c>
      <c r="E264">
        <v>23</v>
      </c>
      <c r="F264" s="18" t="s">
        <v>1142</v>
      </c>
      <c r="H264" t="str">
        <f>IF(B264=$H$1,COUNT($H$2:H265)+1," ")</f>
        <v xml:space="preserve"> </v>
      </c>
      <c r="L264">
        <v>263</v>
      </c>
      <c r="M264">
        <v>52</v>
      </c>
      <c r="N264">
        <v>78</v>
      </c>
      <c r="O264" s="18" t="s">
        <v>570</v>
      </c>
      <c r="P264">
        <f t="shared" si="12"/>
        <v>130</v>
      </c>
      <c r="Q264" t="str">
        <f>INDEX(Elemek!$B$2:$B$113,MATCH(M264,Elemek!$C$2:$C$113,0))</f>
        <v>Te</v>
      </c>
      <c r="R264" t="str">
        <f t="shared" si="13"/>
        <v>8.766578</v>
      </c>
      <c r="S264" t="str">
        <f t="shared" si="14"/>
        <v>8.766578</v>
      </c>
    </row>
    <row r="265" spans="1:19" x14ac:dyDescent="0.25">
      <c r="A265">
        <v>80</v>
      </c>
      <c r="B265" t="s">
        <v>143</v>
      </c>
      <c r="C265">
        <v>33</v>
      </c>
      <c r="D265">
        <v>16</v>
      </c>
      <c r="E265">
        <v>17</v>
      </c>
      <c r="F265" s="18" t="s">
        <v>387</v>
      </c>
      <c r="H265" t="str">
        <f>IF(B265=$H$1,COUNT($H$2:H266)+1," ")</f>
        <v xml:space="preserve"> </v>
      </c>
      <c r="L265">
        <v>264</v>
      </c>
      <c r="M265">
        <v>60</v>
      </c>
      <c r="N265">
        <v>90</v>
      </c>
      <c r="O265" s="18" t="s">
        <v>571</v>
      </c>
      <c r="P265">
        <f t="shared" si="12"/>
        <v>150</v>
      </c>
      <c r="Q265" t="str">
        <f>INDEX(Elemek!$B$2:$B$113,MATCH(M265,Elemek!$C$2:$C$113,0))</f>
        <v>Nd</v>
      </c>
      <c r="R265" t="str">
        <f t="shared" si="13"/>
        <v>8.562594</v>
      </c>
      <c r="S265" t="str">
        <f t="shared" si="14"/>
        <v>8.562594</v>
      </c>
    </row>
    <row r="266" spans="1:19" x14ac:dyDescent="0.25">
      <c r="A266">
        <v>85</v>
      </c>
      <c r="B266" t="s">
        <v>134</v>
      </c>
      <c r="C266">
        <v>111</v>
      </c>
      <c r="D266">
        <v>48</v>
      </c>
      <c r="E266">
        <v>63</v>
      </c>
      <c r="F266" s="18" t="s">
        <v>392</v>
      </c>
      <c r="H266" t="str">
        <f>IF(B266=$H$1,COUNT($H$2:H267)+1," ")</f>
        <v xml:space="preserve"> </v>
      </c>
      <c r="L266">
        <v>265</v>
      </c>
      <c r="M266">
        <v>42</v>
      </c>
      <c r="N266">
        <v>58</v>
      </c>
      <c r="O266" s="18" t="s">
        <v>572</v>
      </c>
      <c r="P266">
        <f t="shared" si="12"/>
        <v>100</v>
      </c>
      <c r="Q266" t="str">
        <f>INDEX(Elemek!$B$2:$B$113,MATCH(M266,Elemek!$C$2:$C$113,0))</f>
        <v>Mo</v>
      </c>
      <c r="R266" t="str">
        <f t="shared" si="13"/>
        <v>8.933167</v>
      </c>
      <c r="S266" t="str">
        <f t="shared" si="14"/>
        <v>8.933167</v>
      </c>
    </row>
    <row r="267" spans="1:19" x14ac:dyDescent="0.25">
      <c r="A267">
        <v>727</v>
      </c>
      <c r="B267" t="s">
        <v>214</v>
      </c>
      <c r="C267">
        <v>109</v>
      </c>
      <c r="D267">
        <v>46</v>
      </c>
      <c r="E267">
        <v>63</v>
      </c>
      <c r="F267" s="18" t="s">
        <v>990</v>
      </c>
      <c r="H267" t="str">
        <f>IF(B267=$H$1,COUNT($H$2:H268)+1," ")</f>
        <v xml:space="preserve"> </v>
      </c>
      <c r="L267">
        <v>266</v>
      </c>
      <c r="M267">
        <v>63</v>
      </c>
      <c r="N267">
        <v>88</v>
      </c>
      <c r="O267" s="18" t="s">
        <v>573</v>
      </c>
      <c r="P267">
        <f t="shared" si="12"/>
        <v>151</v>
      </c>
      <c r="Q267" t="str">
        <f>INDEX(Elemek!$B$2:$B$113,MATCH(M267,Elemek!$C$2:$C$113,0))</f>
        <v>Eu</v>
      </c>
      <c r="R267" t="str">
        <f t="shared" si="13"/>
        <v>8.565759</v>
      </c>
      <c r="S267" t="str">
        <f t="shared" si="14"/>
        <v>8.565759</v>
      </c>
    </row>
    <row r="268" spans="1:19" x14ac:dyDescent="0.25">
      <c r="A268">
        <v>201</v>
      </c>
      <c r="B268" t="s">
        <v>214</v>
      </c>
      <c r="C268">
        <v>110</v>
      </c>
      <c r="D268">
        <v>46</v>
      </c>
      <c r="E268">
        <v>64</v>
      </c>
      <c r="F268" s="18" t="s">
        <v>508</v>
      </c>
      <c r="H268" t="str">
        <f>IF(B268=$H$1,COUNT($H$2:H269)+1," ")</f>
        <v xml:space="preserve"> </v>
      </c>
      <c r="L268">
        <v>267</v>
      </c>
      <c r="M268">
        <v>74</v>
      </c>
      <c r="N268">
        <v>106</v>
      </c>
      <c r="O268" s="18" t="s">
        <v>574</v>
      </c>
      <c r="P268">
        <f t="shared" si="12"/>
        <v>180</v>
      </c>
      <c r="Q268" t="str">
        <f>INDEX(Elemek!$B$2:$B$113,MATCH(M268,Elemek!$C$2:$C$113,0))</f>
        <v>W</v>
      </c>
      <c r="R268" t="str">
        <f t="shared" si="13"/>
        <v>8.347127</v>
      </c>
      <c r="S268" t="str">
        <f t="shared" si="14"/>
        <v>8.347127</v>
      </c>
    </row>
    <row r="269" spans="1:19" x14ac:dyDescent="0.25">
      <c r="A269">
        <v>501</v>
      </c>
      <c r="B269" t="s">
        <v>90</v>
      </c>
      <c r="C269">
        <v>33</v>
      </c>
      <c r="D269">
        <v>15</v>
      </c>
      <c r="E269">
        <v>18</v>
      </c>
      <c r="F269" s="18" t="s">
        <v>796</v>
      </c>
      <c r="H269" t="str">
        <f>IF(B269=$H$1,COUNT($H$2:H270)+1," ")</f>
        <v xml:space="preserve"> </v>
      </c>
      <c r="L269">
        <v>268</v>
      </c>
      <c r="M269">
        <v>23</v>
      </c>
      <c r="N269">
        <v>27</v>
      </c>
      <c r="O269" s="18" t="s">
        <v>575</v>
      </c>
      <c r="P269">
        <f t="shared" si="12"/>
        <v>50</v>
      </c>
      <c r="Q269" t="str">
        <f>INDEX(Elemek!$B$2:$B$113,MATCH(M269,Elemek!$C$2:$C$113,0))</f>
        <v>V</v>
      </c>
      <c r="R269" t="str">
        <f t="shared" si="13"/>
        <v>9.055759</v>
      </c>
      <c r="S269" t="str">
        <f t="shared" si="14"/>
        <v>9.055759</v>
      </c>
    </row>
    <row r="270" spans="1:19" x14ac:dyDescent="0.25">
      <c r="A270">
        <v>602</v>
      </c>
      <c r="B270" t="s">
        <v>120</v>
      </c>
      <c r="C270">
        <v>111</v>
      </c>
      <c r="D270">
        <v>49</v>
      </c>
      <c r="E270">
        <v>62</v>
      </c>
      <c r="F270" s="18" t="s">
        <v>882</v>
      </c>
      <c r="H270" t="str">
        <f>IF(B270=$H$1,COUNT($H$2:H271)+1," ")</f>
        <v xml:space="preserve"> </v>
      </c>
      <c r="L270">
        <v>269</v>
      </c>
      <c r="M270">
        <v>72</v>
      </c>
      <c r="N270">
        <v>102</v>
      </c>
      <c r="O270" s="18" t="s">
        <v>576</v>
      </c>
      <c r="P270">
        <f t="shared" si="12"/>
        <v>174</v>
      </c>
      <c r="Q270" t="str">
        <f>INDEX(Elemek!$B$2:$B$113,MATCH(M270,Elemek!$C$2:$C$113,0))</f>
        <v>Hf</v>
      </c>
      <c r="R270" t="str">
        <f t="shared" si="13"/>
        <v>8.392287</v>
      </c>
      <c r="S270" t="str">
        <f t="shared" si="14"/>
        <v>8.392287</v>
      </c>
    </row>
    <row r="271" spans="1:19" x14ac:dyDescent="0.25">
      <c r="A271">
        <v>553</v>
      </c>
      <c r="B271" t="s">
        <v>83</v>
      </c>
      <c r="C271">
        <v>111</v>
      </c>
      <c r="D271">
        <v>47</v>
      </c>
      <c r="E271">
        <v>64</v>
      </c>
      <c r="F271" s="18" t="s">
        <v>841</v>
      </c>
      <c r="H271" t="str">
        <f>IF(B271=$H$1,COUNT($H$2:H272)+1," ")</f>
        <v xml:space="preserve"> </v>
      </c>
      <c r="L271">
        <v>270</v>
      </c>
      <c r="M271">
        <v>48</v>
      </c>
      <c r="N271">
        <v>65</v>
      </c>
      <c r="O271" s="18" t="s">
        <v>577</v>
      </c>
      <c r="P271">
        <f t="shared" si="12"/>
        <v>113</v>
      </c>
      <c r="Q271" t="str">
        <f>INDEX(Elemek!$B$2:$B$113,MATCH(M271,Elemek!$C$2:$C$113,0))</f>
        <v>Cd</v>
      </c>
      <c r="R271" t="str">
        <f t="shared" si="13"/>
        <v>8.859372</v>
      </c>
      <c r="S271" t="str">
        <f t="shared" si="14"/>
        <v>8.859372</v>
      </c>
    </row>
    <row r="272" spans="1:19" x14ac:dyDescent="0.25">
      <c r="A272">
        <v>86</v>
      </c>
      <c r="B272" t="s">
        <v>207</v>
      </c>
      <c r="C272">
        <v>114</v>
      </c>
      <c r="D272">
        <v>50</v>
      </c>
      <c r="E272">
        <v>64</v>
      </c>
      <c r="F272" s="18" t="s">
        <v>393</v>
      </c>
      <c r="H272" t="str">
        <f>IF(B272=$H$1,COUNT($H$2:H273)+1," ")</f>
        <v xml:space="preserve"> </v>
      </c>
      <c r="L272">
        <v>271</v>
      </c>
      <c r="M272">
        <v>62</v>
      </c>
      <c r="N272">
        <v>86</v>
      </c>
      <c r="O272" s="18" t="s">
        <v>578</v>
      </c>
      <c r="P272">
        <f t="shared" si="12"/>
        <v>148</v>
      </c>
      <c r="Q272" t="str">
        <f>INDEX(Elemek!$B$2:$B$113,MATCH(M272,Elemek!$C$2:$C$113,0))</f>
        <v>Sm</v>
      </c>
      <c r="R272" t="str">
        <f t="shared" si="13"/>
        <v>8.607423</v>
      </c>
      <c r="S272" t="str">
        <f t="shared" si="14"/>
        <v>8.607423</v>
      </c>
    </row>
    <row r="273" spans="1:19" x14ac:dyDescent="0.25">
      <c r="A273">
        <v>420</v>
      </c>
      <c r="B273" t="s">
        <v>83</v>
      </c>
      <c r="C273">
        <v>110</v>
      </c>
      <c r="D273">
        <v>47</v>
      </c>
      <c r="E273">
        <v>63</v>
      </c>
      <c r="F273" s="18" t="s">
        <v>723</v>
      </c>
      <c r="H273" t="str">
        <f>IF(B273=$H$1,COUNT($H$2:H274)+1," ")</f>
        <v xml:space="preserve"> </v>
      </c>
      <c r="L273">
        <v>272</v>
      </c>
      <c r="M273">
        <v>60</v>
      </c>
      <c r="N273">
        <v>84</v>
      </c>
      <c r="O273" s="18" t="s">
        <v>579</v>
      </c>
      <c r="P273">
        <f t="shared" si="12"/>
        <v>144</v>
      </c>
      <c r="Q273" t="str">
        <f>INDEX(Elemek!$B$2:$B$113,MATCH(M273,Elemek!$C$2:$C$113,0))</f>
        <v>Nd</v>
      </c>
      <c r="R273" t="str">
        <f t="shared" si="13"/>
        <v>8.652947</v>
      </c>
      <c r="S273" t="str">
        <f t="shared" si="14"/>
        <v>8.652947</v>
      </c>
    </row>
    <row r="274" spans="1:19" x14ac:dyDescent="0.25">
      <c r="A274">
        <v>831</v>
      </c>
      <c r="B274" t="s">
        <v>120</v>
      </c>
      <c r="C274">
        <v>109</v>
      </c>
      <c r="D274">
        <v>49</v>
      </c>
      <c r="E274">
        <v>60</v>
      </c>
      <c r="F274" s="18" t="s">
        <v>1072</v>
      </c>
      <c r="H274" t="str">
        <f>IF(B274=$H$1,COUNT($H$2:H275)+1," ")</f>
        <v xml:space="preserve"> </v>
      </c>
      <c r="L274">
        <v>273</v>
      </c>
      <c r="M274">
        <v>76</v>
      </c>
      <c r="N274">
        <v>110</v>
      </c>
      <c r="O274" s="18" t="s">
        <v>580</v>
      </c>
      <c r="P274">
        <f t="shared" si="12"/>
        <v>186</v>
      </c>
      <c r="Q274" t="str">
        <f>INDEX(Elemek!$B$2:$B$113,MATCH(M274,Elemek!$C$2:$C$113,0))</f>
        <v>Os</v>
      </c>
      <c r="R274" t="str">
        <f t="shared" si="13"/>
        <v>8.302508</v>
      </c>
      <c r="S274" t="str">
        <f t="shared" si="14"/>
        <v>8.302508</v>
      </c>
    </row>
    <row r="275" spans="1:19" x14ac:dyDescent="0.25">
      <c r="A275">
        <v>204</v>
      </c>
      <c r="B275" t="s">
        <v>207</v>
      </c>
      <c r="C275">
        <v>112</v>
      </c>
      <c r="D275">
        <v>50</v>
      </c>
      <c r="E275">
        <v>62</v>
      </c>
      <c r="F275" s="18" t="s">
        <v>511</v>
      </c>
      <c r="H275" t="str">
        <f>IF(B275=$H$1,COUNT($H$2:H276)+1," ")</f>
        <v xml:space="preserve"> </v>
      </c>
      <c r="L275">
        <v>274</v>
      </c>
      <c r="M275">
        <v>49</v>
      </c>
      <c r="N275">
        <v>66</v>
      </c>
      <c r="O275" s="18" t="s">
        <v>581</v>
      </c>
      <c r="P275">
        <f t="shared" si="12"/>
        <v>115</v>
      </c>
      <c r="Q275" t="str">
        <f>INDEX(Elemek!$B$2:$B$113,MATCH(M275,Elemek!$C$2:$C$113,0))</f>
        <v>In</v>
      </c>
      <c r="R275" t="str">
        <f t="shared" si="13"/>
        <v>8.84991</v>
      </c>
      <c r="S275" t="str">
        <f t="shared" si="14"/>
        <v>8.84991</v>
      </c>
    </row>
    <row r="276" spans="1:19" x14ac:dyDescent="0.25">
      <c r="A276">
        <v>87</v>
      </c>
      <c r="B276" t="s">
        <v>120</v>
      </c>
      <c r="C276">
        <v>113</v>
      </c>
      <c r="D276">
        <v>49</v>
      </c>
      <c r="E276">
        <v>64</v>
      </c>
      <c r="F276" s="18" t="s">
        <v>394</v>
      </c>
      <c r="H276" t="str">
        <f>IF(B276=$H$1,COUNT($H$2:H277)+1," ")</f>
        <v xml:space="preserve"> </v>
      </c>
      <c r="L276">
        <v>275</v>
      </c>
      <c r="M276">
        <v>64</v>
      </c>
      <c r="N276">
        <v>88</v>
      </c>
      <c r="O276" s="18" t="s">
        <v>582</v>
      </c>
      <c r="P276">
        <f t="shared" si="12"/>
        <v>152</v>
      </c>
      <c r="Q276" t="str">
        <f>INDEX(Elemek!$B$2:$B$113,MATCH(M276,Elemek!$C$2:$C$113,0))</f>
        <v>Gd</v>
      </c>
      <c r="R276" t="str">
        <f t="shared" si="13"/>
        <v>8.562868</v>
      </c>
      <c r="S276" t="str">
        <f t="shared" si="14"/>
        <v>8.562868</v>
      </c>
    </row>
    <row r="277" spans="1:19" x14ac:dyDescent="0.25">
      <c r="A277">
        <v>238</v>
      </c>
      <c r="B277" t="s">
        <v>134</v>
      </c>
      <c r="C277">
        <v>114</v>
      </c>
      <c r="D277">
        <v>48</v>
      </c>
      <c r="E277">
        <v>66</v>
      </c>
      <c r="F277" s="18" t="s">
        <v>545</v>
      </c>
      <c r="H277" t="str">
        <f>IF(B277=$H$1,COUNT($H$2:H278)+1," ")</f>
        <v xml:space="preserve"> </v>
      </c>
      <c r="L277">
        <v>276</v>
      </c>
      <c r="M277">
        <v>76</v>
      </c>
      <c r="N277">
        <v>108</v>
      </c>
      <c r="O277" s="18" t="s">
        <v>583</v>
      </c>
      <c r="P277">
        <f t="shared" si="12"/>
        <v>184</v>
      </c>
      <c r="Q277" t="str">
        <f>INDEX(Elemek!$B$2:$B$113,MATCH(M277,Elemek!$C$2:$C$113,0))</f>
        <v>Os</v>
      </c>
      <c r="R277" t="str">
        <f t="shared" si="13"/>
        <v>8.31185</v>
      </c>
      <c r="S277" t="str">
        <f t="shared" si="14"/>
        <v>8.31185</v>
      </c>
    </row>
    <row r="278" spans="1:19" x14ac:dyDescent="0.25">
      <c r="A278">
        <v>88</v>
      </c>
      <c r="B278" t="s">
        <v>207</v>
      </c>
      <c r="C278">
        <v>116</v>
      </c>
      <c r="D278">
        <v>50</v>
      </c>
      <c r="E278">
        <v>66</v>
      </c>
      <c r="F278" s="18" t="s">
        <v>395</v>
      </c>
      <c r="H278" t="str">
        <f>IF(B278=$H$1,COUNT($H$2:H279)+1," ")</f>
        <v xml:space="preserve"> </v>
      </c>
      <c r="L278">
        <v>277</v>
      </c>
      <c r="M278">
        <v>78</v>
      </c>
      <c r="N278">
        <v>112</v>
      </c>
      <c r="O278" s="18" t="s">
        <v>584</v>
      </c>
      <c r="P278">
        <f t="shared" si="12"/>
        <v>190</v>
      </c>
      <c r="Q278" t="str">
        <f>INDEX(Elemek!$B$2:$B$113,MATCH(M278,Elemek!$C$2:$C$113,0))</f>
        <v>Pt</v>
      </c>
      <c r="R278" t="str">
        <f t="shared" si="13"/>
        <v>8.267764</v>
      </c>
      <c r="S278" t="str">
        <f t="shared" si="14"/>
        <v>8.267764</v>
      </c>
    </row>
    <row r="279" spans="1:19" x14ac:dyDescent="0.25">
      <c r="A279">
        <v>81</v>
      </c>
      <c r="B279" t="s">
        <v>90</v>
      </c>
      <c r="C279">
        <v>31</v>
      </c>
      <c r="D279">
        <v>15</v>
      </c>
      <c r="E279">
        <v>16</v>
      </c>
      <c r="F279" s="18" t="s">
        <v>388</v>
      </c>
      <c r="H279" t="str">
        <f>IF(B279=$H$1,COUNT($H$2:H280)+1," ")</f>
        <v xml:space="preserve"> </v>
      </c>
      <c r="L279">
        <v>278</v>
      </c>
      <c r="M279">
        <v>62</v>
      </c>
      <c r="N279">
        <v>85</v>
      </c>
      <c r="O279" s="18" t="s">
        <v>585</v>
      </c>
      <c r="P279">
        <f t="shared" si="12"/>
        <v>147</v>
      </c>
      <c r="Q279" t="str">
        <f>INDEX(Elemek!$B$2:$B$113,MATCH(M279,Elemek!$C$2:$C$113,0))</f>
        <v>Sm</v>
      </c>
      <c r="R279" t="str">
        <f t="shared" si="13"/>
        <v>8.610593</v>
      </c>
      <c r="S279" t="str">
        <f t="shared" si="14"/>
        <v>8.610593</v>
      </c>
    </row>
    <row r="280" spans="1:19" x14ac:dyDescent="0.25">
      <c r="A280">
        <v>270</v>
      </c>
      <c r="B280" t="s">
        <v>134</v>
      </c>
      <c r="C280">
        <v>113</v>
      </c>
      <c r="D280">
        <v>48</v>
      </c>
      <c r="E280">
        <v>65</v>
      </c>
      <c r="F280" s="18" t="s">
        <v>577</v>
      </c>
      <c r="H280" t="str">
        <f>IF(B280=$H$1,COUNT($H$2:H281)+1," ")</f>
        <v xml:space="preserve"> </v>
      </c>
      <c r="L280">
        <v>279</v>
      </c>
      <c r="M280">
        <v>57</v>
      </c>
      <c r="N280">
        <v>81</v>
      </c>
      <c r="O280" s="18" t="s">
        <v>586</v>
      </c>
      <c r="P280">
        <f t="shared" si="12"/>
        <v>138</v>
      </c>
      <c r="Q280" t="str">
        <f>INDEX(Elemek!$B$2:$B$113,MATCH(M280,Elemek!$C$2:$C$113,0))</f>
        <v>La</v>
      </c>
      <c r="R280" t="str">
        <f t="shared" si="13"/>
        <v>8.69832</v>
      </c>
      <c r="S280" t="str">
        <f t="shared" si="14"/>
        <v>8.69832</v>
      </c>
    </row>
    <row r="281" spans="1:19" x14ac:dyDescent="0.25">
      <c r="A281">
        <v>812</v>
      </c>
      <c r="B281" t="s">
        <v>120</v>
      </c>
      <c r="C281">
        <v>110</v>
      </c>
      <c r="D281">
        <v>49</v>
      </c>
      <c r="E281">
        <v>61</v>
      </c>
      <c r="F281" s="18" t="s">
        <v>1056</v>
      </c>
      <c r="H281" t="str">
        <f>IF(B281=$H$1,COUNT($H$2:H282)+1," ")</f>
        <v xml:space="preserve"> </v>
      </c>
      <c r="L281">
        <v>280</v>
      </c>
      <c r="M281">
        <v>37</v>
      </c>
      <c r="N281">
        <v>50</v>
      </c>
      <c r="O281" s="18" t="s">
        <v>587</v>
      </c>
      <c r="P281">
        <f t="shared" si="12"/>
        <v>87</v>
      </c>
      <c r="Q281" t="str">
        <f>INDEX(Elemek!$B$2:$B$113,MATCH(M281,Elemek!$C$2:$C$113,0))</f>
        <v>Rb</v>
      </c>
      <c r="R281" t="str">
        <f t="shared" si="13"/>
        <v>9.043718</v>
      </c>
      <c r="S281" t="str">
        <f t="shared" si="14"/>
        <v>9.043718</v>
      </c>
    </row>
    <row r="282" spans="1:19" x14ac:dyDescent="0.25">
      <c r="A282">
        <v>89</v>
      </c>
      <c r="B282" t="s">
        <v>207</v>
      </c>
      <c r="C282">
        <v>115</v>
      </c>
      <c r="D282">
        <v>50</v>
      </c>
      <c r="E282">
        <v>65</v>
      </c>
      <c r="F282" s="18" t="s">
        <v>396</v>
      </c>
      <c r="H282" t="str">
        <f>IF(B282=$H$1,COUNT($H$2:H283)+1," ")</f>
        <v xml:space="preserve"> </v>
      </c>
      <c r="L282">
        <v>281</v>
      </c>
      <c r="M282">
        <v>75</v>
      </c>
      <c r="N282">
        <v>112</v>
      </c>
      <c r="O282" s="18" t="s">
        <v>588</v>
      </c>
      <c r="P282">
        <f t="shared" si="12"/>
        <v>187</v>
      </c>
      <c r="Q282" t="str">
        <f>INDEX(Elemek!$B$2:$B$113,MATCH(M282,Elemek!$C$2:$C$113,0))</f>
        <v>Re</v>
      </c>
      <c r="R282" t="str">
        <f t="shared" si="13"/>
        <v>8.291732</v>
      </c>
      <c r="S282" t="str">
        <f t="shared" si="14"/>
        <v>8.291732</v>
      </c>
    </row>
    <row r="283" spans="1:19" x14ac:dyDescent="0.25">
      <c r="A283">
        <v>441</v>
      </c>
      <c r="B283" t="s">
        <v>207</v>
      </c>
      <c r="C283">
        <v>113</v>
      </c>
      <c r="D283">
        <v>50</v>
      </c>
      <c r="E283">
        <v>63</v>
      </c>
      <c r="F283" s="18" t="s">
        <v>741</v>
      </c>
      <c r="H283" t="str">
        <f>IF(B283=$H$1,COUNT($H$2:H284)+1," ")</f>
        <v xml:space="preserve"> </v>
      </c>
      <c r="L283">
        <v>282</v>
      </c>
      <c r="M283">
        <v>71</v>
      </c>
      <c r="N283">
        <v>105</v>
      </c>
      <c r="O283" s="18" t="s">
        <v>589</v>
      </c>
      <c r="P283">
        <f t="shared" si="12"/>
        <v>176</v>
      </c>
      <c r="Q283" t="str">
        <f>INDEX(Elemek!$B$2:$B$113,MATCH(M283,Elemek!$C$2:$C$113,0))</f>
        <v>Lu</v>
      </c>
      <c r="R283" t="str">
        <f t="shared" si="13"/>
        <v>8.374665</v>
      </c>
      <c r="S283" t="str">
        <f t="shared" si="14"/>
        <v>8.374665</v>
      </c>
    </row>
    <row r="284" spans="1:19" x14ac:dyDescent="0.25">
      <c r="A284">
        <v>834</v>
      </c>
      <c r="B284" t="s">
        <v>207</v>
      </c>
      <c r="C284">
        <v>110</v>
      </c>
      <c r="D284">
        <v>50</v>
      </c>
      <c r="E284">
        <v>60</v>
      </c>
      <c r="F284" s="18" t="s">
        <v>1075</v>
      </c>
      <c r="H284" t="str">
        <f>IF(B284=$H$1,COUNT($H$2:H285)+1," ")</f>
        <v xml:space="preserve"> </v>
      </c>
      <c r="L284">
        <v>283</v>
      </c>
      <c r="M284">
        <v>90</v>
      </c>
      <c r="N284">
        <v>142</v>
      </c>
      <c r="O284" s="18" t="s">
        <v>590</v>
      </c>
      <c r="P284">
        <f t="shared" si="12"/>
        <v>232</v>
      </c>
      <c r="Q284" t="str">
        <f>INDEX(Elemek!$B$2:$B$113,MATCH(M284,Elemek!$C$2:$C$113,0))</f>
        <v>Th</v>
      </c>
      <c r="R284" t="str">
        <f t="shared" si="13"/>
        <v>7.918533</v>
      </c>
      <c r="S284" t="str">
        <f t="shared" si="14"/>
        <v>7.918533</v>
      </c>
    </row>
    <row r="285" spans="1:19" x14ac:dyDescent="0.25">
      <c r="A285">
        <v>274</v>
      </c>
      <c r="B285" t="s">
        <v>120</v>
      </c>
      <c r="C285">
        <v>115</v>
      </c>
      <c r="D285">
        <v>49</v>
      </c>
      <c r="E285">
        <v>66</v>
      </c>
      <c r="F285" s="18" t="s">
        <v>581</v>
      </c>
      <c r="H285" t="str">
        <f>IF(B285=$H$1,COUNT($H$2:H286)+1," ")</f>
        <v xml:space="preserve"> </v>
      </c>
      <c r="L285">
        <v>284</v>
      </c>
      <c r="M285">
        <v>92</v>
      </c>
      <c r="N285">
        <v>146</v>
      </c>
      <c r="O285" s="18" t="s">
        <v>591</v>
      </c>
      <c r="P285">
        <f t="shared" si="12"/>
        <v>238</v>
      </c>
      <c r="Q285" t="str">
        <f>INDEX(Elemek!$B$2:$B$113,MATCH(M285,Elemek!$C$2:$C$113,0))</f>
        <v>U</v>
      </c>
      <c r="R285" t="str">
        <f t="shared" si="13"/>
        <v>7.872551</v>
      </c>
      <c r="S285" t="str">
        <f t="shared" si="14"/>
        <v>7.872551</v>
      </c>
    </row>
    <row r="286" spans="1:19" x14ac:dyDescent="0.25">
      <c r="A286">
        <v>90</v>
      </c>
      <c r="B286" t="s">
        <v>207</v>
      </c>
      <c r="C286">
        <v>118</v>
      </c>
      <c r="D286">
        <v>50</v>
      </c>
      <c r="E286">
        <v>68</v>
      </c>
      <c r="F286" s="18" t="s">
        <v>397</v>
      </c>
      <c r="H286" t="str">
        <f>IF(B286=$H$1,COUNT($H$2:H287)+1," ")</f>
        <v xml:space="preserve"> </v>
      </c>
      <c r="L286">
        <v>285</v>
      </c>
      <c r="M286">
        <v>19</v>
      </c>
      <c r="N286">
        <v>21</v>
      </c>
      <c r="O286" s="18" t="s">
        <v>592</v>
      </c>
      <c r="P286">
        <f t="shared" si="12"/>
        <v>40</v>
      </c>
      <c r="Q286" t="str">
        <f>INDEX(Elemek!$B$2:$B$113,MATCH(M286,Elemek!$C$2:$C$113,0))</f>
        <v>K</v>
      </c>
      <c r="R286" t="str">
        <f t="shared" si="13"/>
        <v>8.909707</v>
      </c>
      <c r="S286" t="str">
        <f t="shared" si="14"/>
        <v>8.909707</v>
      </c>
    </row>
    <row r="287" spans="1:19" x14ac:dyDescent="0.25">
      <c r="A287">
        <v>476</v>
      </c>
      <c r="B287" t="s">
        <v>120</v>
      </c>
      <c r="C287">
        <v>114</v>
      </c>
      <c r="D287">
        <v>49</v>
      </c>
      <c r="E287">
        <v>65</v>
      </c>
      <c r="F287" s="18" t="s">
        <v>772</v>
      </c>
      <c r="H287" t="str">
        <f>IF(B287=$H$1,COUNT($H$2:H288)+1," ")</f>
        <v xml:space="preserve"> </v>
      </c>
      <c r="L287">
        <v>286</v>
      </c>
      <c r="M287">
        <v>92</v>
      </c>
      <c r="N287">
        <v>143</v>
      </c>
      <c r="O287" s="18" t="s">
        <v>593</v>
      </c>
      <c r="P287">
        <f t="shared" si="12"/>
        <v>235</v>
      </c>
      <c r="Q287" t="str">
        <f>INDEX(Elemek!$B$2:$B$113,MATCH(M287,Elemek!$C$2:$C$113,0))</f>
        <v>U</v>
      </c>
      <c r="R287" t="str">
        <f t="shared" si="13"/>
        <v>7.897198</v>
      </c>
      <c r="S287" t="str">
        <f t="shared" si="14"/>
        <v>7.897198</v>
      </c>
    </row>
    <row r="288" spans="1:19" x14ac:dyDescent="0.25">
      <c r="A288">
        <v>859</v>
      </c>
      <c r="B288" t="s">
        <v>83</v>
      </c>
      <c r="C288">
        <v>112</v>
      </c>
      <c r="D288">
        <v>47</v>
      </c>
      <c r="E288">
        <v>65</v>
      </c>
      <c r="F288" s="18" t="s">
        <v>1095</v>
      </c>
      <c r="H288" t="str">
        <f>IF(B288=$H$1,COUNT($H$2:H289)+1," ")</f>
        <v xml:space="preserve"> </v>
      </c>
      <c r="L288">
        <v>287</v>
      </c>
      <c r="M288">
        <v>62</v>
      </c>
      <c r="N288">
        <v>84</v>
      </c>
      <c r="O288" s="18" t="s">
        <v>594</v>
      </c>
      <c r="P288">
        <f t="shared" si="12"/>
        <v>146</v>
      </c>
      <c r="Q288" t="str">
        <f>INDEX(Elemek!$B$2:$B$113,MATCH(M288,Elemek!$C$2:$C$113,0))</f>
        <v>Sm</v>
      </c>
      <c r="R288" t="str">
        <f t="shared" si="13"/>
        <v>8.626136</v>
      </c>
      <c r="S288" t="str">
        <f t="shared" si="14"/>
        <v>8.626136</v>
      </c>
    </row>
    <row r="289" spans="1:19" x14ac:dyDescent="0.25">
      <c r="A289">
        <v>799</v>
      </c>
      <c r="B289" t="s">
        <v>214</v>
      </c>
      <c r="C289">
        <v>111</v>
      </c>
      <c r="D289">
        <v>46</v>
      </c>
      <c r="E289">
        <v>65</v>
      </c>
      <c r="F289" s="18" t="s">
        <v>1045</v>
      </c>
      <c r="H289" t="str">
        <f>IF(B289=$H$1,COUNT($H$2:H290)+1," ")</f>
        <v xml:space="preserve"> </v>
      </c>
      <c r="L289">
        <v>288</v>
      </c>
      <c r="M289">
        <v>94</v>
      </c>
      <c r="N289">
        <v>150</v>
      </c>
      <c r="O289" s="18" t="s">
        <v>595</v>
      </c>
      <c r="P289">
        <f t="shared" si="12"/>
        <v>244</v>
      </c>
      <c r="Q289" t="str">
        <f>INDEX(Elemek!$B$2:$B$113,MATCH(M289,Elemek!$C$2:$C$113,0))</f>
        <v>Pu</v>
      </c>
      <c r="R289" t="str">
        <f t="shared" si="13"/>
        <v>7.826221</v>
      </c>
      <c r="S289" t="str">
        <f t="shared" si="14"/>
        <v>7.826221</v>
      </c>
    </row>
    <row r="290" spans="1:19" x14ac:dyDescent="0.25">
      <c r="A290">
        <v>91</v>
      </c>
      <c r="B290" t="s">
        <v>207</v>
      </c>
      <c r="C290">
        <v>117</v>
      </c>
      <c r="D290">
        <v>50</v>
      </c>
      <c r="E290">
        <v>67</v>
      </c>
      <c r="F290" s="18" t="s">
        <v>398</v>
      </c>
      <c r="H290" t="str">
        <f>IF(B290=$H$1,COUNT($H$2:H291)+1," ")</f>
        <v xml:space="preserve"> </v>
      </c>
      <c r="L290">
        <v>289</v>
      </c>
      <c r="M290">
        <v>41</v>
      </c>
      <c r="N290">
        <v>51</v>
      </c>
      <c r="O290" s="18" t="s">
        <v>596</v>
      </c>
      <c r="P290">
        <f t="shared" si="12"/>
        <v>92</v>
      </c>
      <c r="Q290" t="str">
        <f>INDEX(Elemek!$B$2:$B$113,MATCH(M290,Elemek!$C$2:$C$113,0))</f>
        <v>Nb</v>
      </c>
      <c r="R290" t="str">
        <f t="shared" si="13"/>
        <v>9.01098</v>
      </c>
      <c r="S290" t="str">
        <f t="shared" si="14"/>
        <v>9.01098</v>
      </c>
    </row>
    <row r="291" spans="1:19" x14ac:dyDescent="0.25">
      <c r="A291">
        <v>689</v>
      </c>
      <c r="B291" t="s">
        <v>214</v>
      </c>
      <c r="C291">
        <v>112</v>
      </c>
      <c r="D291">
        <v>46</v>
      </c>
      <c r="E291">
        <v>66</v>
      </c>
      <c r="F291" s="18" t="s">
        <v>956</v>
      </c>
      <c r="H291" t="str">
        <f>IF(B291=$H$1,COUNT($H$2:H292)+1," ")</f>
        <v xml:space="preserve"> </v>
      </c>
      <c r="L291">
        <v>290</v>
      </c>
      <c r="M291">
        <v>92</v>
      </c>
      <c r="N291">
        <v>144</v>
      </c>
      <c r="O291" s="18" t="s">
        <v>597</v>
      </c>
      <c r="P291">
        <f t="shared" si="12"/>
        <v>236</v>
      </c>
      <c r="Q291" t="str">
        <f>INDEX(Elemek!$B$2:$B$113,MATCH(M291,Elemek!$C$2:$C$113,0))</f>
        <v>U</v>
      </c>
      <c r="R291" t="str">
        <f t="shared" si="13"/>
        <v>7.89147</v>
      </c>
      <c r="S291" t="str">
        <f t="shared" si="14"/>
        <v>7.89147</v>
      </c>
    </row>
    <row r="292" spans="1:19" x14ac:dyDescent="0.25">
      <c r="A292">
        <v>803</v>
      </c>
      <c r="B292" t="s">
        <v>83</v>
      </c>
      <c r="C292">
        <v>113</v>
      </c>
      <c r="D292">
        <v>47</v>
      </c>
      <c r="E292">
        <v>66</v>
      </c>
      <c r="F292" s="18" t="s">
        <v>1048</v>
      </c>
      <c r="H292" t="str">
        <f>IF(B292=$H$1,COUNT($H$2:H293)+1," ")</f>
        <v xml:space="preserve"> </v>
      </c>
      <c r="L292">
        <v>291</v>
      </c>
      <c r="M292">
        <v>82</v>
      </c>
      <c r="N292">
        <v>123</v>
      </c>
      <c r="O292" s="18" t="s">
        <v>598</v>
      </c>
      <c r="P292">
        <f t="shared" si="12"/>
        <v>205</v>
      </c>
      <c r="Q292" t="str">
        <f>INDEX(Elemek!$B$2:$B$113,MATCH(M292,Elemek!$C$2:$C$113,0))</f>
        <v>Pb</v>
      </c>
      <c r="R292" t="str">
        <f t="shared" si="13"/>
        <v>8.187279</v>
      </c>
      <c r="S292" t="str">
        <f t="shared" si="14"/>
        <v>8.187279</v>
      </c>
    </row>
    <row r="293" spans="1:19" x14ac:dyDescent="0.25">
      <c r="A293">
        <v>82</v>
      </c>
      <c r="B293" t="s">
        <v>265</v>
      </c>
      <c r="C293">
        <v>28</v>
      </c>
      <c r="D293">
        <v>14</v>
      </c>
      <c r="E293">
        <v>14</v>
      </c>
      <c r="F293" s="18" t="s">
        <v>389</v>
      </c>
      <c r="H293" t="str">
        <f>IF(B293=$H$1,COUNT($H$2:H294)+1," ")</f>
        <v xml:space="preserve"> </v>
      </c>
      <c r="L293">
        <v>292</v>
      </c>
      <c r="M293">
        <v>53</v>
      </c>
      <c r="N293">
        <v>76</v>
      </c>
      <c r="O293" s="18" t="s">
        <v>599</v>
      </c>
      <c r="P293">
        <f t="shared" si="12"/>
        <v>129</v>
      </c>
      <c r="Q293" t="str">
        <f>INDEX(Elemek!$B$2:$B$113,MATCH(M293,Elemek!$C$2:$C$113,0))</f>
        <v>I</v>
      </c>
      <c r="R293" t="str">
        <f t="shared" si="13"/>
        <v>8.757397</v>
      </c>
      <c r="S293" t="str">
        <f t="shared" si="14"/>
        <v>8.757397</v>
      </c>
    </row>
    <row r="294" spans="1:19" x14ac:dyDescent="0.25">
      <c r="A294">
        <v>260</v>
      </c>
      <c r="B294" t="s">
        <v>134</v>
      </c>
      <c r="C294">
        <v>116</v>
      </c>
      <c r="D294">
        <v>48</v>
      </c>
      <c r="E294">
        <v>68</v>
      </c>
      <c r="F294" s="18" t="s">
        <v>567</v>
      </c>
      <c r="H294" t="str">
        <f>IF(B294=$H$1,COUNT($H$2:H295)+1," ")</f>
        <v xml:space="preserve"> </v>
      </c>
      <c r="L294">
        <v>293</v>
      </c>
      <c r="M294">
        <v>96</v>
      </c>
      <c r="N294">
        <v>151</v>
      </c>
      <c r="O294" s="18" t="s">
        <v>600</v>
      </c>
      <c r="P294">
        <f t="shared" si="12"/>
        <v>247</v>
      </c>
      <c r="Q294" t="str">
        <f>INDEX(Elemek!$B$2:$B$113,MATCH(M294,Elemek!$C$2:$C$113,0))</f>
        <v>Cm</v>
      </c>
      <c r="R294" t="str">
        <f t="shared" si="13"/>
        <v>7.806008</v>
      </c>
      <c r="S294" t="str">
        <f t="shared" si="14"/>
        <v>7.806008</v>
      </c>
    </row>
    <row r="295" spans="1:19" x14ac:dyDescent="0.25">
      <c r="A295">
        <v>480</v>
      </c>
      <c r="B295" t="s">
        <v>134</v>
      </c>
      <c r="C295">
        <v>115</v>
      </c>
      <c r="D295">
        <v>48</v>
      </c>
      <c r="E295">
        <v>67</v>
      </c>
      <c r="F295" s="18" t="s">
        <v>776</v>
      </c>
      <c r="H295" t="str">
        <f>IF(B295=$H$1,COUNT($H$2:H296)+1," ")</f>
        <v xml:space="preserve"> </v>
      </c>
      <c r="L295">
        <v>294</v>
      </c>
      <c r="M295">
        <v>72</v>
      </c>
      <c r="N295">
        <v>110</v>
      </c>
      <c r="O295" s="18" t="s">
        <v>601</v>
      </c>
      <c r="P295">
        <f t="shared" si="12"/>
        <v>182</v>
      </c>
      <c r="Q295" t="str">
        <f>INDEX(Elemek!$B$2:$B$113,MATCH(M295,Elemek!$C$2:$C$113,0))</f>
        <v>Hf</v>
      </c>
      <c r="R295" t="str">
        <f t="shared" si="13"/>
        <v>8.324399</v>
      </c>
      <c r="S295" t="str">
        <f t="shared" si="14"/>
        <v>8.324399</v>
      </c>
    </row>
    <row r="296" spans="1:19" x14ac:dyDescent="0.25">
      <c r="A296">
        <v>521</v>
      </c>
      <c r="B296" t="s">
        <v>90</v>
      </c>
      <c r="C296">
        <v>32</v>
      </c>
      <c r="D296">
        <v>15</v>
      </c>
      <c r="E296">
        <v>17</v>
      </c>
      <c r="F296" s="18" t="s">
        <v>814</v>
      </c>
      <c r="H296" t="str">
        <f>IF(B296=$H$1,COUNT($H$2:H297)+1," ")</f>
        <v xml:space="preserve"> </v>
      </c>
      <c r="L296">
        <v>295</v>
      </c>
      <c r="M296">
        <v>46</v>
      </c>
      <c r="N296">
        <v>61</v>
      </c>
      <c r="O296" s="18" t="s">
        <v>602</v>
      </c>
      <c r="P296">
        <f t="shared" si="12"/>
        <v>107</v>
      </c>
      <c r="Q296" t="str">
        <f>INDEX(Elemek!$B$2:$B$113,MATCH(M296,Elemek!$C$2:$C$113,0))</f>
        <v>Pd</v>
      </c>
      <c r="R296" t="str">
        <f t="shared" si="13"/>
        <v>8.897197</v>
      </c>
      <c r="S296" t="str">
        <f t="shared" si="14"/>
        <v>8.897197</v>
      </c>
    </row>
    <row r="297" spans="1:19" x14ac:dyDescent="0.25">
      <c r="A297">
        <v>92</v>
      </c>
      <c r="B297" t="s">
        <v>207</v>
      </c>
      <c r="C297">
        <v>120</v>
      </c>
      <c r="D297">
        <v>50</v>
      </c>
      <c r="E297">
        <v>70</v>
      </c>
      <c r="F297" s="18" t="s">
        <v>399</v>
      </c>
      <c r="H297" t="str">
        <f>IF(B297=$H$1,COUNT($H$2:H298)+1," ")</f>
        <v xml:space="preserve"> </v>
      </c>
      <c r="L297">
        <v>296</v>
      </c>
      <c r="M297">
        <v>43</v>
      </c>
      <c r="N297">
        <v>54</v>
      </c>
      <c r="O297" s="18" t="s">
        <v>603</v>
      </c>
      <c r="P297">
        <f t="shared" si="12"/>
        <v>97</v>
      </c>
      <c r="Q297" t="str">
        <f>INDEX(Elemek!$B$2:$B$113,MATCH(M297,Elemek!$C$2:$C$113,0))</f>
        <v>Tc</v>
      </c>
      <c r="R297" t="str">
        <f t="shared" si="13"/>
        <v>8.970503</v>
      </c>
      <c r="S297" t="str">
        <f t="shared" si="14"/>
        <v>8.970503</v>
      </c>
    </row>
    <row r="298" spans="1:19" x14ac:dyDescent="0.25">
      <c r="A298">
        <v>872</v>
      </c>
      <c r="B298" t="s">
        <v>20</v>
      </c>
      <c r="C298">
        <v>117</v>
      </c>
      <c r="D298">
        <v>51</v>
      </c>
      <c r="E298">
        <v>66</v>
      </c>
      <c r="F298" s="18" t="s">
        <v>1104</v>
      </c>
      <c r="H298" t="str">
        <f>IF(B298=$H$1,COUNT($H$2:H299)+1," ")</f>
        <v xml:space="preserve"> </v>
      </c>
      <c r="L298">
        <v>297</v>
      </c>
      <c r="M298">
        <v>43</v>
      </c>
      <c r="N298">
        <v>55</v>
      </c>
      <c r="O298" s="18" t="s">
        <v>604</v>
      </c>
      <c r="P298">
        <f t="shared" si="12"/>
        <v>98</v>
      </c>
      <c r="Q298" t="str">
        <f>INDEX(Elemek!$B$2:$B$113,MATCH(M298,Elemek!$C$2:$C$113,0))</f>
        <v>Tc</v>
      </c>
      <c r="R298" t="str">
        <f t="shared" si="13"/>
        <v>8.953246</v>
      </c>
      <c r="S298" t="str">
        <f t="shared" si="14"/>
        <v>8.953246</v>
      </c>
    </row>
    <row r="299" spans="1:19" x14ac:dyDescent="0.25">
      <c r="A299">
        <v>912</v>
      </c>
      <c r="B299" t="s">
        <v>120</v>
      </c>
      <c r="C299">
        <v>117</v>
      </c>
      <c r="D299">
        <v>49</v>
      </c>
      <c r="E299">
        <v>68</v>
      </c>
      <c r="F299" s="18" t="s">
        <v>1138</v>
      </c>
      <c r="H299" t="str">
        <f>IF(B299=$H$1,COUNT($H$2:H300)+1," ")</f>
        <v xml:space="preserve"> </v>
      </c>
      <c r="L299">
        <v>298</v>
      </c>
      <c r="M299">
        <v>25</v>
      </c>
      <c r="N299">
        <v>28</v>
      </c>
      <c r="O299" s="18" t="s">
        <v>605</v>
      </c>
      <c r="P299">
        <f t="shared" si="12"/>
        <v>53</v>
      </c>
      <c r="Q299" t="str">
        <f>INDEX(Elemek!$B$2:$B$113,MATCH(M299,Elemek!$C$2:$C$113,0))</f>
        <v>Mn</v>
      </c>
      <c r="R299" t="str">
        <f t="shared" si="13"/>
        <v>9.103175</v>
      </c>
      <c r="S299" t="str">
        <f t="shared" si="14"/>
        <v>9.103175</v>
      </c>
    </row>
    <row r="300" spans="1:19" x14ac:dyDescent="0.25">
      <c r="A300">
        <v>93</v>
      </c>
      <c r="B300" t="s">
        <v>207</v>
      </c>
      <c r="C300">
        <v>119</v>
      </c>
      <c r="D300">
        <v>50</v>
      </c>
      <c r="E300">
        <v>69</v>
      </c>
      <c r="F300" s="18" t="s">
        <v>400</v>
      </c>
      <c r="H300" t="str">
        <f>IF(B300=$H$1,COUNT($H$2:H301)+1," ")</f>
        <v xml:space="preserve"> </v>
      </c>
      <c r="L300">
        <v>299</v>
      </c>
      <c r="M300">
        <v>26</v>
      </c>
      <c r="N300">
        <v>34</v>
      </c>
      <c r="O300" s="18" t="s">
        <v>606</v>
      </c>
      <c r="P300">
        <f t="shared" si="12"/>
        <v>60</v>
      </c>
      <c r="Q300" t="str">
        <f>INDEX(Elemek!$B$2:$B$113,MATCH(M300,Elemek!$C$2:$C$113,0))</f>
        <v>Fe</v>
      </c>
      <c r="R300" t="str">
        <f t="shared" si="13"/>
        <v>9.094861</v>
      </c>
      <c r="S300" t="str">
        <f t="shared" si="14"/>
        <v>9.094861</v>
      </c>
    </row>
    <row r="301" spans="1:19" x14ac:dyDescent="0.25">
      <c r="A301">
        <v>83</v>
      </c>
      <c r="B301" t="s">
        <v>265</v>
      </c>
      <c r="C301">
        <v>29</v>
      </c>
      <c r="D301">
        <v>14</v>
      </c>
      <c r="E301">
        <v>15</v>
      </c>
      <c r="F301" s="18" t="s">
        <v>390</v>
      </c>
      <c r="H301" t="str">
        <f>IF(B301=$H$1,COUNT($H$2:H302)+1," ")</f>
        <v xml:space="preserve"> </v>
      </c>
      <c r="L301">
        <v>300</v>
      </c>
      <c r="M301">
        <v>83</v>
      </c>
      <c r="N301">
        <v>127</v>
      </c>
      <c r="O301" s="18" t="s">
        <v>607</v>
      </c>
      <c r="P301">
        <f t="shared" si="12"/>
        <v>210</v>
      </c>
      <c r="Q301" t="str">
        <f>INDEX(Elemek!$B$2:$B$113,MATCH(M301,Elemek!$C$2:$C$113,0))</f>
        <v>Bi</v>
      </c>
      <c r="R301" t="str">
        <f t="shared" si="13"/>
        <v>8.140473</v>
      </c>
      <c r="S301" t="str">
        <f t="shared" si="14"/>
        <v>8.140473</v>
      </c>
    </row>
    <row r="302" spans="1:19" x14ac:dyDescent="0.25">
      <c r="A302">
        <v>351</v>
      </c>
      <c r="B302" t="s">
        <v>265</v>
      </c>
      <c r="C302">
        <v>32</v>
      </c>
      <c r="D302">
        <v>14</v>
      </c>
      <c r="E302">
        <v>18</v>
      </c>
      <c r="F302" s="18" t="s">
        <v>658</v>
      </c>
      <c r="H302" t="str">
        <f>IF(B302=$H$1,COUNT($H$2:H303)+1," ")</f>
        <v xml:space="preserve"> </v>
      </c>
      <c r="L302">
        <v>301</v>
      </c>
      <c r="M302">
        <v>93</v>
      </c>
      <c r="N302">
        <v>144</v>
      </c>
      <c r="O302" s="18" t="s">
        <v>608</v>
      </c>
      <c r="P302">
        <f t="shared" si="12"/>
        <v>237</v>
      </c>
      <c r="Q302" t="str">
        <f>INDEX(Elemek!$B$2:$B$113,MATCH(M302,Elemek!$C$2:$C$113,0))</f>
        <v>Np</v>
      </c>
      <c r="R302" t="str">
        <f t="shared" si="13"/>
        <v>7.881989</v>
      </c>
      <c r="S302" t="str">
        <f t="shared" si="14"/>
        <v>7.881989</v>
      </c>
    </row>
    <row r="303" spans="1:19" x14ac:dyDescent="0.25">
      <c r="A303">
        <v>643</v>
      </c>
      <c r="B303" t="s">
        <v>20</v>
      </c>
      <c r="C303">
        <v>119</v>
      </c>
      <c r="D303">
        <v>51</v>
      </c>
      <c r="E303">
        <v>68</v>
      </c>
      <c r="F303" s="18" t="s">
        <v>918</v>
      </c>
      <c r="H303" t="str">
        <f>IF(B303=$H$1,COUNT($H$2:H304)+1," ")</f>
        <v xml:space="preserve"> </v>
      </c>
      <c r="L303">
        <v>302</v>
      </c>
      <c r="M303">
        <v>64</v>
      </c>
      <c r="N303">
        <v>86</v>
      </c>
      <c r="O303" s="18" t="s">
        <v>609</v>
      </c>
      <c r="P303">
        <f t="shared" si="12"/>
        <v>150</v>
      </c>
      <c r="Q303" t="str">
        <f>INDEX(Elemek!$B$2:$B$113,MATCH(M303,Elemek!$C$2:$C$113,0))</f>
        <v>Gd</v>
      </c>
      <c r="R303" t="str">
        <f t="shared" si="13"/>
        <v>8.576454</v>
      </c>
      <c r="S303" t="str">
        <f t="shared" si="14"/>
        <v>8.576454</v>
      </c>
    </row>
    <row r="304" spans="1:19" x14ac:dyDescent="0.25">
      <c r="A304">
        <v>987</v>
      </c>
      <c r="B304" t="s">
        <v>20</v>
      </c>
      <c r="C304">
        <v>116</v>
      </c>
      <c r="D304">
        <v>51</v>
      </c>
      <c r="E304">
        <v>65</v>
      </c>
      <c r="F304" s="18" t="s">
        <v>1196</v>
      </c>
      <c r="H304" t="str">
        <f>IF(B304=$H$1,COUNT($H$2:H305)+1," ")</f>
        <v xml:space="preserve"> </v>
      </c>
      <c r="L304">
        <v>303</v>
      </c>
      <c r="M304">
        <v>40</v>
      </c>
      <c r="N304">
        <v>53</v>
      </c>
      <c r="O304" s="18" t="s">
        <v>610</v>
      </c>
      <c r="P304">
        <f t="shared" si="12"/>
        <v>93</v>
      </c>
      <c r="Q304" t="str">
        <f>INDEX(Elemek!$B$2:$B$113,MATCH(M304,Elemek!$C$2:$C$113,0))</f>
        <v>Zr</v>
      </c>
      <c r="R304" t="str">
        <f t="shared" si="13"/>
        <v>9.008069</v>
      </c>
      <c r="S304" t="str">
        <f t="shared" si="14"/>
        <v>9.008069</v>
      </c>
    </row>
    <row r="305" spans="1:19" x14ac:dyDescent="0.25">
      <c r="A305">
        <v>194</v>
      </c>
      <c r="B305" t="s">
        <v>279</v>
      </c>
      <c r="C305">
        <v>120</v>
      </c>
      <c r="D305">
        <v>52</v>
      </c>
      <c r="E305">
        <v>68</v>
      </c>
      <c r="F305" s="18" t="s">
        <v>501</v>
      </c>
      <c r="H305" t="str">
        <f>IF(B305=$H$1,COUNT($H$2:H306)+1," ")</f>
        <v xml:space="preserve"> </v>
      </c>
      <c r="L305">
        <v>304</v>
      </c>
      <c r="M305">
        <v>4</v>
      </c>
      <c r="N305">
        <v>6</v>
      </c>
      <c r="O305" s="18" t="s">
        <v>611</v>
      </c>
      <c r="P305">
        <f t="shared" si="12"/>
        <v>10</v>
      </c>
      <c r="Q305" t="str">
        <f>INDEX(Elemek!$B$2:$B$113,MATCH(M305,Elemek!$C$2:$C$113,0))</f>
        <v>Be</v>
      </c>
      <c r="R305" t="str">
        <f t="shared" si="13"/>
        <v>6.810657</v>
      </c>
      <c r="S305" t="str">
        <f t="shared" si="14"/>
        <v>6.810657</v>
      </c>
    </row>
    <row r="306" spans="1:19" x14ac:dyDescent="0.25">
      <c r="A306">
        <v>809</v>
      </c>
      <c r="B306" t="s">
        <v>20</v>
      </c>
      <c r="C306">
        <v>118</v>
      </c>
      <c r="D306">
        <v>51</v>
      </c>
      <c r="E306">
        <v>67</v>
      </c>
      <c r="F306" s="18" t="s">
        <v>1053</v>
      </c>
      <c r="H306" t="str">
        <f>IF(B306=$H$1,COUNT($H$2:H307)+1," ")</f>
        <v xml:space="preserve"> </v>
      </c>
      <c r="L306">
        <v>305</v>
      </c>
      <c r="M306">
        <v>66</v>
      </c>
      <c r="N306">
        <v>88</v>
      </c>
      <c r="O306" s="18" t="s">
        <v>612</v>
      </c>
      <c r="P306">
        <f t="shared" si="12"/>
        <v>154</v>
      </c>
      <c r="Q306" t="str">
        <f>INDEX(Elemek!$B$2:$B$113,MATCH(M306,Elemek!$C$2:$C$113,0))</f>
        <v>Dy</v>
      </c>
      <c r="R306" t="str">
        <f t="shared" si="13"/>
        <v>8.528457</v>
      </c>
      <c r="S306" t="str">
        <f t="shared" si="14"/>
        <v>8.528457</v>
      </c>
    </row>
    <row r="307" spans="1:19" x14ac:dyDescent="0.25">
      <c r="A307">
        <v>562</v>
      </c>
      <c r="B307" t="s">
        <v>279</v>
      </c>
      <c r="C307">
        <v>118</v>
      </c>
      <c r="D307">
        <v>52</v>
      </c>
      <c r="E307">
        <v>66</v>
      </c>
      <c r="F307" s="18" t="s">
        <v>849</v>
      </c>
      <c r="H307" t="str">
        <f>IF(B307=$H$1,COUNT($H$2:H308)+1," ")</f>
        <v xml:space="preserve"> </v>
      </c>
      <c r="L307">
        <v>306</v>
      </c>
      <c r="M307">
        <v>55</v>
      </c>
      <c r="N307">
        <v>80</v>
      </c>
      <c r="O307" s="18" t="s">
        <v>613</v>
      </c>
      <c r="P307">
        <f t="shared" si="12"/>
        <v>135</v>
      </c>
      <c r="Q307" t="str">
        <f>INDEX(Elemek!$B$2:$B$113,MATCH(M307,Elemek!$C$2:$C$113,0))</f>
        <v>Cs</v>
      </c>
      <c r="R307" t="str">
        <f t="shared" si="13"/>
        <v>8.720082</v>
      </c>
      <c r="S307" t="str">
        <f t="shared" si="14"/>
        <v>8.720082</v>
      </c>
    </row>
    <row r="308" spans="1:19" x14ac:dyDescent="0.25">
      <c r="A308">
        <v>94</v>
      </c>
      <c r="B308" t="s">
        <v>20</v>
      </c>
      <c r="C308">
        <v>121</v>
      </c>
      <c r="D308">
        <v>51</v>
      </c>
      <c r="E308">
        <v>70</v>
      </c>
      <c r="F308" s="18" t="s">
        <v>401</v>
      </c>
      <c r="H308" t="str">
        <f>IF(B308=$H$1,COUNT($H$2:H309)+1," ")</f>
        <v xml:space="preserve"> </v>
      </c>
      <c r="L308">
        <v>307</v>
      </c>
      <c r="M308">
        <v>13</v>
      </c>
      <c r="N308">
        <v>13</v>
      </c>
      <c r="O308" s="18" t="s">
        <v>614</v>
      </c>
      <c r="P308">
        <f t="shared" si="12"/>
        <v>26</v>
      </c>
      <c r="Q308" t="str">
        <f>INDEX(Elemek!$B$2:$B$113,MATCH(M308,Elemek!$C$2:$C$113,0))</f>
        <v>Al</v>
      </c>
      <c r="R308" t="str">
        <f t="shared" si="13"/>
        <v>8.540954</v>
      </c>
      <c r="S308" t="str">
        <f t="shared" si="14"/>
        <v>8.540954</v>
      </c>
    </row>
    <row r="309" spans="1:19" x14ac:dyDescent="0.25">
      <c r="A309">
        <v>879</v>
      </c>
      <c r="B309" t="s">
        <v>265</v>
      </c>
      <c r="C309">
        <v>31</v>
      </c>
      <c r="D309">
        <v>14</v>
      </c>
      <c r="E309">
        <v>17</v>
      </c>
      <c r="F309" s="18" t="s">
        <v>1110</v>
      </c>
      <c r="H309" t="str">
        <f>IF(B309=$H$1,COUNT($H$2:H310)+1," ")</f>
        <v xml:space="preserve"> </v>
      </c>
      <c r="L309">
        <v>308</v>
      </c>
      <c r="M309">
        <v>94</v>
      </c>
      <c r="N309">
        <v>148</v>
      </c>
      <c r="O309" s="18" t="s">
        <v>615</v>
      </c>
      <c r="P309">
        <f t="shared" si="12"/>
        <v>242</v>
      </c>
      <c r="Q309" t="str">
        <f>INDEX(Elemek!$B$2:$B$113,MATCH(M309,Elemek!$C$2:$C$113,0))</f>
        <v>Pu</v>
      </c>
      <c r="R309" t="str">
        <f t="shared" si="13"/>
        <v>7.845218</v>
      </c>
      <c r="S309" t="str">
        <f t="shared" si="14"/>
        <v>7.845218</v>
      </c>
    </row>
    <row r="310" spans="1:19" x14ac:dyDescent="0.25">
      <c r="A310">
        <v>95</v>
      </c>
      <c r="B310" t="s">
        <v>279</v>
      </c>
      <c r="C310">
        <v>122</v>
      </c>
      <c r="D310">
        <v>52</v>
      </c>
      <c r="E310">
        <v>70</v>
      </c>
      <c r="F310" s="18" t="s">
        <v>402</v>
      </c>
      <c r="H310" t="str">
        <f>IF(B310=$H$1,COUNT($H$2:H311)+1," ")</f>
        <v xml:space="preserve"> </v>
      </c>
      <c r="L310">
        <v>309</v>
      </c>
      <c r="M310">
        <v>83</v>
      </c>
      <c r="N310">
        <v>125</v>
      </c>
      <c r="O310" s="18" t="s">
        <v>616</v>
      </c>
      <c r="P310">
        <f t="shared" si="12"/>
        <v>208</v>
      </c>
      <c r="Q310" t="str">
        <f>INDEX(Elemek!$B$2:$B$113,MATCH(M310,Elemek!$C$2:$C$113,0))</f>
        <v>Bi</v>
      </c>
      <c r="R310" t="str">
        <f t="shared" si="13"/>
        <v>8.162049</v>
      </c>
      <c r="S310" t="str">
        <f t="shared" si="14"/>
        <v>8.162049</v>
      </c>
    </row>
    <row r="311" spans="1:19" x14ac:dyDescent="0.25">
      <c r="A311">
        <v>849</v>
      </c>
      <c r="B311" t="s">
        <v>134</v>
      </c>
      <c r="C311">
        <v>117</v>
      </c>
      <c r="D311">
        <v>48</v>
      </c>
      <c r="E311">
        <v>69</v>
      </c>
      <c r="F311" s="18" t="s">
        <v>1086</v>
      </c>
      <c r="H311" t="str">
        <f>IF(B311=$H$1,COUNT($H$2:H312)+1," ")</f>
        <v xml:space="preserve"> </v>
      </c>
      <c r="L311">
        <v>310</v>
      </c>
      <c r="M311">
        <v>96</v>
      </c>
      <c r="N311">
        <v>152</v>
      </c>
      <c r="O311" s="18" t="s">
        <v>617</v>
      </c>
      <c r="P311">
        <f t="shared" si="12"/>
        <v>248</v>
      </c>
      <c r="Q311" t="str">
        <f>INDEX(Elemek!$B$2:$B$113,MATCH(M311,Elemek!$C$2:$C$113,0))</f>
        <v>Cm</v>
      </c>
      <c r="R311" t="str">
        <f t="shared" si="13"/>
        <v>7.799586</v>
      </c>
      <c r="S311" t="str">
        <f t="shared" si="14"/>
        <v>7.799586</v>
      </c>
    </row>
    <row r="312" spans="1:19" x14ac:dyDescent="0.25">
      <c r="A312">
        <v>153</v>
      </c>
      <c r="B312" t="s">
        <v>207</v>
      </c>
      <c r="C312">
        <v>122</v>
      </c>
      <c r="D312">
        <v>50</v>
      </c>
      <c r="E312">
        <v>72</v>
      </c>
      <c r="F312" s="18" t="s">
        <v>460</v>
      </c>
      <c r="H312" t="str">
        <f>IF(B312=$H$1,COUNT($H$2:H313)+1," ")</f>
        <v xml:space="preserve"> </v>
      </c>
      <c r="L312">
        <v>311</v>
      </c>
      <c r="M312">
        <v>17</v>
      </c>
      <c r="N312">
        <v>19</v>
      </c>
      <c r="O312" s="18" t="s">
        <v>618</v>
      </c>
      <c r="P312">
        <f t="shared" si="12"/>
        <v>36</v>
      </c>
      <c r="Q312" t="str">
        <f>INDEX(Elemek!$B$2:$B$113,MATCH(M312,Elemek!$C$2:$C$113,0))</f>
        <v>Cl</v>
      </c>
      <c r="R312" t="str">
        <f t="shared" si="13"/>
        <v>8.89138</v>
      </c>
      <c r="S312" t="str">
        <f t="shared" si="14"/>
        <v>8.89138</v>
      </c>
    </row>
    <row r="313" spans="1:19" x14ac:dyDescent="0.25">
      <c r="A313">
        <v>361</v>
      </c>
      <c r="B313" t="s">
        <v>207</v>
      </c>
      <c r="C313">
        <v>121</v>
      </c>
      <c r="D313">
        <v>50</v>
      </c>
      <c r="E313">
        <v>71</v>
      </c>
      <c r="F313" s="18" t="s">
        <v>668</v>
      </c>
      <c r="H313" t="str">
        <f>IF(B313=$H$1,COUNT($H$2:H314)+1," ")</f>
        <v xml:space="preserve"> </v>
      </c>
      <c r="L313">
        <v>312</v>
      </c>
      <c r="M313">
        <v>34</v>
      </c>
      <c r="N313">
        <v>45</v>
      </c>
      <c r="O313" s="18" t="s">
        <v>619</v>
      </c>
      <c r="P313">
        <f t="shared" si="12"/>
        <v>79</v>
      </c>
      <c r="Q313" t="str">
        <f>INDEX(Elemek!$B$2:$B$113,MATCH(M313,Elemek!$C$2:$C$113,0))</f>
        <v>Se</v>
      </c>
      <c r="R313" t="str">
        <f t="shared" si="13"/>
        <v>9.03231</v>
      </c>
      <c r="S313" t="str">
        <f t="shared" si="14"/>
        <v>9.03231</v>
      </c>
    </row>
    <row r="314" spans="1:19" x14ac:dyDescent="0.25">
      <c r="A314">
        <v>564</v>
      </c>
      <c r="B314" t="s">
        <v>20</v>
      </c>
      <c r="C314">
        <v>120</v>
      </c>
      <c r="D314">
        <v>51</v>
      </c>
      <c r="E314">
        <v>69</v>
      </c>
      <c r="F314" s="18" t="s">
        <v>851</v>
      </c>
      <c r="H314" t="str">
        <f>IF(B314=$H$1,COUNT($H$2:H315)+1," ")</f>
        <v xml:space="preserve"> </v>
      </c>
      <c r="L314">
        <v>313</v>
      </c>
      <c r="M314">
        <v>92</v>
      </c>
      <c r="N314">
        <v>142</v>
      </c>
      <c r="O314" s="18" t="s">
        <v>620</v>
      </c>
      <c r="P314">
        <f t="shared" si="12"/>
        <v>234</v>
      </c>
      <c r="Q314" t="str">
        <f>INDEX(Elemek!$B$2:$B$113,MATCH(M314,Elemek!$C$2:$C$113,0))</f>
        <v>U</v>
      </c>
      <c r="R314" t="str">
        <f t="shared" si="13"/>
        <v>7.908308</v>
      </c>
      <c r="S314" t="str">
        <f t="shared" si="14"/>
        <v>7.908308</v>
      </c>
    </row>
    <row r="315" spans="1:19" x14ac:dyDescent="0.25">
      <c r="A315">
        <v>885</v>
      </c>
      <c r="B315" t="s">
        <v>279</v>
      </c>
      <c r="C315">
        <v>116</v>
      </c>
      <c r="D315">
        <v>52</v>
      </c>
      <c r="E315">
        <v>64</v>
      </c>
      <c r="F315" s="18" t="s">
        <v>1114</v>
      </c>
      <c r="H315" t="str">
        <f>IF(B315=$H$1,COUNT($H$2:H316)+1," ")</f>
        <v xml:space="preserve"> </v>
      </c>
      <c r="L315">
        <v>314</v>
      </c>
      <c r="M315">
        <v>50</v>
      </c>
      <c r="N315">
        <v>76</v>
      </c>
      <c r="O315" s="18" t="s">
        <v>621</v>
      </c>
      <c r="P315">
        <f t="shared" si="12"/>
        <v>126</v>
      </c>
      <c r="Q315" t="str">
        <f>INDEX(Elemek!$B$2:$B$113,MATCH(M315,Elemek!$C$2:$C$113,0))</f>
        <v>Sn</v>
      </c>
      <c r="R315" t="str">
        <f t="shared" si="13"/>
        <v>8.754026</v>
      </c>
      <c r="S315" t="str">
        <f t="shared" si="14"/>
        <v>8.754026</v>
      </c>
    </row>
    <row r="316" spans="1:19" x14ac:dyDescent="0.25">
      <c r="A316">
        <v>573</v>
      </c>
      <c r="B316" t="s">
        <v>279</v>
      </c>
      <c r="C316">
        <v>119</v>
      </c>
      <c r="D316">
        <v>52</v>
      </c>
      <c r="E316">
        <v>67</v>
      </c>
      <c r="F316" s="18" t="s">
        <v>858</v>
      </c>
      <c r="H316" t="str">
        <f>IF(B316=$H$1,COUNT($H$2:H317)+1," ")</f>
        <v xml:space="preserve"> </v>
      </c>
      <c r="L316">
        <v>315</v>
      </c>
      <c r="M316">
        <v>36</v>
      </c>
      <c r="N316">
        <v>45</v>
      </c>
      <c r="O316" s="18" t="s">
        <v>622</v>
      </c>
      <c r="P316">
        <f t="shared" si="12"/>
        <v>81</v>
      </c>
      <c r="Q316" t="str">
        <f>INDEX(Elemek!$B$2:$B$113,MATCH(M316,Elemek!$C$2:$C$113,0))</f>
        <v>Kr</v>
      </c>
      <c r="R316" t="str">
        <f t="shared" si="13"/>
        <v>9.030513</v>
      </c>
      <c r="S316" t="str">
        <f t="shared" si="14"/>
        <v>9.030513</v>
      </c>
    </row>
    <row r="317" spans="1:19" x14ac:dyDescent="0.25">
      <c r="A317">
        <v>96</v>
      </c>
      <c r="B317" t="s">
        <v>279</v>
      </c>
      <c r="C317">
        <v>124</v>
      </c>
      <c r="D317">
        <v>52</v>
      </c>
      <c r="E317">
        <v>72</v>
      </c>
      <c r="F317" s="18" t="s">
        <v>403</v>
      </c>
      <c r="H317" t="str">
        <f>IF(B317=$H$1,COUNT($H$2:H318)+1," ")</f>
        <v xml:space="preserve"> </v>
      </c>
      <c r="L317">
        <v>316</v>
      </c>
      <c r="M317">
        <v>43</v>
      </c>
      <c r="N317">
        <v>56</v>
      </c>
      <c r="O317" s="18" t="s">
        <v>623</v>
      </c>
      <c r="P317">
        <f t="shared" si="12"/>
        <v>99</v>
      </c>
      <c r="Q317" t="str">
        <f>INDEX(Elemek!$B$2:$B$113,MATCH(M317,Elemek!$C$2:$C$113,0))</f>
        <v>Tc</v>
      </c>
      <c r="R317" t="str">
        <f t="shared" si="13"/>
        <v>8.953379</v>
      </c>
      <c r="S317" t="str">
        <f t="shared" si="14"/>
        <v>8.953379</v>
      </c>
    </row>
    <row r="318" spans="1:19" x14ac:dyDescent="0.25">
      <c r="A318">
        <v>430</v>
      </c>
      <c r="B318" t="s">
        <v>279</v>
      </c>
      <c r="C318">
        <v>121</v>
      </c>
      <c r="D318">
        <v>52</v>
      </c>
      <c r="E318">
        <v>69</v>
      </c>
      <c r="F318" s="18" t="s">
        <v>732</v>
      </c>
      <c r="H318" t="str">
        <f>IF(B318=$H$1,COUNT($H$2:H319)+1," ")</f>
        <v xml:space="preserve"> </v>
      </c>
      <c r="L318">
        <v>317</v>
      </c>
      <c r="M318">
        <v>75</v>
      </c>
      <c r="N318">
        <v>111</v>
      </c>
      <c r="O318" s="18" t="s">
        <v>624</v>
      </c>
      <c r="P318">
        <f t="shared" si="12"/>
        <v>186</v>
      </c>
      <c r="Q318" t="str">
        <f>INDEX(Elemek!$B$2:$B$113,MATCH(M318,Elemek!$C$2:$C$113,0))</f>
        <v>Re</v>
      </c>
      <c r="R318" t="str">
        <f t="shared" si="13"/>
        <v>8.295958</v>
      </c>
      <c r="S318" t="str">
        <f t="shared" si="14"/>
        <v>8.295958</v>
      </c>
    </row>
    <row r="319" spans="1:19" x14ac:dyDescent="0.25">
      <c r="A319">
        <v>983</v>
      </c>
      <c r="B319" t="s">
        <v>279</v>
      </c>
      <c r="C319">
        <v>117</v>
      </c>
      <c r="D319">
        <v>52</v>
      </c>
      <c r="E319">
        <v>65</v>
      </c>
      <c r="F319" s="18" t="s">
        <v>1193</v>
      </c>
      <c r="H319" t="str">
        <f>IF(B319=$H$1,COUNT($H$2:H320)+1," ")</f>
        <v xml:space="preserve"> </v>
      </c>
      <c r="L319">
        <v>318</v>
      </c>
      <c r="M319">
        <v>92</v>
      </c>
      <c r="N319">
        <v>141</v>
      </c>
      <c r="O319" s="18" t="s">
        <v>625</v>
      </c>
      <c r="P319">
        <f t="shared" si="12"/>
        <v>233</v>
      </c>
      <c r="Q319" t="str">
        <f>INDEX(Elemek!$B$2:$B$113,MATCH(M319,Elemek!$C$2:$C$113,0))</f>
        <v>U</v>
      </c>
      <c r="R319" t="str">
        <f t="shared" si="13"/>
        <v>7.912873</v>
      </c>
      <c r="S319" t="str">
        <f t="shared" si="14"/>
        <v>7.912873</v>
      </c>
    </row>
    <row r="320" spans="1:19" x14ac:dyDescent="0.25">
      <c r="A320">
        <v>97</v>
      </c>
      <c r="B320" t="s">
        <v>20</v>
      </c>
      <c r="C320">
        <v>123</v>
      </c>
      <c r="D320">
        <v>51</v>
      </c>
      <c r="E320">
        <v>72</v>
      </c>
      <c r="F320" s="18" t="s">
        <v>404</v>
      </c>
      <c r="H320" t="str">
        <f>IF(B320=$H$1,COUNT($H$2:H321)+1," ")</f>
        <v xml:space="preserve"> </v>
      </c>
      <c r="L320">
        <v>319</v>
      </c>
      <c r="M320">
        <v>93</v>
      </c>
      <c r="N320">
        <v>143</v>
      </c>
      <c r="O320" s="18" t="s">
        <v>626</v>
      </c>
      <c r="P320">
        <f t="shared" si="12"/>
        <v>236</v>
      </c>
      <c r="Q320" t="str">
        <f>INDEX(Elemek!$B$2:$B$113,MATCH(M320,Elemek!$C$2:$C$113,0))</f>
        <v>Np</v>
      </c>
      <c r="R320" t="str">
        <f t="shared" si="13"/>
        <v>7.887514</v>
      </c>
      <c r="S320" t="str">
        <f t="shared" si="14"/>
        <v>7.887514</v>
      </c>
    </row>
    <row r="321" spans="1:19" x14ac:dyDescent="0.25">
      <c r="A321">
        <v>239</v>
      </c>
      <c r="B321" t="s">
        <v>279</v>
      </c>
      <c r="C321">
        <v>123</v>
      </c>
      <c r="D321">
        <v>52</v>
      </c>
      <c r="E321">
        <v>71</v>
      </c>
      <c r="F321" s="18" t="s">
        <v>546</v>
      </c>
      <c r="H321" t="str">
        <f>IF(B321=$H$1,COUNT($H$2:H322)+1," ")</f>
        <v xml:space="preserve"> </v>
      </c>
      <c r="L321">
        <v>320</v>
      </c>
      <c r="M321">
        <v>20</v>
      </c>
      <c r="N321">
        <v>21</v>
      </c>
      <c r="O321" s="18" t="s">
        <v>627</v>
      </c>
      <c r="P321">
        <f t="shared" si="12"/>
        <v>41</v>
      </c>
      <c r="Q321" t="str">
        <f>INDEX(Elemek!$B$2:$B$113,MATCH(M321,Elemek!$C$2:$C$113,0))</f>
        <v>Ca</v>
      </c>
      <c r="R321" t="str">
        <f t="shared" si="13"/>
        <v>8.928347</v>
      </c>
      <c r="S321" t="str">
        <f t="shared" si="14"/>
        <v>8.928347</v>
      </c>
    </row>
    <row r="322" spans="1:19" x14ac:dyDescent="0.25">
      <c r="A322">
        <v>605</v>
      </c>
      <c r="B322" t="s">
        <v>20</v>
      </c>
      <c r="C322">
        <v>122</v>
      </c>
      <c r="D322">
        <v>51</v>
      </c>
      <c r="E322">
        <v>71</v>
      </c>
      <c r="F322" s="18" t="s">
        <v>885</v>
      </c>
      <c r="H322" t="str">
        <f>IF(B322=$H$1,COUNT($H$2:H323)+1," ")</f>
        <v xml:space="preserve"> </v>
      </c>
      <c r="L322">
        <v>321</v>
      </c>
      <c r="M322">
        <v>28</v>
      </c>
      <c r="N322">
        <v>31</v>
      </c>
      <c r="O322" s="18" t="s">
        <v>628</v>
      </c>
      <c r="P322">
        <f t="shared" si="12"/>
        <v>59</v>
      </c>
      <c r="Q322" t="str">
        <f>INDEX(Elemek!$B$2:$B$113,MATCH(M322,Elemek!$C$2:$C$113,0))</f>
        <v>Ni</v>
      </c>
      <c r="R322" t="str">
        <f t="shared" si="13"/>
        <v>9.107863</v>
      </c>
      <c r="S322" t="str">
        <f t="shared" si="14"/>
        <v>9.107863</v>
      </c>
    </row>
    <row r="323" spans="1:19" x14ac:dyDescent="0.25">
      <c r="A323">
        <v>729</v>
      </c>
      <c r="B323" t="s">
        <v>131</v>
      </c>
      <c r="C323">
        <v>123</v>
      </c>
      <c r="D323">
        <v>53</v>
      </c>
      <c r="E323">
        <v>70</v>
      </c>
      <c r="F323" s="18" t="s">
        <v>991</v>
      </c>
      <c r="H323" t="str">
        <f>IF(B323=$H$1,COUNT($H$2:H324)+1," ")</f>
        <v xml:space="preserve"> </v>
      </c>
      <c r="L323">
        <v>322</v>
      </c>
      <c r="M323">
        <v>90</v>
      </c>
      <c r="N323">
        <v>140</v>
      </c>
      <c r="O323" s="18" t="s">
        <v>629</v>
      </c>
      <c r="P323">
        <f t="shared" ref="P323:P386" si="15">N323+M323</f>
        <v>230</v>
      </c>
      <c r="Q323" t="str">
        <f>INDEX(Elemek!$B$2:$B$113,MATCH(M323,Elemek!$C$2:$C$113,0))</f>
        <v>Th</v>
      </c>
      <c r="R323" t="str">
        <f t="shared" ref="R323:R386" si="16">IF(NOT(ISBLANK(O323)),O323,ROUNDDOWN(AVERAGE($O$2:$O$990),2))</f>
        <v>7.937136</v>
      </c>
      <c r="S323" t="str">
        <f t="shared" ref="S323:S386" si="17">IF(ISBLANK(O323),ROUNDDOWN(AVERAGEIF($M$2:$M$990,M323,$O$2:$O$990),2),O323)</f>
        <v>7.937136</v>
      </c>
    </row>
    <row r="324" spans="1:19" x14ac:dyDescent="0.25">
      <c r="A324">
        <v>98</v>
      </c>
      <c r="B324" t="s">
        <v>279</v>
      </c>
      <c r="C324">
        <v>126</v>
      </c>
      <c r="D324">
        <v>52</v>
      </c>
      <c r="E324">
        <v>74</v>
      </c>
      <c r="F324" s="18" t="s">
        <v>405</v>
      </c>
      <c r="H324" t="str">
        <f>IF(B324=$H$1,COUNT($H$2:H325)+1," ")</f>
        <v xml:space="preserve"> </v>
      </c>
      <c r="L324">
        <v>323</v>
      </c>
      <c r="M324">
        <v>57</v>
      </c>
      <c r="N324">
        <v>80</v>
      </c>
      <c r="O324" s="18" t="s">
        <v>630</v>
      </c>
      <c r="P324">
        <f t="shared" si="15"/>
        <v>137</v>
      </c>
      <c r="Q324" t="str">
        <f>INDEX(Elemek!$B$2:$B$113,MATCH(M324,Elemek!$C$2:$C$113,0))</f>
        <v>La</v>
      </c>
      <c r="R324" t="str">
        <f t="shared" si="16"/>
        <v>8.707101</v>
      </c>
      <c r="S324" t="str">
        <f t="shared" si="17"/>
        <v>8.707101</v>
      </c>
    </row>
    <row r="325" spans="1:19" x14ac:dyDescent="0.25">
      <c r="A325">
        <v>435</v>
      </c>
      <c r="B325" t="s">
        <v>207</v>
      </c>
      <c r="C325">
        <v>123</v>
      </c>
      <c r="D325">
        <v>50</v>
      </c>
      <c r="E325">
        <v>73</v>
      </c>
      <c r="F325" s="18" t="s">
        <v>736</v>
      </c>
      <c r="H325" t="str">
        <f>IF(B325=$H$1,COUNT($H$2:H326)+1," ")</f>
        <v xml:space="preserve"> </v>
      </c>
      <c r="L325">
        <v>324</v>
      </c>
      <c r="M325">
        <v>82</v>
      </c>
      <c r="N325">
        <v>120</v>
      </c>
      <c r="O325" s="18" t="s">
        <v>631</v>
      </c>
      <c r="P325">
        <f t="shared" si="15"/>
        <v>202</v>
      </c>
      <c r="Q325" t="str">
        <f>INDEX(Elemek!$B$2:$B$113,MATCH(M325,Elemek!$C$2:$C$113,0))</f>
        <v>Pb</v>
      </c>
      <c r="R325" t="str">
        <f t="shared" si="16"/>
        <v>8.199714</v>
      </c>
      <c r="S325" t="str">
        <f t="shared" si="17"/>
        <v>8.199714</v>
      </c>
    </row>
    <row r="326" spans="1:19" x14ac:dyDescent="0.25">
      <c r="A326">
        <v>905</v>
      </c>
      <c r="B326" t="s">
        <v>131</v>
      </c>
      <c r="C326">
        <v>121</v>
      </c>
      <c r="D326">
        <v>53</v>
      </c>
      <c r="E326">
        <v>68</v>
      </c>
      <c r="F326" s="18" t="s">
        <v>1132</v>
      </c>
      <c r="H326" t="str">
        <f>IF(B326=$H$1,COUNT($H$2:H327)+1," ")</f>
        <v xml:space="preserve"> </v>
      </c>
      <c r="L326">
        <v>325</v>
      </c>
      <c r="M326">
        <v>91</v>
      </c>
      <c r="N326">
        <v>140</v>
      </c>
      <c r="O326" s="18" t="s">
        <v>632</v>
      </c>
      <c r="P326">
        <f t="shared" si="15"/>
        <v>231</v>
      </c>
      <c r="Q326" t="str">
        <f>INDEX(Elemek!$B$2:$B$113,MATCH(M326,Elemek!$C$2:$C$113,0))</f>
        <v>Pa</v>
      </c>
      <c r="R326" t="str">
        <f t="shared" si="16"/>
        <v>7.926627</v>
      </c>
      <c r="S326" t="str">
        <f t="shared" si="17"/>
        <v>7.926627</v>
      </c>
    </row>
    <row r="327" spans="1:19" x14ac:dyDescent="0.25">
      <c r="A327">
        <v>99</v>
      </c>
      <c r="B327" t="s">
        <v>279</v>
      </c>
      <c r="C327">
        <v>125</v>
      </c>
      <c r="D327">
        <v>52</v>
      </c>
      <c r="E327">
        <v>73</v>
      </c>
      <c r="F327" s="18" t="s">
        <v>406</v>
      </c>
      <c r="H327" t="str">
        <f>IF(B327=$H$1,COUNT($H$2:H328)+1," ")</f>
        <v xml:space="preserve"> </v>
      </c>
      <c r="L327">
        <v>326</v>
      </c>
      <c r="M327">
        <v>94</v>
      </c>
      <c r="N327">
        <v>145</v>
      </c>
      <c r="O327" s="18" t="s">
        <v>633</v>
      </c>
      <c r="P327">
        <f t="shared" si="15"/>
        <v>239</v>
      </c>
      <c r="Q327" t="str">
        <f>INDEX(Elemek!$B$2:$B$113,MATCH(M327,Elemek!$C$2:$C$113,0))</f>
        <v>Pu</v>
      </c>
      <c r="R327" t="str">
        <f t="shared" si="16"/>
        <v>7.868022</v>
      </c>
      <c r="S327" t="str">
        <f t="shared" si="17"/>
        <v>7.868022</v>
      </c>
    </row>
    <row r="328" spans="1:19" x14ac:dyDescent="0.25">
      <c r="A328">
        <v>235</v>
      </c>
      <c r="B328" t="s">
        <v>207</v>
      </c>
      <c r="C328">
        <v>124</v>
      </c>
      <c r="D328">
        <v>50</v>
      </c>
      <c r="E328">
        <v>74</v>
      </c>
      <c r="F328" s="18" t="s">
        <v>542</v>
      </c>
      <c r="H328" t="str">
        <f>IF(B328=$H$1,COUNT($H$2:H329)+1," ")</f>
        <v xml:space="preserve"> </v>
      </c>
      <c r="L328">
        <v>327</v>
      </c>
      <c r="M328">
        <v>41</v>
      </c>
      <c r="N328">
        <v>53</v>
      </c>
      <c r="O328" s="18" t="s">
        <v>634</v>
      </c>
      <c r="P328">
        <f t="shared" si="15"/>
        <v>94</v>
      </c>
      <c r="Q328" t="str">
        <f>INDEX(Elemek!$B$2:$B$113,MATCH(M328,Elemek!$C$2:$C$113,0))</f>
        <v>Nb</v>
      </c>
      <c r="R328" t="str">
        <f t="shared" si="16"/>
        <v>8.990099</v>
      </c>
      <c r="S328" t="str">
        <f t="shared" si="17"/>
        <v>8.990099</v>
      </c>
    </row>
    <row r="329" spans="1:19" x14ac:dyDescent="0.25">
      <c r="A329">
        <v>469</v>
      </c>
      <c r="B329" t="s">
        <v>131</v>
      </c>
      <c r="C329">
        <v>125</v>
      </c>
      <c r="D329">
        <v>53</v>
      </c>
      <c r="E329">
        <v>72</v>
      </c>
      <c r="F329" s="18" t="s">
        <v>766</v>
      </c>
      <c r="H329" t="str">
        <f>IF(B329=$H$1,COUNT($H$2:H330)+1," ")</f>
        <v xml:space="preserve"> </v>
      </c>
      <c r="L329">
        <v>328</v>
      </c>
      <c r="M329">
        <v>96</v>
      </c>
      <c r="N329">
        <v>149</v>
      </c>
      <c r="O329" s="18" t="s">
        <v>635</v>
      </c>
      <c r="P329">
        <f t="shared" si="15"/>
        <v>245</v>
      </c>
      <c r="Q329" t="str">
        <f>INDEX(Elemek!$B$2:$B$113,MATCH(M329,Elemek!$C$2:$C$113,0))</f>
        <v>Cm</v>
      </c>
      <c r="R329" t="str">
        <f t="shared" si="16"/>
        <v>7.822329</v>
      </c>
      <c r="S329" t="str">
        <f t="shared" si="17"/>
        <v>7.822329</v>
      </c>
    </row>
    <row r="330" spans="1:19" x14ac:dyDescent="0.25">
      <c r="A330">
        <v>192</v>
      </c>
      <c r="B330" t="s">
        <v>302</v>
      </c>
      <c r="C330">
        <v>126</v>
      </c>
      <c r="D330">
        <v>54</v>
      </c>
      <c r="E330">
        <v>72</v>
      </c>
      <c r="F330" s="18" t="s">
        <v>499</v>
      </c>
      <c r="H330" t="str">
        <f>IF(B330=$H$1,COUNT($H$2:H331)+1," ")</f>
        <v xml:space="preserve"> </v>
      </c>
      <c r="L330">
        <v>329</v>
      </c>
      <c r="M330">
        <v>96</v>
      </c>
      <c r="N330">
        <v>154</v>
      </c>
      <c r="O330" s="18" t="s">
        <v>636</v>
      </c>
      <c r="P330">
        <f t="shared" si="15"/>
        <v>250</v>
      </c>
      <c r="Q330" t="str">
        <f>INDEX(Elemek!$B$2:$B$113,MATCH(M330,Elemek!$C$2:$C$113,0))</f>
        <v>Cm</v>
      </c>
      <c r="R330" t="str">
        <f t="shared" si="16"/>
        <v>7.779371</v>
      </c>
      <c r="S330" t="str">
        <f t="shared" si="17"/>
        <v>7.779371</v>
      </c>
    </row>
    <row r="331" spans="1:19" x14ac:dyDescent="0.25">
      <c r="A331">
        <v>253</v>
      </c>
      <c r="B331" t="s">
        <v>302</v>
      </c>
      <c r="C331">
        <v>124</v>
      </c>
      <c r="D331">
        <v>54</v>
      </c>
      <c r="E331">
        <v>70</v>
      </c>
      <c r="F331" s="18" t="s">
        <v>560</v>
      </c>
      <c r="H331" t="str">
        <f>IF(B331=$H$1,COUNT($H$2:H332)+1," ")</f>
        <v xml:space="preserve"> </v>
      </c>
      <c r="L331">
        <v>330</v>
      </c>
      <c r="M331">
        <v>95</v>
      </c>
      <c r="N331">
        <v>148</v>
      </c>
      <c r="O331" s="18" t="s">
        <v>637</v>
      </c>
      <c r="P331">
        <f t="shared" si="15"/>
        <v>243</v>
      </c>
      <c r="Q331" t="str">
        <f>INDEX(Elemek!$B$2:$B$113,MATCH(M331,Elemek!$C$2:$C$113,0))</f>
        <v>Am</v>
      </c>
      <c r="R331" t="str">
        <f t="shared" si="16"/>
        <v>7.836035</v>
      </c>
      <c r="S331" t="str">
        <f t="shared" si="17"/>
        <v>7.836035</v>
      </c>
    </row>
    <row r="332" spans="1:19" x14ac:dyDescent="0.25">
      <c r="A332">
        <v>870</v>
      </c>
      <c r="B332" t="s">
        <v>143</v>
      </c>
      <c r="C332">
        <v>38</v>
      </c>
      <c r="D332">
        <v>16</v>
      </c>
      <c r="E332">
        <v>22</v>
      </c>
      <c r="F332" s="18" t="s">
        <v>1103</v>
      </c>
      <c r="H332" t="str">
        <f>IF(B332=$H$1,COUNT($H$2:H333)+1," ")</f>
        <v xml:space="preserve"> </v>
      </c>
      <c r="L332">
        <v>331</v>
      </c>
      <c r="M332">
        <v>90</v>
      </c>
      <c r="N332">
        <v>139</v>
      </c>
      <c r="O332" s="18" t="s">
        <v>638</v>
      </c>
      <c r="P332">
        <f t="shared" si="15"/>
        <v>229</v>
      </c>
      <c r="Q332" t="str">
        <f>INDEX(Elemek!$B$2:$B$113,MATCH(M332,Elemek!$C$2:$C$113,0))</f>
        <v>Th</v>
      </c>
      <c r="R332" t="str">
        <f t="shared" si="16"/>
        <v>7.942127</v>
      </c>
      <c r="S332" t="str">
        <f t="shared" si="17"/>
        <v>7.942127</v>
      </c>
    </row>
    <row r="333" spans="1:19" x14ac:dyDescent="0.25">
      <c r="A333">
        <v>468</v>
      </c>
      <c r="B333" t="s">
        <v>20</v>
      </c>
      <c r="C333">
        <v>124</v>
      </c>
      <c r="D333">
        <v>51</v>
      </c>
      <c r="E333">
        <v>73</v>
      </c>
      <c r="F333" s="18" t="s">
        <v>765</v>
      </c>
      <c r="H333" t="str">
        <f>IF(B333=$H$1,COUNT($H$2:H334)+1," ")</f>
        <v xml:space="preserve"> </v>
      </c>
      <c r="L333">
        <v>332</v>
      </c>
      <c r="M333">
        <v>94</v>
      </c>
      <c r="N333">
        <v>146</v>
      </c>
      <c r="O333" s="18" t="s">
        <v>639</v>
      </c>
      <c r="P333">
        <f t="shared" si="15"/>
        <v>240</v>
      </c>
      <c r="Q333" t="str">
        <f>INDEX(Elemek!$B$2:$B$113,MATCH(M333,Elemek!$C$2:$C$113,0))</f>
        <v>Pu</v>
      </c>
      <c r="R333" t="str">
        <f t="shared" si="16"/>
        <v>7.862465</v>
      </c>
      <c r="S333" t="str">
        <f t="shared" si="17"/>
        <v>7.862465</v>
      </c>
    </row>
    <row r="334" spans="1:19" x14ac:dyDescent="0.25">
      <c r="A334">
        <v>393</v>
      </c>
      <c r="B334" t="s">
        <v>20</v>
      </c>
      <c r="C334">
        <v>125</v>
      </c>
      <c r="D334">
        <v>51</v>
      </c>
      <c r="E334">
        <v>74</v>
      </c>
      <c r="F334" s="18" t="s">
        <v>697</v>
      </c>
      <c r="H334" t="str">
        <f>IF(B334=$H$1,COUNT($H$2:H335)+1," ")</f>
        <v xml:space="preserve"> </v>
      </c>
      <c r="L334">
        <v>333</v>
      </c>
      <c r="M334">
        <v>6</v>
      </c>
      <c r="N334">
        <v>8</v>
      </c>
      <c r="O334" s="18" t="s">
        <v>640</v>
      </c>
      <c r="P334">
        <f t="shared" si="15"/>
        <v>14</v>
      </c>
      <c r="Q334" t="str">
        <f>INDEX(Elemek!$B$2:$B$113,MATCH(M334,Elemek!$C$2:$C$113,0))</f>
        <v>C</v>
      </c>
      <c r="R334" t="str">
        <f t="shared" si="16"/>
        <v>7.85562</v>
      </c>
      <c r="S334" t="str">
        <f t="shared" si="17"/>
        <v>7.85562</v>
      </c>
    </row>
    <row r="335" spans="1:19" x14ac:dyDescent="0.25">
      <c r="A335">
        <v>582</v>
      </c>
      <c r="B335" t="s">
        <v>131</v>
      </c>
      <c r="C335">
        <v>124</v>
      </c>
      <c r="D335">
        <v>53</v>
      </c>
      <c r="E335">
        <v>71</v>
      </c>
      <c r="F335" s="18" t="s">
        <v>865</v>
      </c>
      <c r="H335" t="str">
        <f>IF(B335=$H$1,COUNT($H$2:H336)+1," ")</f>
        <v xml:space="preserve"> </v>
      </c>
      <c r="L335">
        <v>334</v>
      </c>
      <c r="M335">
        <v>96</v>
      </c>
      <c r="N335">
        <v>150</v>
      </c>
      <c r="O335" s="18" t="s">
        <v>641</v>
      </c>
      <c r="P335">
        <f t="shared" si="15"/>
        <v>246</v>
      </c>
      <c r="Q335" t="str">
        <f>INDEX(Elemek!$B$2:$B$113,MATCH(M335,Elemek!$C$2:$C$113,0))</f>
        <v>Cm</v>
      </c>
      <c r="R335" t="str">
        <f t="shared" si="16"/>
        <v>7.816781</v>
      </c>
      <c r="S335" t="str">
        <f t="shared" si="17"/>
        <v>7.816781</v>
      </c>
    </row>
    <row r="336" spans="1:19" x14ac:dyDescent="0.25">
      <c r="A336">
        <v>100</v>
      </c>
      <c r="B336" t="s">
        <v>302</v>
      </c>
      <c r="C336">
        <v>128</v>
      </c>
      <c r="D336">
        <v>54</v>
      </c>
      <c r="E336">
        <v>74</v>
      </c>
      <c r="F336" s="18" t="s">
        <v>407</v>
      </c>
      <c r="H336" t="str">
        <f>IF(B336=$H$1,COUNT($H$2:H337)+1," ")</f>
        <v xml:space="preserve"> </v>
      </c>
      <c r="L336">
        <v>335</v>
      </c>
      <c r="M336">
        <v>67</v>
      </c>
      <c r="N336">
        <v>96</v>
      </c>
      <c r="O336" s="18" t="s">
        <v>642</v>
      </c>
      <c r="P336">
        <f t="shared" si="15"/>
        <v>163</v>
      </c>
      <c r="Q336" t="str">
        <f>INDEX(Elemek!$B$2:$B$113,MATCH(M336,Elemek!$C$2:$C$113,0))</f>
        <v>Ho</v>
      </c>
      <c r="R336" t="str">
        <f t="shared" si="16"/>
        <v>8.478591</v>
      </c>
      <c r="S336" t="str">
        <f t="shared" si="17"/>
        <v>8.478591</v>
      </c>
    </row>
    <row r="337" spans="1:19" x14ac:dyDescent="0.25">
      <c r="A337">
        <v>101</v>
      </c>
      <c r="B337" t="s">
        <v>131</v>
      </c>
      <c r="C337">
        <v>127</v>
      </c>
      <c r="D337">
        <v>53</v>
      </c>
      <c r="E337">
        <v>74</v>
      </c>
      <c r="F337" s="18" t="s">
        <v>408</v>
      </c>
      <c r="H337" t="str">
        <f>IF(B337=$H$1,COUNT($H$2:H338)+1," ")</f>
        <v xml:space="preserve"> </v>
      </c>
      <c r="L337">
        <v>336</v>
      </c>
      <c r="M337">
        <v>42</v>
      </c>
      <c r="N337">
        <v>51</v>
      </c>
      <c r="O337" s="18" t="s">
        <v>643</v>
      </c>
      <c r="P337">
        <f t="shared" si="15"/>
        <v>93</v>
      </c>
      <c r="Q337" t="str">
        <f>INDEX(Elemek!$B$2:$B$113,MATCH(M337,Elemek!$C$2:$C$113,0))</f>
        <v>Mo</v>
      </c>
      <c r="R337" t="str">
        <f t="shared" si="16"/>
        <v>9.004693</v>
      </c>
      <c r="S337" t="str">
        <f t="shared" si="17"/>
        <v>9.004693</v>
      </c>
    </row>
    <row r="338" spans="1:19" x14ac:dyDescent="0.25">
      <c r="A338">
        <v>693</v>
      </c>
      <c r="B338" t="s">
        <v>302</v>
      </c>
      <c r="C338">
        <v>122</v>
      </c>
      <c r="D338">
        <v>54</v>
      </c>
      <c r="E338">
        <v>68</v>
      </c>
      <c r="F338" s="18" t="s">
        <v>960</v>
      </c>
      <c r="H338" t="str">
        <f>IF(B338=$H$1,COUNT($H$2:H339)+1," ")</f>
        <v xml:space="preserve"> </v>
      </c>
      <c r="L338">
        <v>337</v>
      </c>
      <c r="M338">
        <v>88</v>
      </c>
      <c r="N338">
        <v>138</v>
      </c>
      <c r="O338" s="18" t="s">
        <v>644</v>
      </c>
      <c r="P338">
        <f t="shared" si="15"/>
        <v>226</v>
      </c>
      <c r="Q338" t="str">
        <f>INDEX(Elemek!$B$2:$B$113,MATCH(M338,Elemek!$C$2:$C$113,0))</f>
        <v>Ra</v>
      </c>
      <c r="R338" t="str">
        <f t="shared" si="16"/>
        <v>7.966597</v>
      </c>
      <c r="S338" t="str">
        <f t="shared" si="17"/>
        <v>7.966597</v>
      </c>
    </row>
    <row r="339" spans="1:19" x14ac:dyDescent="0.25">
      <c r="A339">
        <v>955</v>
      </c>
      <c r="B339" t="s">
        <v>131</v>
      </c>
      <c r="C339">
        <v>120</v>
      </c>
      <c r="D339">
        <v>53</v>
      </c>
      <c r="E339">
        <v>67</v>
      </c>
      <c r="F339" s="18" t="s">
        <v>1172</v>
      </c>
      <c r="H339" t="str">
        <f>IF(B339=$H$1,COUNT($H$2:H340)+1," ")</f>
        <v xml:space="preserve"> </v>
      </c>
      <c r="L339">
        <v>338</v>
      </c>
      <c r="M339">
        <v>97</v>
      </c>
      <c r="N339">
        <v>150</v>
      </c>
      <c r="O339" s="18" t="s">
        <v>645</v>
      </c>
      <c r="P339">
        <f t="shared" si="15"/>
        <v>247</v>
      </c>
      <c r="Q339" t="str">
        <f>INDEX(Elemek!$B$2:$B$113,MATCH(M339,Elemek!$C$2:$C$113,0))</f>
        <v>Bk</v>
      </c>
      <c r="R339" t="str">
        <f t="shared" si="16"/>
        <v>7.806182</v>
      </c>
      <c r="S339" t="str">
        <f t="shared" si="17"/>
        <v>7.806182</v>
      </c>
    </row>
    <row r="340" spans="1:19" x14ac:dyDescent="0.25">
      <c r="A340">
        <v>526</v>
      </c>
      <c r="B340" t="s">
        <v>131</v>
      </c>
      <c r="C340">
        <v>126</v>
      </c>
      <c r="D340">
        <v>53</v>
      </c>
      <c r="E340">
        <v>73</v>
      </c>
      <c r="F340" s="18" t="s">
        <v>818</v>
      </c>
      <c r="H340" t="str">
        <f>IF(B340=$H$1,COUNT($H$2:H341)+1," ")</f>
        <v xml:space="preserve"> </v>
      </c>
      <c r="L340">
        <v>339</v>
      </c>
      <c r="M340">
        <v>67</v>
      </c>
      <c r="N340">
        <v>99</v>
      </c>
      <c r="O340" s="18" t="s">
        <v>646</v>
      </c>
      <c r="P340">
        <f t="shared" si="15"/>
        <v>166</v>
      </c>
      <c r="Q340" t="str">
        <f>INDEX(Elemek!$B$2:$B$113,MATCH(M340,Elemek!$C$2:$C$113,0))</f>
        <v>Ho</v>
      </c>
      <c r="R340" t="str">
        <f t="shared" si="16"/>
        <v>8.451273</v>
      </c>
      <c r="S340" t="str">
        <f t="shared" si="17"/>
        <v>8.451273</v>
      </c>
    </row>
    <row r="341" spans="1:19" x14ac:dyDescent="0.25">
      <c r="A341">
        <v>709</v>
      </c>
      <c r="B341" t="s">
        <v>302</v>
      </c>
      <c r="C341">
        <v>125</v>
      </c>
      <c r="D341">
        <v>54</v>
      </c>
      <c r="E341">
        <v>71</v>
      </c>
      <c r="F341" s="18" t="s">
        <v>974</v>
      </c>
      <c r="H341" t="str">
        <f>IF(B341=$H$1,COUNT($H$2:H342)+1," ")</f>
        <v xml:space="preserve"> </v>
      </c>
      <c r="L341">
        <v>340</v>
      </c>
      <c r="M341">
        <v>98</v>
      </c>
      <c r="N341">
        <v>153</v>
      </c>
      <c r="O341" s="18" t="s">
        <v>647</v>
      </c>
      <c r="P341">
        <f t="shared" si="15"/>
        <v>251</v>
      </c>
      <c r="Q341" t="str">
        <f>INDEX(Elemek!$B$2:$B$113,MATCH(M341,Elemek!$C$2:$C$113,0))</f>
        <v>Cf</v>
      </c>
      <c r="R341" t="str">
        <f t="shared" si="16"/>
        <v>7.775969</v>
      </c>
      <c r="S341" t="str">
        <f t="shared" si="17"/>
        <v>7.775969</v>
      </c>
    </row>
    <row r="342" spans="1:19" x14ac:dyDescent="0.25">
      <c r="A342">
        <v>487</v>
      </c>
      <c r="B342" t="s">
        <v>302</v>
      </c>
      <c r="C342">
        <v>127</v>
      </c>
      <c r="D342">
        <v>54</v>
      </c>
      <c r="E342">
        <v>73</v>
      </c>
      <c r="F342" s="18" t="s">
        <v>783</v>
      </c>
      <c r="H342" t="str">
        <f>IF(B342=$H$1,COUNT($H$2:H343)+1," ")</f>
        <v xml:space="preserve"> </v>
      </c>
      <c r="L342">
        <v>341</v>
      </c>
      <c r="M342">
        <v>41</v>
      </c>
      <c r="N342">
        <v>50</v>
      </c>
      <c r="O342" s="18" t="s">
        <v>648</v>
      </c>
      <c r="P342">
        <f t="shared" si="15"/>
        <v>91</v>
      </c>
      <c r="Q342" t="str">
        <f>INDEX(Elemek!$B$2:$B$113,MATCH(M342,Elemek!$C$2:$C$113,0))</f>
        <v>Nb</v>
      </c>
      <c r="R342" t="str">
        <f t="shared" si="16"/>
        <v>9.023327</v>
      </c>
      <c r="S342" t="str">
        <f t="shared" si="17"/>
        <v>9.023327</v>
      </c>
    </row>
    <row r="343" spans="1:19" x14ac:dyDescent="0.25">
      <c r="A343">
        <v>263</v>
      </c>
      <c r="B343" t="s">
        <v>279</v>
      </c>
      <c r="C343">
        <v>130</v>
      </c>
      <c r="D343">
        <v>52</v>
      </c>
      <c r="E343">
        <v>78</v>
      </c>
      <c r="F343" s="18" t="s">
        <v>570</v>
      </c>
      <c r="H343" t="str">
        <f>IF(B343=$H$1,COUNT($H$2:H344)+1," ")</f>
        <v xml:space="preserve"> </v>
      </c>
      <c r="L343">
        <v>342</v>
      </c>
      <c r="M343">
        <v>80</v>
      </c>
      <c r="N343">
        <v>114</v>
      </c>
      <c r="O343" s="18" t="s">
        <v>649</v>
      </c>
      <c r="P343">
        <f t="shared" si="15"/>
        <v>194</v>
      </c>
      <c r="Q343" t="str">
        <f>INDEX(Elemek!$B$2:$B$113,MATCH(M343,Elemek!$C$2:$C$113,0))</f>
        <v>Hg</v>
      </c>
      <c r="R343" t="str">
        <f t="shared" si="16"/>
        <v>8.237271</v>
      </c>
      <c r="S343" t="str">
        <f t="shared" si="17"/>
        <v>8.237271</v>
      </c>
    </row>
    <row r="344" spans="1:19" x14ac:dyDescent="0.25">
      <c r="A344">
        <v>443</v>
      </c>
      <c r="B344" t="s">
        <v>279</v>
      </c>
      <c r="C344">
        <v>127</v>
      </c>
      <c r="D344">
        <v>52</v>
      </c>
      <c r="E344">
        <v>75</v>
      </c>
      <c r="F344" s="18" t="s">
        <v>743</v>
      </c>
      <c r="H344" t="str">
        <f>IF(B344=$H$1,COUNT($H$2:H345)+1," ")</f>
        <v xml:space="preserve"> </v>
      </c>
      <c r="L344">
        <v>343</v>
      </c>
      <c r="M344">
        <v>47</v>
      </c>
      <c r="N344">
        <v>61</v>
      </c>
      <c r="O344" s="18" t="s">
        <v>650</v>
      </c>
      <c r="P344">
        <f t="shared" si="15"/>
        <v>108</v>
      </c>
      <c r="Q344" t="str">
        <f>INDEX(Elemek!$B$2:$B$113,MATCH(M344,Elemek!$C$2:$C$113,0))</f>
        <v>Ag</v>
      </c>
      <c r="R344" t="str">
        <f t="shared" si="16"/>
        <v>8.881439</v>
      </c>
      <c r="S344" t="str">
        <f t="shared" si="17"/>
        <v>8.881439</v>
      </c>
    </row>
    <row r="345" spans="1:19" x14ac:dyDescent="0.25">
      <c r="A345">
        <v>907</v>
      </c>
      <c r="B345" t="s">
        <v>302</v>
      </c>
      <c r="C345">
        <v>123</v>
      </c>
      <c r="D345">
        <v>54</v>
      </c>
      <c r="E345">
        <v>69</v>
      </c>
      <c r="F345" s="18" t="s">
        <v>1134</v>
      </c>
      <c r="H345" t="str">
        <f>IF(B345=$H$1,COUNT($H$2:H346)+1," ")</f>
        <v xml:space="preserve"> </v>
      </c>
      <c r="L345">
        <v>344</v>
      </c>
      <c r="M345">
        <v>95</v>
      </c>
      <c r="N345">
        <v>146</v>
      </c>
      <c r="O345" s="18" t="s">
        <v>651</v>
      </c>
      <c r="P345">
        <f t="shared" si="15"/>
        <v>241</v>
      </c>
      <c r="Q345" t="str">
        <f>INDEX(Elemek!$B$2:$B$113,MATCH(M345,Elemek!$C$2:$C$113,0))</f>
        <v>Am</v>
      </c>
      <c r="R345" t="str">
        <f t="shared" si="16"/>
        <v>7.851676</v>
      </c>
      <c r="S345" t="str">
        <f t="shared" si="17"/>
        <v>7.851676</v>
      </c>
    </row>
    <row r="346" spans="1:19" x14ac:dyDescent="0.25">
      <c r="A346">
        <v>102</v>
      </c>
      <c r="B346" t="s">
        <v>302</v>
      </c>
      <c r="C346">
        <v>130</v>
      </c>
      <c r="D346">
        <v>54</v>
      </c>
      <c r="E346">
        <v>76</v>
      </c>
      <c r="F346" s="18" t="s">
        <v>409</v>
      </c>
      <c r="H346" t="str">
        <f>IF(B346=$H$1,COUNT($H$2:H347)+1," ")</f>
        <v xml:space="preserve"> </v>
      </c>
      <c r="L346">
        <v>345</v>
      </c>
      <c r="M346">
        <v>98</v>
      </c>
      <c r="N346">
        <v>151</v>
      </c>
      <c r="O346" s="18" t="s">
        <v>652</v>
      </c>
      <c r="P346">
        <f t="shared" si="15"/>
        <v>249</v>
      </c>
      <c r="Q346" t="str">
        <f>INDEX(Elemek!$B$2:$B$113,MATCH(M346,Elemek!$C$2:$C$113,0))</f>
        <v>Cf</v>
      </c>
      <c r="R346" t="str">
        <f t="shared" si="16"/>
        <v>7.791305</v>
      </c>
      <c r="S346" t="str">
        <f t="shared" si="17"/>
        <v>7.791305</v>
      </c>
    </row>
    <row r="347" spans="1:19" x14ac:dyDescent="0.25">
      <c r="A347">
        <v>103</v>
      </c>
      <c r="B347" t="s">
        <v>302</v>
      </c>
      <c r="C347">
        <v>129</v>
      </c>
      <c r="D347">
        <v>54</v>
      </c>
      <c r="E347">
        <v>75</v>
      </c>
      <c r="F347" s="18" t="s">
        <v>410</v>
      </c>
      <c r="H347" t="str">
        <f>IF(B347=$H$1,COUNT($H$2:H348)+1," ")</f>
        <v xml:space="preserve"> </v>
      </c>
      <c r="L347">
        <v>346</v>
      </c>
      <c r="M347">
        <v>97</v>
      </c>
      <c r="N347">
        <v>151</v>
      </c>
      <c r="O347" s="18" t="s">
        <v>653</v>
      </c>
      <c r="P347">
        <f t="shared" si="15"/>
        <v>248</v>
      </c>
      <c r="Q347" t="str">
        <f>INDEX(Elemek!$B$2:$B$113,MATCH(M347,Elemek!$C$2:$C$113,0))</f>
        <v>Bk</v>
      </c>
      <c r="R347" t="str">
        <f t="shared" si="16"/>
        <v>7.796811</v>
      </c>
      <c r="S347" t="str">
        <f t="shared" si="17"/>
        <v>7.796811</v>
      </c>
    </row>
    <row r="348" spans="1:19" x14ac:dyDescent="0.25">
      <c r="A348">
        <v>542</v>
      </c>
      <c r="B348" t="s">
        <v>207</v>
      </c>
      <c r="C348">
        <v>125</v>
      </c>
      <c r="D348">
        <v>50</v>
      </c>
      <c r="E348">
        <v>75</v>
      </c>
      <c r="F348" s="18" t="s">
        <v>831</v>
      </c>
      <c r="H348" t="str">
        <f>IF(B348=$H$1,COUNT($H$2:H349)+1," ")</f>
        <v xml:space="preserve"> </v>
      </c>
      <c r="L348">
        <v>347</v>
      </c>
      <c r="M348">
        <v>18</v>
      </c>
      <c r="N348">
        <v>21</v>
      </c>
      <c r="O348" s="18" t="s">
        <v>654</v>
      </c>
      <c r="P348">
        <f t="shared" si="15"/>
        <v>39</v>
      </c>
      <c r="Q348" t="str">
        <f>INDEX(Elemek!$B$2:$B$113,MATCH(M348,Elemek!$C$2:$C$113,0))</f>
        <v>Ar</v>
      </c>
      <c r="R348" t="str">
        <f t="shared" si="16"/>
        <v>8.923686</v>
      </c>
      <c r="S348" t="str">
        <f t="shared" si="17"/>
        <v>8.923686</v>
      </c>
    </row>
    <row r="349" spans="1:19" x14ac:dyDescent="0.25">
      <c r="A349">
        <v>292</v>
      </c>
      <c r="B349" t="s">
        <v>131</v>
      </c>
      <c r="C349">
        <v>129</v>
      </c>
      <c r="D349">
        <v>53</v>
      </c>
      <c r="E349">
        <v>76</v>
      </c>
      <c r="F349" s="18" t="s">
        <v>599</v>
      </c>
      <c r="H349" t="str">
        <f>IF(B349=$H$1,COUNT($H$2:H350)+1," ")</f>
        <v xml:space="preserve"> </v>
      </c>
      <c r="L349">
        <v>348</v>
      </c>
      <c r="M349">
        <v>77</v>
      </c>
      <c r="N349">
        <v>115</v>
      </c>
      <c r="O349" s="18" t="s">
        <v>655</v>
      </c>
      <c r="P349">
        <f t="shared" si="15"/>
        <v>192</v>
      </c>
      <c r="Q349" t="str">
        <f>INDEX(Elemek!$B$2:$B$113,MATCH(M349,Elemek!$C$2:$C$113,0))</f>
        <v>Ir</v>
      </c>
      <c r="R349" t="str">
        <f t="shared" si="16"/>
        <v>8.251875</v>
      </c>
      <c r="S349" t="str">
        <f t="shared" si="17"/>
        <v>8.251875</v>
      </c>
    </row>
    <row r="350" spans="1:19" x14ac:dyDescent="0.25">
      <c r="A350">
        <v>528</v>
      </c>
      <c r="B350" t="s">
        <v>20</v>
      </c>
      <c r="C350">
        <v>126</v>
      </c>
      <c r="D350">
        <v>51</v>
      </c>
      <c r="E350">
        <v>75</v>
      </c>
      <c r="F350" s="18" t="s">
        <v>820</v>
      </c>
      <c r="H350" t="str">
        <f>IF(B350=$H$1,COUNT($H$2:H351)+1," ")</f>
        <v xml:space="preserve"> </v>
      </c>
      <c r="L350">
        <v>349</v>
      </c>
      <c r="M350">
        <v>65</v>
      </c>
      <c r="N350">
        <v>93</v>
      </c>
      <c r="O350" s="18" t="s">
        <v>656</v>
      </c>
      <c r="P350">
        <f t="shared" si="15"/>
        <v>158</v>
      </c>
      <c r="Q350" t="str">
        <f>INDEX(Elemek!$B$2:$B$113,MATCH(M350,Elemek!$C$2:$C$113,0))</f>
        <v>Tb</v>
      </c>
      <c r="R350" t="str">
        <f t="shared" si="16"/>
        <v>8.511055</v>
      </c>
      <c r="S350" t="str">
        <f t="shared" si="17"/>
        <v>8.511055</v>
      </c>
    </row>
    <row r="351" spans="1:19" x14ac:dyDescent="0.25">
      <c r="A351">
        <v>314</v>
      </c>
      <c r="B351" t="s">
        <v>207</v>
      </c>
      <c r="C351">
        <v>126</v>
      </c>
      <c r="D351">
        <v>50</v>
      </c>
      <c r="E351">
        <v>76</v>
      </c>
      <c r="F351" s="18" t="s">
        <v>621</v>
      </c>
      <c r="H351" t="str">
        <f>IF(B351=$H$1,COUNT($H$2:H352)+1," ")</f>
        <v xml:space="preserve"> </v>
      </c>
      <c r="L351">
        <v>350</v>
      </c>
      <c r="M351">
        <v>95</v>
      </c>
      <c r="N351">
        <v>147</v>
      </c>
      <c r="O351" s="18" t="s">
        <v>657</v>
      </c>
      <c r="P351">
        <f t="shared" si="15"/>
        <v>242</v>
      </c>
      <c r="Q351" t="str">
        <f>INDEX(Elemek!$B$2:$B$113,MATCH(M351,Elemek!$C$2:$C$113,0))</f>
        <v>Am</v>
      </c>
      <c r="R351" t="str">
        <f t="shared" si="16"/>
        <v>7.841913</v>
      </c>
      <c r="S351" t="str">
        <f t="shared" si="17"/>
        <v>7.841913</v>
      </c>
    </row>
    <row r="352" spans="1:19" x14ac:dyDescent="0.25">
      <c r="A352">
        <v>584</v>
      </c>
      <c r="B352" t="s">
        <v>20</v>
      </c>
      <c r="C352">
        <v>127</v>
      </c>
      <c r="D352">
        <v>51</v>
      </c>
      <c r="E352">
        <v>76</v>
      </c>
      <c r="F352" s="18" t="s">
        <v>866</v>
      </c>
      <c r="H352" t="str">
        <f>IF(B352=$H$1,COUNT($H$2:H353)+1," ")</f>
        <v xml:space="preserve"> </v>
      </c>
      <c r="L352">
        <v>351</v>
      </c>
      <c r="M352">
        <v>14</v>
      </c>
      <c r="N352">
        <v>18</v>
      </c>
      <c r="O352" s="18" t="s">
        <v>658</v>
      </c>
      <c r="P352">
        <f t="shared" si="15"/>
        <v>32</v>
      </c>
      <c r="Q352" t="str">
        <f>INDEX(Elemek!$B$2:$B$113,MATCH(M352,Elemek!$C$2:$C$113,0))</f>
        <v>Si</v>
      </c>
      <c r="R352" t="str">
        <f t="shared" si="16"/>
        <v>8.823856</v>
      </c>
      <c r="S352" t="str">
        <f t="shared" si="17"/>
        <v>8.823856</v>
      </c>
    </row>
    <row r="353" spans="1:19" x14ac:dyDescent="0.25">
      <c r="A353">
        <v>791</v>
      </c>
      <c r="B353" t="s">
        <v>61</v>
      </c>
      <c r="C353">
        <v>127</v>
      </c>
      <c r="D353">
        <v>55</v>
      </c>
      <c r="E353">
        <v>72</v>
      </c>
      <c r="F353" s="18" t="s">
        <v>1039</v>
      </c>
      <c r="H353" t="str">
        <f>IF(B353=$H$1,COUNT($H$2:H354)+1," ")</f>
        <v xml:space="preserve"> </v>
      </c>
      <c r="L353">
        <v>352</v>
      </c>
      <c r="M353">
        <v>84</v>
      </c>
      <c r="N353">
        <v>125</v>
      </c>
      <c r="O353" s="18" t="s">
        <v>659</v>
      </c>
      <c r="P353">
        <f t="shared" si="15"/>
        <v>209</v>
      </c>
      <c r="Q353" t="str">
        <f>INDEX(Elemek!$B$2:$B$113,MATCH(M353,Elemek!$C$2:$C$113,0))</f>
        <v>Po</v>
      </c>
      <c r="R353" t="str">
        <f t="shared" si="16"/>
        <v>8.149633</v>
      </c>
      <c r="S353" t="str">
        <f t="shared" si="17"/>
        <v>8.149633</v>
      </c>
    </row>
    <row r="354" spans="1:19" x14ac:dyDescent="0.25">
      <c r="A354">
        <v>657</v>
      </c>
      <c r="B354" t="s">
        <v>61</v>
      </c>
      <c r="C354">
        <v>129</v>
      </c>
      <c r="D354">
        <v>55</v>
      </c>
      <c r="E354">
        <v>74</v>
      </c>
      <c r="F354" s="18" t="s">
        <v>932</v>
      </c>
      <c r="H354" t="str">
        <f>IF(B354=$H$1,COUNT($H$2:H355)+1," ")</f>
        <v xml:space="preserve"> </v>
      </c>
      <c r="L354">
        <v>353</v>
      </c>
      <c r="M354">
        <v>28</v>
      </c>
      <c r="N354">
        <v>35</v>
      </c>
      <c r="O354" s="18" t="s">
        <v>660</v>
      </c>
      <c r="P354">
        <f t="shared" si="15"/>
        <v>63</v>
      </c>
      <c r="Q354" t="str">
        <f>INDEX(Elemek!$B$2:$B$113,MATCH(M354,Elemek!$C$2:$C$113,0))</f>
        <v>Ni</v>
      </c>
      <c r="R354" t="str">
        <f t="shared" si="16"/>
        <v>9.11121</v>
      </c>
      <c r="S354" t="str">
        <f t="shared" si="17"/>
        <v>9.11121</v>
      </c>
    </row>
    <row r="355" spans="1:19" x14ac:dyDescent="0.25">
      <c r="A355">
        <v>104</v>
      </c>
      <c r="B355" t="s">
        <v>302</v>
      </c>
      <c r="C355">
        <v>132</v>
      </c>
      <c r="D355">
        <v>54</v>
      </c>
      <c r="E355">
        <v>78</v>
      </c>
      <c r="F355" s="18" t="s">
        <v>411</v>
      </c>
      <c r="H355" t="str">
        <f>IF(B355=$H$1,COUNT($H$2:H356)+1," ")</f>
        <v xml:space="preserve"> </v>
      </c>
      <c r="L355">
        <v>354</v>
      </c>
      <c r="M355">
        <v>62</v>
      </c>
      <c r="N355">
        <v>89</v>
      </c>
      <c r="O355" s="18" t="s">
        <v>661</v>
      </c>
      <c r="P355">
        <f t="shared" si="15"/>
        <v>151</v>
      </c>
      <c r="Q355" t="str">
        <f>INDEX(Elemek!$B$2:$B$113,MATCH(M355,Elemek!$C$2:$C$113,0))</f>
        <v>Sm</v>
      </c>
      <c r="R355" t="str">
        <f t="shared" si="16"/>
        <v>8.565251</v>
      </c>
      <c r="S355" t="str">
        <f t="shared" si="17"/>
        <v>8.565251</v>
      </c>
    </row>
    <row r="356" spans="1:19" x14ac:dyDescent="0.25">
      <c r="A356">
        <v>105</v>
      </c>
      <c r="B356" t="s">
        <v>302</v>
      </c>
      <c r="C356">
        <v>131</v>
      </c>
      <c r="D356">
        <v>54</v>
      </c>
      <c r="E356">
        <v>77</v>
      </c>
      <c r="F356" s="18" t="s">
        <v>412</v>
      </c>
      <c r="H356" t="str">
        <f>IF(B356=$H$1,COUNT($H$2:H357)+1," ")</f>
        <v xml:space="preserve"> </v>
      </c>
      <c r="L356">
        <v>355</v>
      </c>
      <c r="M356">
        <v>94</v>
      </c>
      <c r="N356">
        <v>144</v>
      </c>
      <c r="O356" s="18" t="s">
        <v>662</v>
      </c>
      <c r="P356">
        <f t="shared" si="15"/>
        <v>238</v>
      </c>
      <c r="Q356" t="str">
        <f>INDEX(Elemek!$B$2:$B$113,MATCH(M356,Elemek!$C$2:$C$113,0))</f>
        <v>Pu</v>
      </c>
      <c r="R356" t="str">
        <f t="shared" si="16"/>
        <v>7.877358</v>
      </c>
      <c r="S356" t="str">
        <f t="shared" si="17"/>
        <v>7.877358</v>
      </c>
    </row>
    <row r="357" spans="1:19" x14ac:dyDescent="0.25">
      <c r="A357">
        <v>491</v>
      </c>
      <c r="B357" t="s">
        <v>279</v>
      </c>
      <c r="C357">
        <v>129</v>
      </c>
      <c r="D357">
        <v>52</v>
      </c>
      <c r="E357">
        <v>77</v>
      </c>
      <c r="F357" s="18" t="s">
        <v>786</v>
      </c>
      <c r="H357" t="str">
        <f>IF(B357=$H$1,COUNT($H$2:H358)+1," ")</f>
        <v xml:space="preserve"> </v>
      </c>
      <c r="L357">
        <v>356</v>
      </c>
      <c r="M357">
        <v>64</v>
      </c>
      <c r="N357">
        <v>84</v>
      </c>
      <c r="O357" s="18" t="s">
        <v>663</v>
      </c>
      <c r="P357">
        <f t="shared" si="15"/>
        <v>148</v>
      </c>
      <c r="Q357" t="str">
        <f>INDEX(Elemek!$B$2:$B$113,MATCH(M357,Elemek!$C$2:$C$113,0))</f>
        <v>Gd</v>
      </c>
      <c r="R357" t="str">
        <f t="shared" si="16"/>
        <v>8.586706</v>
      </c>
      <c r="S357" t="str">
        <f t="shared" si="17"/>
        <v>8.586706</v>
      </c>
    </row>
    <row r="358" spans="1:19" x14ac:dyDescent="0.25">
      <c r="A358">
        <v>541</v>
      </c>
      <c r="B358" t="s">
        <v>61</v>
      </c>
      <c r="C358">
        <v>131</v>
      </c>
      <c r="D358">
        <v>55</v>
      </c>
      <c r="E358">
        <v>76</v>
      </c>
      <c r="F358" s="18" t="s">
        <v>830</v>
      </c>
      <c r="H358" t="str">
        <f>IF(B358=$H$1,COUNT($H$2:H359)+1," ")</f>
        <v xml:space="preserve"> </v>
      </c>
      <c r="L358">
        <v>357</v>
      </c>
      <c r="M358">
        <v>65</v>
      </c>
      <c r="N358">
        <v>92</v>
      </c>
      <c r="O358" s="18" t="s">
        <v>664</v>
      </c>
      <c r="P358">
        <f t="shared" si="15"/>
        <v>157</v>
      </c>
      <c r="Q358" t="str">
        <f>INDEX(Elemek!$B$2:$B$113,MATCH(M358,Elemek!$C$2:$C$113,0))</f>
        <v>Tb</v>
      </c>
      <c r="R358" t="str">
        <f t="shared" si="16"/>
        <v>8.522096</v>
      </c>
      <c r="S358" t="str">
        <f t="shared" si="17"/>
        <v>8.522096</v>
      </c>
    </row>
    <row r="359" spans="1:19" x14ac:dyDescent="0.25">
      <c r="A359">
        <v>252</v>
      </c>
      <c r="B359" t="s">
        <v>279</v>
      </c>
      <c r="C359">
        <v>128</v>
      </c>
      <c r="D359">
        <v>52</v>
      </c>
      <c r="E359">
        <v>76</v>
      </c>
      <c r="F359" s="18" t="s">
        <v>559</v>
      </c>
      <c r="H359" t="str">
        <f>IF(B359=$H$1,COUNT($H$2:H360)+1," ")</f>
        <v xml:space="preserve"> </v>
      </c>
      <c r="L359">
        <v>358</v>
      </c>
      <c r="M359">
        <v>92</v>
      </c>
      <c r="N359">
        <v>140</v>
      </c>
      <c r="O359" s="18" t="s">
        <v>665</v>
      </c>
      <c r="P359">
        <f t="shared" si="15"/>
        <v>232</v>
      </c>
      <c r="Q359" t="str">
        <f>INDEX(Elemek!$B$2:$B$113,MATCH(M359,Elemek!$C$2:$C$113,0))</f>
        <v>U</v>
      </c>
      <c r="R359" t="str">
        <f t="shared" si="16"/>
        <v>7.922143</v>
      </c>
      <c r="S359" t="str">
        <f t="shared" si="17"/>
        <v>7.922143</v>
      </c>
    </row>
    <row r="360" spans="1:19" x14ac:dyDescent="0.25">
      <c r="A360">
        <v>257</v>
      </c>
      <c r="B360" t="s">
        <v>36</v>
      </c>
      <c r="C360">
        <v>130</v>
      </c>
      <c r="D360">
        <v>56</v>
      </c>
      <c r="E360">
        <v>74</v>
      </c>
      <c r="F360" s="18" t="s">
        <v>564</v>
      </c>
      <c r="H360" t="str">
        <f>IF(B360=$H$1,COUNT($H$2:H361)+1," ")</f>
        <v xml:space="preserve"> </v>
      </c>
      <c r="L360">
        <v>359</v>
      </c>
      <c r="M360">
        <v>22</v>
      </c>
      <c r="N360">
        <v>22</v>
      </c>
      <c r="O360" s="18" t="s">
        <v>666</v>
      </c>
      <c r="P360">
        <f t="shared" si="15"/>
        <v>44</v>
      </c>
      <c r="Q360" t="str">
        <f>INDEX(Elemek!$B$2:$B$113,MATCH(M360,Elemek!$C$2:$C$113,0))</f>
        <v>Ti</v>
      </c>
      <c r="R360" t="str">
        <f t="shared" si="16"/>
        <v>8.924702</v>
      </c>
      <c r="S360" t="str">
        <f t="shared" si="17"/>
        <v>8.924702</v>
      </c>
    </row>
    <row r="361" spans="1:19" x14ac:dyDescent="0.25">
      <c r="A361">
        <v>200</v>
      </c>
      <c r="B361" t="s">
        <v>36</v>
      </c>
      <c r="C361">
        <v>132</v>
      </c>
      <c r="D361">
        <v>56</v>
      </c>
      <c r="E361">
        <v>76</v>
      </c>
      <c r="F361" s="18" t="s">
        <v>507</v>
      </c>
      <c r="H361" t="str">
        <f>IF(B361=$H$1,COUNT($H$2:H362)+1," ")</f>
        <v xml:space="preserve"> </v>
      </c>
      <c r="L361">
        <v>360</v>
      </c>
      <c r="M361">
        <v>78</v>
      </c>
      <c r="N361">
        <v>115</v>
      </c>
      <c r="O361" s="18" t="s">
        <v>667</v>
      </c>
      <c r="P361">
        <f t="shared" si="15"/>
        <v>193</v>
      </c>
      <c r="Q361" t="str">
        <f>INDEX(Elemek!$B$2:$B$113,MATCH(M361,Elemek!$C$2:$C$113,0))</f>
        <v>Pt</v>
      </c>
      <c r="R361" t="str">
        <f t="shared" si="16"/>
        <v>8.249965</v>
      </c>
      <c r="S361" t="str">
        <f t="shared" si="17"/>
        <v>8.249965</v>
      </c>
    </row>
    <row r="362" spans="1:19" x14ac:dyDescent="0.25">
      <c r="A362">
        <v>736</v>
      </c>
      <c r="B362" t="s">
        <v>131</v>
      </c>
      <c r="C362">
        <v>130</v>
      </c>
      <c r="D362">
        <v>53</v>
      </c>
      <c r="E362">
        <v>77</v>
      </c>
      <c r="F362" s="18" t="s">
        <v>995</v>
      </c>
      <c r="H362" t="str">
        <f>IF(B362=$H$1,COUNT($H$2:H363)+1," ")</f>
        <v xml:space="preserve"> </v>
      </c>
      <c r="L362">
        <v>361</v>
      </c>
      <c r="M362">
        <v>50</v>
      </c>
      <c r="N362">
        <v>71</v>
      </c>
      <c r="O362" s="18" t="s">
        <v>668</v>
      </c>
      <c r="P362">
        <f t="shared" si="15"/>
        <v>121</v>
      </c>
      <c r="Q362" t="str">
        <f>INDEX(Elemek!$B$2:$B$113,MATCH(M362,Elemek!$C$2:$C$113,0))</f>
        <v>Sn</v>
      </c>
      <c r="R362" t="str">
        <f t="shared" si="16"/>
        <v>8.808499</v>
      </c>
      <c r="S362" t="str">
        <f t="shared" si="17"/>
        <v>8.808499</v>
      </c>
    </row>
    <row r="363" spans="1:19" x14ac:dyDescent="0.25">
      <c r="A363">
        <v>551</v>
      </c>
      <c r="B363" t="s">
        <v>131</v>
      </c>
      <c r="C363">
        <v>131</v>
      </c>
      <c r="D363">
        <v>53</v>
      </c>
      <c r="E363">
        <v>78</v>
      </c>
      <c r="F363" s="18" t="s">
        <v>839</v>
      </c>
      <c r="H363" t="str">
        <f>IF(B363=$H$1,COUNT($H$2:H364)+1," ")</f>
        <v xml:space="preserve"> </v>
      </c>
      <c r="L363">
        <v>362</v>
      </c>
      <c r="M363">
        <v>63</v>
      </c>
      <c r="N363">
        <v>87</v>
      </c>
      <c r="O363" s="18" t="s">
        <v>669</v>
      </c>
      <c r="P363">
        <f t="shared" si="15"/>
        <v>150</v>
      </c>
      <c r="Q363" t="str">
        <f>INDEX(Elemek!$B$2:$B$113,MATCH(M363,Elemek!$C$2:$C$113,0))</f>
        <v>Eu</v>
      </c>
      <c r="R363" t="str">
        <f t="shared" si="16"/>
        <v>8.569974</v>
      </c>
      <c r="S363" t="str">
        <f t="shared" si="17"/>
        <v>8.569974</v>
      </c>
    </row>
    <row r="364" spans="1:19" x14ac:dyDescent="0.25">
      <c r="A364">
        <v>614</v>
      </c>
      <c r="B364" t="s">
        <v>36</v>
      </c>
      <c r="C364">
        <v>128</v>
      </c>
      <c r="D364">
        <v>56</v>
      </c>
      <c r="E364">
        <v>72</v>
      </c>
      <c r="F364" s="18" t="s">
        <v>894</v>
      </c>
      <c r="H364" t="str">
        <f>IF(B364=$H$1,COUNT($H$2:H365)+1," ")</f>
        <v xml:space="preserve"> </v>
      </c>
      <c r="L364">
        <v>363</v>
      </c>
      <c r="M364">
        <v>18</v>
      </c>
      <c r="N364">
        <v>24</v>
      </c>
      <c r="O364" s="18" t="s">
        <v>670</v>
      </c>
      <c r="P364">
        <f t="shared" si="15"/>
        <v>42</v>
      </c>
      <c r="Q364" t="str">
        <f>INDEX(Elemek!$B$2:$B$113,MATCH(M364,Elemek!$C$2:$C$113,0))</f>
        <v>Ar</v>
      </c>
      <c r="R364" t="str">
        <f t="shared" si="16"/>
        <v>8.890923</v>
      </c>
      <c r="S364" t="str">
        <f t="shared" si="17"/>
        <v>8.890923</v>
      </c>
    </row>
    <row r="365" spans="1:19" x14ac:dyDescent="0.25">
      <c r="A365">
        <v>106</v>
      </c>
      <c r="B365" t="s">
        <v>36</v>
      </c>
      <c r="C365">
        <v>134</v>
      </c>
      <c r="D365">
        <v>56</v>
      </c>
      <c r="E365">
        <v>78</v>
      </c>
      <c r="F365" s="18" t="s">
        <v>413</v>
      </c>
      <c r="H365" t="str">
        <f>IF(B365=$H$1,COUNT($H$2:H366)+1," ")</f>
        <v xml:space="preserve"> </v>
      </c>
      <c r="L365">
        <v>364</v>
      </c>
      <c r="M365">
        <v>83</v>
      </c>
      <c r="N365">
        <v>124</v>
      </c>
      <c r="O365" s="18" t="s">
        <v>671</v>
      </c>
      <c r="P365">
        <f t="shared" si="15"/>
        <v>207</v>
      </c>
      <c r="Q365" t="str">
        <f>INDEX(Elemek!$B$2:$B$113,MATCH(M365,Elemek!$C$2:$C$113,0))</f>
        <v>Bi</v>
      </c>
      <c r="R365" t="str">
        <f t="shared" si="16"/>
        <v>8.168209</v>
      </c>
      <c r="S365" t="str">
        <f t="shared" si="17"/>
        <v>8.168209</v>
      </c>
    </row>
    <row r="366" spans="1:19" x14ac:dyDescent="0.25">
      <c r="A366">
        <v>107</v>
      </c>
      <c r="B366" t="s">
        <v>61</v>
      </c>
      <c r="C366">
        <v>133</v>
      </c>
      <c r="D366">
        <v>55</v>
      </c>
      <c r="E366">
        <v>78</v>
      </c>
      <c r="F366" s="18" t="s">
        <v>414</v>
      </c>
      <c r="H366" t="str">
        <f>IF(B366=$H$1,COUNT($H$2:H367)+1," ")</f>
        <v xml:space="preserve"> </v>
      </c>
      <c r="L366">
        <v>365</v>
      </c>
      <c r="M366">
        <v>72</v>
      </c>
      <c r="N366">
        <v>106</v>
      </c>
      <c r="O366" s="18"/>
      <c r="P366">
        <f t="shared" si="15"/>
        <v>178</v>
      </c>
      <c r="Q366" t="str">
        <f>INDEX(Elemek!$B$2:$B$113,MATCH(M366,Elemek!$C$2:$C$113,0))</f>
        <v>Hf</v>
      </c>
      <c r="R366" t="e">
        <f t="shared" si="16"/>
        <v>#DIV/0!</v>
      </c>
      <c r="S366" t="e">
        <f t="shared" si="17"/>
        <v>#DIV/0!</v>
      </c>
    </row>
    <row r="367" spans="1:19" x14ac:dyDescent="0.25">
      <c r="A367">
        <v>532</v>
      </c>
      <c r="B367" t="s">
        <v>36</v>
      </c>
      <c r="C367">
        <v>131</v>
      </c>
      <c r="D367">
        <v>56</v>
      </c>
      <c r="E367">
        <v>75</v>
      </c>
      <c r="F367" s="18" t="s">
        <v>823</v>
      </c>
      <c r="H367" t="str">
        <f>IF(B367=$H$1,COUNT($H$2:H368)+1," ")</f>
        <v xml:space="preserve"> </v>
      </c>
      <c r="L367">
        <v>366</v>
      </c>
      <c r="M367">
        <v>55</v>
      </c>
      <c r="N367">
        <v>82</v>
      </c>
      <c r="O367" s="18" t="s">
        <v>672</v>
      </c>
      <c r="P367">
        <f t="shared" si="15"/>
        <v>137</v>
      </c>
      <c r="Q367" t="str">
        <f>INDEX(Elemek!$B$2:$B$113,MATCH(M367,Elemek!$C$2:$C$113,0))</f>
        <v>Cs</v>
      </c>
      <c r="R367" t="str">
        <f t="shared" si="16"/>
        <v>8.703047</v>
      </c>
      <c r="S367" t="str">
        <f t="shared" si="17"/>
        <v>8.703047</v>
      </c>
    </row>
    <row r="368" spans="1:19" x14ac:dyDescent="0.25">
      <c r="A368">
        <v>767</v>
      </c>
      <c r="B368" t="s">
        <v>20</v>
      </c>
      <c r="C368">
        <v>128</v>
      </c>
      <c r="D368">
        <v>51</v>
      </c>
      <c r="E368">
        <v>77</v>
      </c>
      <c r="F368" s="18" t="s">
        <v>1018</v>
      </c>
      <c r="H368" t="str">
        <f>IF(B368=$H$1,COUNT($H$2:H369)+1," ")</f>
        <v xml:space="preserve"> </v>
      </c>
      <c r="L368">
        <v>367</v>
      </c>
      <c r="M368">
        <v>96</v>
      </c>
      <c r="N368">
        <v>147</v>
      </c>
      <c r="O368" s="18" t="s">
        <v>673</v>
      </c>
      <c r="P368">
        <f t="shared" si="15"/>
        <v>243</v>
      </c>
      <c r="Q368" t="str">
        <f>INDEX(Elemek!$B$2:$B$113,MATCH(M368,Elemek!$C$2:$C$113,0))</f>
        <v>Cm</v>
      </c>
      <c r="R368" t="str">
        <f t="shared" si="16"/>
        <v>7.836004</v>
      </c>
      <c r="S368" t="str">
        <f t="shared" si="17"/>
        <v>7.836004</v>
      </c>
    </row>
    <row r="369" spans="1:19" x14ac:dyDescent="0.25">
      <c r="A369">
        <v>558</v>
      </c>
      <c r="B369" t="s">
        <v>61</v>
      </c>
      <c r="C369">
        <v>132</v>
      </c>
      <c r="D369">
        <v>55</v>
      </c>
      <c r="E369">
        <v>77</v>
      </c>
      <c r="F369" s="18" t="s">
        <v>845</v>
      </c>
      <c r="H369" t="str">
        <f>IF(B369=$H$1,COUNT($H$2:H370)+1," ")</f>
        <v xml:space="preserve"> </v>
      </c>
      <c r="L369">
        <v>368</v>
      </c>
      <c r="M369">
        <v>38</v>
      </c>
      <c r="N369">
        <v>52</v>
      </c>
      <c r="O369" s="18" t="s">
        <v>674</v>
      </c>
      <c r="P369">
        <f t="shared" si="15"/>
        <v>90</v>
      </c>
      <c r="Q369" t="str">
        <f>INDEX(Elemek!$B$2:$B$113,MATCH(M369,Elemek!$C$2:$C$113,0))</f>
        <v>Sr</v>
      </c>
      <c r="R369" t="str">
        <f t="shared" si="16"/>
        <v>9.026239</v>
      </c>
      <c r="S369" t="str">
        <f t="shared" si="17"/>
        <v>9.026239</v>
      </c>
    </row>
    <row r="370" spans="1:19" x14ac:dyDescent="0.25">
      <c r="A370">
        <v>899</v>
      </c>
      <c r="B370" t="s">
        <v>36</v>
      </c>
      <c r="C370">
        <v>129</v>
      </c>
      <c r="D370">
        <v>56</v>
      </c>
      <c r="E370">
        <v>73</v>
      </c>
      <c r="F370" s="18" t="s">
        <v>1128</v>
      </c>
      <c r="H370" t="str">
        <f>IF(B370=$H$1,COUNT($H$2:H371)+1," ")</f>
        <v xml:space="preserve"> </v>
      </c>
      <c r="L370">
        <v>369</v>
      </c>
      <c r="M370">
        <v>82</v>
      </c>
      <c r="N370">
        <v>128</v>
      </c>
      <c r="O370" s="18" t="s">
        <v>675</v>
      </c>
      <c r="P370">
        <f t="shared" si="15"/>
        <v>210</v>
      </c>
      <c r="Q370" t="str">
        <f>INDEX(Elemek!$B$2:$B$113,MATCH(M370,Elemek!$C$2:$C$113,0))</f>
        <v>Pb</v>
      </c>
      <c r="R370" t="str">
        <f t="shared" si="16"/>
        <v>8.141462</v>
      </c>
      <c r="S370" t="str">
        <f t="shared" si="17"/>
        <v>8.141462</v>
      </c>
    </row>
    <row r="371" spans="1:19" x14ac:dyDescent="0.25">
      <c r="A371">
        <v>569</v>
      </c>
      <c r="B371" t="s">
        <v>302</v>
      </c>
      <c r="C371">
        <v>133</v>
      </c>
      <c r="D371">
        <v>54</v>
      </c>
      <c r="E371">
        <v>79</v>
      </c>
      <c r="F371" s="18" t="s">
        <v>855</v>
      </c>
      <c r="H371" t="str">
        <f>IF(B371=$H$1,COUNT($H$2:H372)+1," ")</f>
        <v xml:space="preserve"> </v>
      </c>
      <c r="L371">
        <v>370</v>
      </c>
      <c r="M371">
        <v>89</v>
      </c>
      <c r="N371">
        <v>138</v>
      </c>
      <c r="O371" s="18" t="s">
        <v>676</v>
      </c>
      <c r="P371">
        <f t="shared" si="15"/>
        <v>227</v>
      </c>
      <c r="Q371" t="str">
        <f>INDEX(Elemek!$B$2:$B$113,MATCH(M371,Elemek!$C$2:$C$113,0))</f>
        <v>Ac</v>
      </c>
      <c r="R371" t="str">
        <f t="shared" si="16"/>
        <v>7.957447</v>
      </c>
      <c r="S371" t="str">
        <f t="shared" si="17"/>
        <v>7.957447</v>
      </c>
    </row>
    <row r="372" spans="1:19" x14ac:dyDescent="0.25">
      <c r="A372">
        <v>380</v>
      </c>
      <c r="B372" t="s">
        <v>36</v>
      </c>
      <c r="C372">
        <v>133</v>
      </c>
      <c r="D372">
        <v>56</v>
      </c>
      <c r="E372">
        <v>77</v>
      </c>
      <c r="F372" s="18" t="s">
        <v>684</v>
      </c>
      <c r="H372" t="str">
        <f>IF(B372=$H$1,COUNT($H$2:H373)+1," ")</f>
        <v xml:space="preserve"> </v>
      </c>
      <c r="L372">
        <v>371</v>
      </c>
      <c r="M372">
        <v>96</v>
      </c>
      <c r="N372">
        <v>148</v>
      </c>
      <c r="O372" s="18" t="s">
        <v>677</v>
      </c>
      <c r="P372">
        <f t="shared" si="15"/>
        <v>244</v>
      </c>
      <c r="Q372" t="str">
        <f>INDEX(Elemek!$B$2:$B$113,MATCH(M372,Elemek!$C$2:$C$113,0))</f>
        <v>Cm</v>
      </c>
      <c r="R372" t="str">
        <f t="shared" si="16"/>
        <v>7.831763</v>
      </c>
      <c r="S372" t="str">
        <f t="shared" si="17"/>
        <v>7.831763</v>
      </c>
    </row>
    <row r="373" spans="1:19" x14ac:dyDescent="0.25">
      <c r="A373">
        <v>196</v>
      </c>
      <c r="B373" t="s">
        <v>302</v>
      </c>
      <c r="C373">
        <v>134</v>
      </c>
      <c r="D373">
        <v>54</v>
      </c>
      <c r="E373">
        <v>80</v>
      </c>
      <c r="F373" s="18" t="s">
        <v>503</v>
      </c>
      <c r="H373" t="str">
        <f>IF(B373=$H$1,COUNT($H$2:H374)+1," ")</f>
        <v xml:space="preserve"> </v>
      </c>
      <c r="L373">
        <v>372</v>
      </c>
      <c r="M373">
        <v>61</v>
      </c>
      <c r="N373">
        <v>84</v>
      </c>
      <c r="O373" s="18" t="s">
        <v>678</v>
      </c>
      <c r="P373">
        <f t="shared" si="15"/>
        <v>145</v>
      </c>
      <c r="Q373" t="str">
        <f>INDEX(Elemek!$B$2:$B$113,MATCH(M373,Elemek!$C$2:$C$113,0))</f>
        <v>Pm</v>
      </c>
      <c r="R373" t="str">
        <f t="shared" si="16"/>
        <v>8.631838</v>
      </c>
      <c r="S373" t="str">
        <f t="shared" si="17"/>
        <v>8.631838</v>
      </c>
    </row>
    <row r="374" spans="1:19" x14ac:dyDescent="0.25">
      <c r="A374">
        <v>906</v>
      </c>
      <c r="B374" t="s">
        <v>207</v>
      </c>
      <c r="C374">
        <v>127</v>
      </c>
      <c r="D374">
        <v>50</v>
      </c>
      <c r="E374">
        <v>77</v>
      </c>
      <c r="F374" s="18" t="s">
        <v>1133</v>
      </c>
      <c r="H374" t="str">
        <f>IF(B374=$H$1,COUNT($H$2:H375)+1," ")</f>
        <v xml:space="preserve"> </v>
      </c>
      <c r="L374">
        <v>373</v>
      </c>
      <c r="M374">
        <v>41</v>
      </c>
      <c r="N374">
        <v>52</v>
      </c>
      <c r="O374" s="18"/>
      <c r="P374">
        <f t="shared" si="15"/>
        <v>93</v>
      </c>
      <c r="Q374" t="str">
        <f>INDEX(Elemek!$B$2:$B$113,MATCH(M374,Elemek!$C$2:$C$113,0))</f>
        <v>Nb</v>
      </c>
      <c r="R374" t="e">
        <f t="shared" si="16"/>
        <v>#DIV/0!</v>
      </c>
      <c r="S374" t="e">
        <f t="shared" si="17"/>
        <v>#DIV/0!</v>
      </c>
    </row>
    <row r="375" spans="1:19" x14ac:dyDescent="0.25">
      <c r="A375">
        <v>933</v>
      </c>
      <c r="B375" t="s">
        <v>36</v>
      </c>
      <c r="C375">
        <v>126</v>
      </c>
      <c r="D375">
        <v>56</v>
      </c>
      <c r="E375">
        <v>70</v>
      </c>
      <c r="F375" s="18" t="s">
        <v>1156</v>
      </c>
      <c r="H375" t="str">
        <f>IF(B375=$H$1,COUNT($H$2:H376)+1," ")</f>
        <v xml:space="preserve"> </v>
      </c>
      <c r="L375">
        <v>374</v>
      </c>
      <c r="M375">
        <v>94</v>
      </c>
      <c r="N375">
        <v>147</v>
      </c>
      <c r="O375" s="18" t="s">
        <v>679</v>
      </c>
      <c r="P375">
        <f t="shared" si="15"/>
        <v>241</v>
      </c>
      <c r="Q375" t="str">
        <f>INDEX(Elemek!$B$2:$B$113,MATCH(M375,Elemek!$C$2:$C$113,0))</f>
        <v>Pu</v>
      </c>
      <c r="R375" t="str">
        <f t="shared" si="16"/>
        <v>7.85159</v>
      </c>
      <c r="S375" t="str">
        <f t="shared" si="17"/>
        <v>7.85159</v>
      </c>
    </row>
    <row r="376" spans="1:19" x14ac:dyDescent="0.25">
      <c r="A376">
        <v>829</v>
      </c>
      <c r="B376" t="s">
        <v>20</v>
      </c>
      <c r="C376">
        <v>129</v>
      </c>
      <c r="D376">
        <v>51</v>
      </c>
      <c r="E376">
        <v>78</v>
      </c>
      <c r="F376" s="18" t="s">
        <v>1070</v>
      </c>
      <c r="H376" t="str">
        <f>IF(B376=$H$1,COUNT($H$2:H377)+1," ")</f>
        <v xml:space="preserve"> </v>
      </c>
      <c r="L376">
        <v>375</v>
      </c>
      <c r="M376">
        <v>48</v>
      </c>
      <c r="N376">
        <v>65</v>
      </c>
      <c r="O376" s="18"/>
      <c r="P376">
        <f t="shared" si="15"/>
        <v>113</v>
      </c>
      <c r="Q376" t="str">
        <f>INDEX(Elemek!$B$2:$B$113,MATCH(M376,Elemek!$C$2:$C$113,0))</f>
        <v>Cd</v>
      </c>
      <c r="R376" t="e">
        <f t="shared" si="16"/>
        <v>#DIV/0!</v>
      </c>
      <c r="S376" t="e">
        <f t="shared" si="17"/>
        <v>#DIV/0!</v>
      </c>
    </row>
    <row r="377" spans="1:19" x14ac:dyDescent="0.25">
      <c r="A377">
        <v>108</v>
      </c>
      <c r="B377" t="s">
        <v>36</v>
      </c>
      <c r="C377">
        <v>136</v>
      </c>
      <c r="D377">
        <v>56</v>
      </c>
      <c r="E377">
        <v>80</v>
      </c>
      <c r="F377" s="18" t="s">
        <v>415</v>
      </c>
      <c r="H377" t="str">
        <f>IF(B377=$H$1,COUNT($H$2:H378)+1," ")</f>
        <v xml:space="preserve"> </v>
      </c>
      <c r="L377">
        <v>376</v>
      </c>
      <c r="M377">
        <v>63</v>
      </c>
      <c r="N377">
        <v>89</v>
      </c>
      <c r="O377" s="18" t="s">
        <v>680</v>
      </c>
      <c r="P377">
        <f t="shared" si="15"/>
        <v>152</v>
      </c>
      <c r="Q377" t="str">
        <f>INDEX(Elemek!$B$2:$B$113,MATCH(M377,Elemek!$C$2:$C$113,0))</f>
        <v>Eu</v>
      </c>
      <c r="R377" t="str">
        <f t="shared" si="16"/>
        <v>8.550897</v>
      </c>
      <c r="S377" t="str">
        <f t="shared" si="17"/>
        <v>8.550897</v>
      </c>
    </row>
    <row r="378" spans="1:19" x14ac:dyDescent="0.25">
      <c r="A378">
        <v>109</v>
      </c>
      <c r="B378" t="s">
        <v>36</v>
      </c>
      <c r="C378">
        <v>135</v>
      </c>
      <c r="D378">
        <v>56</v>
      </c>
      <c r="E378">
        <v>79</v>
      </c>
      <c r="F378" s="18" t="s">
        <v>416</v>
      </c>
      <c r="H378" t="str">
        <f>IF(B378=$H$1,COUNT($H$2:H379)+1," ")</f>
        <v xml:space="preserve"> </v>
      </c>
      <c r="L378">
        <v>377</v>
      </c>
      <c r="M378">
        <v>98</v>
      </c>
      <c r="N378">
        <v>152</v>
      </c>
      <c r="O378" s="18" t="s">
        <v>681</v>
      </c>
      <c r="P378">
        <f t="shared" si="15"/>
        <v>250</v>
      </c>
      <c r="Q378" t="str">
        <f>INDEX(Elemek!$B$2:$B$113,MATCH(M378,Elemek!$C$2:$C$113,0))</f>
        <v>Cf</v>
      </c>
      <c r="R378" t="str">
        <f t="shared" si="16"/>
        <v>7.78664</v>
      </c>
      <c r="S378" t="str">
        <f t="shared" si="17"/>
        <v>7.78664</v>
      </c>
    </row>
    <row r="379" spans="1:19" x14ac:dyDescent="0.25">
      <c r="A379">
        <v>896</v>
      </c>
      <c r="B379" t="s">
        <v>131</v>
      </c>
      <c r="C379">
        <v>132</v>
      </c>
      <c r="D379">
        <v>53</v>
      </c>
      <c r="E379">
        <v>79</v>
      </c>
      <c r="F379" s="18" t="s">
        <v>1125</v>
      </c>
      <c r="H379" t="str">
        <f>IF(B379=$H$1,COUNT($H$2:H380)+1," ")</f>
        <v xml:space="preserve"> </v>
      </c>
      <c r="L379">
        <v>378</v>
      </c>
      <c r="M379">
        <v>1</v>
      </c>
      <c r="N379">
        <v>2</v>
      </c>
      <c r="O379" s="18" t="s">
        <v>682</v>
      </c>
      <c r="P379">
        <f t="shared" si="15"/>
        <v>3</v>
      </c>
      <c r="Q379" t="str">
        <f>INDEX(Elemek!$B$2:$B$113,MATCH(M379,Elemek!$C$2:$C$113,0))</f>
        <v>H</v>
      </c>
      <c r="R379" t="str">
        <f t="shared" si="16"/>
        <v>3.087994</v>
      </c>
      <c r="S379" t="str">
        <f t="shared" si="17"/>
        <v>3.087994</v>
      </c>
    </row>
    <row r="380" spans="1:19" x14ac:dyDescent="0.25">
      <c r="A380">
        <v>662</v>
      </c>
      <c r="B380" t="s">
        <v>279</v>
      </c>
      <c r="C380">
        <v>131</v>
      </c>
      <c r="D380">
        <v>52</v>
      </c>
      <c r="E380">
        <v>79</v>
      </c>
      <c r="F380" s="18" t="s">
        <v>937</v>
      </c>
      <c r="H380" t="str">
        <f>IF(B380=$H$1,COUNT($H$2:H381)+1," ")</f>
        <v xml:space="preserve"> </v>
      </c>
      <c r="L380">
        <v>379</v>
      </c>
      <c r="M380">
        <v>36</v>
      </c>
      <c r="N380">
        <v>49</v>
      </c>
      <c r="O380" s="18" t="s">
        <v>683</v>
      </c>
      <c r="P380">
        <f t="shared" si="15"/>
        <v>85</v>
      </c>
      <c r="Q380" t="str">
        <f>INDEX(Elemek!$B$2:$B$113,MATCH(M380,Elemek!$C$2:$C$113,0))</f>
        <v>Kr</v>
      </c>
      <c r="R380" t="str">
        <f t="shared" si="16"/>
        <v>9.029919</v>
      </c>
      <c r="S380" t="str">
        <f t="shared" si="17"/>
        <v>9.029919</v>
      </c>
    </row>
    <row r="381" spans="1:19" x14ac:dyDescent="0.25">
      <c r="A381">
        <v>306</v>
      </c>
      <c r="B381" t="s">
        <v>61</v>
      </c>
      <c r="C381">
        <v>135</v>
      </c>
      <c r="D381">
        <v>55</v>
      </c>
      <c r="E381">
        <v>80</v>
      </c>
      <c r="F381" s="18" t="s">
        <v>613</v>
      </c>
      <c r="H381" t="str">
        <f>IF(B381=$H$1,COUNT($H$2:H382)+1," ")</f>
        <v xml:space="preserve"> </v>
      </c>
      <c r="L381">
        <v>380</v>
      </c>
      <c r="M381">
        <v>56</v>
      </c>
      <c r="N381">
        <v>77</v>
      </c>
      <c r="O381" s="18" t="s">
        <v>684</v>
      </c>
      <c r="P381">
        <f t="shared" si="15"/>
        <v>133</v>
      </c>
      <c r="Q381" t="str">
        <f>INDEX(Elemek!$B$2:$B$113,MATCH(M381,Elemek!$C$2:$C$113,0))</f>
        <v>Ba</v>
      </c>
      <c r="R381" t="str">
        <f t="shared" si="16"/>
        <v>8.729624</v>
      </c>
      <c r="S381" t="str">
        <f t="shared" si="17"/>
        <v>8.729624</v>
      </c>
    </row>
    <row r="382" spans="1:19" x14ac:dyDescent="0.25">
      <c r="A382">
        <v>398</v>
      </c>
      <c r="B382" t="s">
        <v>61</v>
      </c>
      <c r="C382">
        <v>134</v>
      </c>
      <c r="D382">
        <v>55</v>
      </c>
      <c r="E382">
        <v>79</v>
      </c>
      <c r="F382" s="18" t="s">
        <v>702</v>
      </c>
      <c r="H382" t="str">
        <f>IF(B382=$H$1,COUNT($H$2:H383)+1," ")</f>
        <v xml:space="preserve"> </v>
      </c>
      <c r="L382">
        <v>381</v>
      </c>
      <c r="M382">
        <v>63</v>
      </c>
      <c r="N382">
        <v>91</v>
      </c>
      <c r="O382" s="18" t="s">
        <v>685</v>
      </c>
      <c r="P382">
        <f t="shared" si="15"/>
        <v>154</v>
      </c>
      <c r="Q382" t="str">
        <f>INDEX(Elemek!$B$2:$B$113,MATCH(M382,Elemek!$C$2:$C$113,0))</f>
        <v>Eu</v>
      </c>
      <c r="R382" t="str">
        <f t="shared" si="16"/>
        <v>8.5372</v>
      </c>
      <c r="S382" t="str">
        <f t="shared" si="17"/>
        <v>8.5372</v>
      </c>
    </row>
    <row r="383" spans="1:19" x14ac:dyDescent="0.25">
      <c r="A383">
        <v>692</v>
      </c>
      <c r="B383" t="s">
        <v>131</v>
      </c>
      <c r="C383">
        <v>133</v>
      </c>
      <c r="D383">
        <v>53</v>
      </c>
      <c r="E383">
        <v>80</v>
      </c>
      <c r="F383" s="18" t="s">
        <v>959</v>
      </c>
      <c r="H383" t="str">
        <f>IF(B383=$H$1,COUNT($H$2:H384)+1," ")</f>
        <v xml:space="preserve"> </v>
      </c>
      <c r="L383">
        <v>382</v>
      </c>
      <c r="M383">
        <v>76</v>
      </c>
      <c r="N383">
        <v>118</v>
      </c>
      <c r="O383" s="18" t="s">
        <v>686</v>
      </c>
      <c r="P383">
        <f t="shared" si="15"/>
        <v>194</v>
      </c>
      <c r="Q383" t="str">
        <f>INDEX(Elemek!$B$2:$B$113,MATCH(M383,Elemek!$C$2:$C$113,0))</f>
        <v>Os</v>
      </c>
      <c r="R383" t="str">
        <f t="shared" si="16"/>
        <v>8.238508</v>
      </c>
      <c r="S383" t="str">
        <f t="shared" si="17"/>
        <v>8.238508</v>
      </c>
    </row>
    <row r="384" spans="1:19" x14ac:dyDescent="0.25">
      <c r="A384">
        <v>596</v>
      </c>
      <c r="B384" t="s">
        <v>279</v>
      </c>
      <c r="C384">
        <v>132</v>
      </c>
      <c r="D384">
        <v>52</v>
      </c>
      <c r="E384">
        <v>80</v>
      </c>
      <c r="F384" s="18" t="s">
        <v>876</v>
      </c>
      <c r="H384" t="str">
        <f>IF(B384=$H$1,COUNT($H$2:H385)+1," ")</f>
        <v xml:space="preserve"> </v>
      </c>
      <c r="L384">
        <v>383</v>
      </c>
      <c r="M384">
        <v>88</v>
      </c>
      <c r="N384">
        <v>140</v>
      </c>
      <c r="O384" s="18" t="s">
        <v>687</v>
      </c>
      <c r="P384">
        <f t="shared" si="15"/>
        <v>228</v>
      </c>
      <c r="Q384" t="str">
        <f>INDEX(Elemek!$B$2:$B$113,MATCH(M384,Elemek!$C$2:$C$113,0))</f>
        <v>Ra</v>
      </c>
      <c r="R384" t="str">
        <f t="shared" si="16"/>
        <v>7.94439</v>
      </c>
      <c r="S384" t="str">
        <f t="shared" si="17"/>
        <v>7.94439</v>
      </c>
    </row>
    <row r="385" spans="1:19" x14ac:dyDescent="0.25">
      <c r="A385">
        <v>838</v>
      </c>
      <c r="B385" t="s">
        <v>160</v>
      </c>
      <c r="C385">
        <v>133</v>
      </c>
      <c r="D385">
        <v>57</v>
      </c>
      <c r="E385">
        <v>76</v>
      </c>
      <c r="F385" s="18" t="s">
        <v>1078</v>
      </c>
      <c r="H385" t="str">
        <f>IF(B385=$H$1,COUNT($H$2:H386)+1," ")</f>
        <v xml:space="preserve"> </v>
      </c>
      <c r="L385">
        <v>384</v>
      </c>
      <c r="M385">
        <v>61</v>
      </c>
      <c r="N385">
        <v>85</v>
      </c>
      <c r="O385" s="18" t="s">
        <v>688</v>
      </c>
      <c r="P385">
        <f t="shared" si="15"/>
        <v>146</v>
      </c>
      <c r="Q385" t="str">
        <f>INDEX(Elemek!$B$2:$B$113,MATCH(M385,Elemek!$C$2:$C$113,0))</f>
        <v>Pm</v>
      </c>
      <c r="R385" t="str">
        <f t="shared" si="16"/>
        <v>8.615574</v>
      </c>
      <c r="S385" t="str">
        <f t="shared" si="17"/>
        <v>8.615574</v>
      </c>
    </row>
    <row r="386" spans="1:19" x14ac:dyDescent="0.25">
      <c r="A386">
        <v>698</v>
      </c>
      <c r="B386" t="s">
        <v>160</v>
      </c>
      <c r="C386">
        <v>135</v>
      </c>
      <c r="D386">
        <v>57</v>
      </c>
      <c r="E386">
        <v>78</v>
      </c>
      <c r="F386" s="18" t="s">
        <v>964</v>
      </c>
      <c r="H386" t="str">
        <f>IF(B386=$H$1,COUNT($H$2:H387)+1," ")</f>
        <v xml:space="preserve"> </v>
      </c>
      <c r="L386">
        <v>385</v>
      </c>
      <c r="M386">
        <v>27</v>
      </c>
      <c r="N386">
        <v>33</v>
      </c>
      <c r="O386" s="18" t="s">
        <v>689</v>
      </c>
      <c r="P386">
        <f t="shared" si="15"/>
        <v>60</v>
      </c>
      <c r="Q386" t="str">
        <f>INDEX(Elemek!$B$2:$B$113,MATCH(M386,Elemek!$C$2:$C$113,0))</f>
        <v>Co</v>
      </c>
      <c r="R386" t="str">
        <f t="shared" si="16"/>
        <v>9.098811</v>
      </c>
      <c r="S386" t="str">
        <f t="shared" si="17"/>
        <v>9.098811</v>
      </c>
    </row>
    <row r="387" spans="1:19" x14ac:dyDescent="0.25">
      <c r="A387">
        <v>110</v>
      </c>
      <c r="B387" t="s">
        <v>36</v>
      </c>
      <c r="C387">
        <v>137</v>
      </c>
      <c r="D387">
        <v>56</v>
      </c>
      <c r="E387">
        <v>81</v>
      </c>
      <c r="F387" s="18" t="s">
        <v>417</v>
      </c>
      <c r="H387" t="str">
        <f>IF(B387=$H$1,COUNT($H$2:H388)+1," ")</f>
        <v xml:space="preserve"> </v>
      </c>
      <c r="L387">
        <v>386</v>
      </c>
      <c r="M387">
        <v>63</v>
      </c>
      <c r="N387">
        <v>92</v>
      </c>
      <c r="O387" s="18" t="s">
        <v>690</v>
      </c>
      <c r="P387">
        <f t="shared" ref="P387:P450" si="18">N387+M387</f>
        <v>155</v>
      </c>
      <c r="Q387" t="str">
        <f>INDEX(Elemek!$B$2:$B$113,MATCH(M387,Elemek!$C$2:$C$113,0))</f>
        <v>Eu</v>
      </c>
      <c r="R387" t="str">
        <f t="shared" ref="R387:R450" si="19">IF(NOT(ISBLANK(O387)),O387,ROUNDDOWN(AVERAGE($O$2:$O$990),2))</f>
        <v>8.534711</v>
      </c>
      <c r="S387" t="str">
        <f t="shared" ref="S387:S450" si="20">IF(ISBLANK(O387),ROUNDDOWN(AVERAGEIF($M$2:$M$990,M387,$O$2:$O$990),2),O387)</f>
        <v>8.534711</v>
      </c>
    </row>
    <row r="388" spans="1:19" x14ac:dyDescent="0.25">
      <c r="A388">
        <v>765</v>
      </c>
      <c r="B388" t="s">
        <v>302</v>
      </c>
      <c r="C388">
        <v>135</v>
      </c>
      <c r="D388">
        <v>54</v>
      </c>
      <c r="E388">
        <v>81</v>
      </c>
      <c r="F388" s="18" t="s">
        <v>1017</v>
      </c>
      <c r="H388" t="str">
        <f>IF(B388=$H$1,COUNT($H$2:H389)+1," ")</f>
        <v xml:space="preserve"> </v>
      </c>
      <c r="L388">
        <v>387</v>
      </c>
      <c r="M388">
        <v>81</v>
      </c>
      <c r="N388">
        <v>123</v>
      </c>
      <c r="O388" s="18" t="s">
        <v>691</v>
      </c>
      <c r="P388">
        <f t="shared" si="18"/>
        <v>204</v>
      </c>
      <c r="Q388" t="str">
        <f>INDEX(Elemek!$B$2:$B$113,MATCH(M388,Elemek!$C$2:$C$113,0))</f>
        <v>Tl</v>
      </c>
      <c r="R388" t="str">
        <f t="shared" si="19"/>
        <v>8.190671</v>
      </c>
      <c r="S388" t="str">
        <f t="shared" si="20"/>
        <v>8.190671</v>
      </c>
    </row>
    <row r="389" spans="1:19" x14ac:dyDescent="0.25">
      <c r="A389">
        <v>111</v>
      </c>
      <c r="B389" t="s">
        <v>36</v>
      </c>
      <c r="C389">
        <v>138</v>
      </c>
      <c r="D389">
        <v>56</v>
      </c>
      <c r="E389">
        <v>82</v>
      </c>
      <c r="F389" s="18" t="s">
        <v>418</v>
      </c>
      <c r="H389" t="str">
        <f>IF(B389=$H$1,COUNT($H$2:H390)+1," ")</f>
        <v xml:space="preserve"> </v>
      </c>
      <c r="L389">
        <v>388</v>
      </c>
      <c r="M389">
        <v>71</v>
      </c>
      <c r="N389">
        <v>103</v>
      </c>
      <c r="O389" s="18" t="s">
        <v>692</v>
      </c>
      <c r="P389">
        <f t="shared" si="18"/>
        <v>174</v>
      </c>
      <c r="Q389" t="str">
        <f>INDEX(Elemek!$B$2:$B$113,MATCH(M389,Elemek!$C$2:$C$113,0))</f>
        <v>Lu</v>
      </c>
      <c r="R389" t="str">
        <f t="shared" si="19"/>
        <v>8.390726</v>
      </c>
      <c r="S389" t="str">
        <f t="shared" si="20"/>
        <v>8.390726</v>
      </c>
    </row>
    <row r="390" spans="1:19" x14ac:dyDescent="0.25">
      <c r="A390">
        <v>112</v>
      </c>
      <c r="B390" t="s">
        <v>14</v>
      </c>
      <c r="C390">
        <v>27</v>
      </c>
      <c r="D390">
        <v>13</v>
      </c>
      <c r="E390">
        <v>14</v>
      </c>
      <c r="F390" s="18" t="s">
        <v>419</v>
      </c>
      <c r="H390" t="str">
        <f>IF(B390=$H$1,COUNT($H$2:H391)+1," ")</f>
        <v xml:space="preserve"> </v>
      </c>
      <c r="L390">
        <v>389</v>
      </c>
      <c r="M390">
        <v>45</v>
      </c>
      <c r="N390">
        <v>56</v>
      </c>
      <c r="O390" s="18" t="s">
        <v>693</v>
      </c>
      <c r="P390">
        <f t="shared" si="18"/>
        <v>101</v>
      </c>
      <c r="Q390" t="str">
        <f>INDEX(Elemek!$B$2:$B$113,MATCH(M390,Elemek!$C$2:$C$113,0))</f>
        <v>Rh</v>
      </c>
      <c r="R390" t="str">
        <f t="shared" si="19"/>
        <v>8.936753</v>
      </c>
      <c r="S390" t="str">
        <f t="shared" si="20"/>
        <v>8.936753</v>
      </c>
    </row>
    <row r="391" spans="1:19" x14ac:dyDescent="0.25">
      <c r="A391">
        <v>237</v>
      </c>
      <c r="B391" t="s">
        <v>57</v>
      </c>
      <c r="C391">
        <v>136</v>
      </c>
      <c r="D391">
        <v>58</v>
      </c>
      <c r="E391">
        <v>78</v>
      </c>
      <c r="F391" s="18" t="s">
        <v>544</v>
      </c>
      <c r="H391" t="str">
        <f>IF(B391=$H$1,COUNT($H$2:H392)+1," ")</f>
        <v xml:space="preserve"> </v>
      </c>
      <c r="L391">
        <v>390</v>
      </c>
      <c r="M391">
        <v>45</v>
      </c>
      <c r="N391">
        <v>57</v>
      </c>
      <c r="O391" s="18" t="s">
        <v>694</v>
      </c>
      <c r="P391">
        <f t="shared" si="18"/>
        <v>102</v>
      </c>
      <c r="Q391" t="str">
        <f>INDEX(Elemek!$B$2:$B$113,MATCH(M391,Elemek!$C$2:$C$113,0))</f>
        <v>Rh</v>
      </c>
      <c r="R391" t="str">
        <f t="shared" si="19"/>
        <v>8.92068</v>
      </c>
      <c r="S391" t="str">
        <f t="shared" si="20"/>
        <v>8.92068</v>
      </c>
    </row>
    <row r="392" spans="1:19" x14ac:dyDescent="0.25">
      <c r="A392">
        <v>323</v>
      </c>
      <c r="B392" t="s">
        <v>160</v>
      </c>
      <c r="C392">
        <v>137</v>
      </c>
      <c r="D392">
        <v>57</v>
      </c>
      <c r="E392">
        <v>80</v>
      </c>
      <c r="F392" s="18" t="s">
        <v>630</v>
      </c>
      <c r="H392" t="str">
        <f>IF(B392=$H$1,COUNT($H$2:H393)+1," ")</f>
        <v xml:space="preserve"> </v>
      </c>
      <c r="L392">
        <v>391</v>
      </c>
      <c r="M392">
        <v>84</v>
      </c>
      <c r="N392">
        <v>124</v>
      </c>
      <c r="O392" s="18" t="s">
        <v>695</v>
      </c>
      <c r="P392">
        <f t="shared" si="18"/>
        <v>208</v>
      </c>
      <c r="Q392" t="str">
        <f>INDEX(Elemek!$B$2:$B$113,MATCH(M392,Elemek!$C$2:$C$113,0))</f>
        <v>Po</v>
      </c>
      <c r="R392" t="str">
        <f t="shared" si="19"/>
        <v>8.155315</v>
      </c>
      <c r="S392" t="str">
        <f t="shared" si="20"/>
        <v>8.155315</v>
      </c>
    </row>
    <row r="393" spans="1:19" x14ac:dyDescent="0.25">
      <c r="A393">
        <v>255</v>
      </c>
      <c r="B393" t="s">
        <v>302</v>
      </c>
      <c r="C393">
        <v>136</v>
      </c>
      <c r="D393">
        <v>54</v>
      </c>
      <c r="E393">
        <v>82</v>
      </c>
      <c r="F393" s="18" t="s">
        <v>562</v>
      </c>
      <c r="H393" t="str">
        <f>IF(B393=$H$1,COUNT($H$2:H394)+1," ")</f>
        <v xml:space="preserve"> </v>
      </c>
      <c r="L393">
        <v>392</v>
      </c>
      <c r="M393">
        <v>94</v>
      </c>
      <c r="N393">
        <v>142</v>
      </c>
      <c r="O393" s="18" t="s">
        <v>696</v>
      </c>
      <c r="P393">
        <f t="shared" si="18"/>
        <v>236</v>
      </c>
      <c r="Q393" t="str">
        <f>INDEX(Elemek!$B$2:$B$113,MATCH(M393,Elemek!$C$2:$C$113,0))</f>
        <v>Pu</v>
      </c>
      <c r="R393" t="str">
        <f t="shared" si="19"/>
        <v>7.889536</v>
      </c>
      <c r="S393" t="str">
        <f t="shared" si="20"/>
        <v>7.889536</v>
      </c>
    </row>
    <row r="394" spans="1:19" x14ac:dyDescent="0.25">
      <c r="A394">
        <v>525</v>
      </c>
      <c r="B394" t="s">
        <v>61</v>
      </c>
      <c r="C394">
        <v>136</v>
      </c>
      <c r="D394">
        <v>55</v>
      </c>
      <c r="E394">
        <v>81</v>
      </c>
      <c r="F394" s="18" t="s">
        <v>817</v>
      </c>
      <c r="H394" t="str">
        <f>IF(B394=$H$1,COUNT($H$2:H395)+1," ")</f>
        <v xml:space="preserve"> </v>
      </c>
      <c r="L394">
        <v>393</v>
      </c>
      <c r="M394">
        <v>51</v>
      </c>
      <c r="N394">
        <v>74</v>
      </c>
      <c r="O394" s="18" t="s">
        <v>697</v>
      </c>
      <c r="P394">
        <f t="shared" si="18"/>
        <v>125</v>
      </c>
      <c r="Q394" t="str">
        <f>INDEX(Elemek!$B$2:$B$113,MATCH(M394,Elemek!$C$2:$C$113,0))</f>
        <v>Sb</v>
      </c>
      <c r="R394" t="str">
        <f t="shared" si="19"/>
        <v>8.777367</v>
      </c>
      <c r="S394" t="str">
        <f t="shared" si="20"/>
        <v>8.777367</v>
      </c>
    </row>
    <row r="395" spans="1:19" x14ac:dyDescent="0.25">
      <c r="A395">
        <v>230</v>
      </c>
      <c r="B395" t="s">
        <v>57</v>
      </c>
      <c r="C395">
        <v>138</v>
      </c>
      <c r="D395">
        <v>58</v>
      </c>
      <c r="E395">
        <v>80</v>
      </c>
      <c r="F395" s="18" t="s">
        <v>537</v>
      </c>
      <c r="H395" t="str">
        <f>IF(B395=$H$1,COUNT($H$2:H396)+1," ")</f>
        <v xml:space="preserve"> </v>
      </c>
      <c r="L395">
        <v>394</v>
      </c>
      <c r="M395">
        <v>26</v>
      </c>
      <c r="N395">
        <v>29</v>
      </c>
      <c r="O395" s="18" t="s">
        <v>698</v>
      </c>
      <c r="P395">
        <f t="shared" si="18"/>
        <v>55</v>
      </c>
      <c r="Q395" t="str">
        <f>INDEX(Elemek!$B$2:$B$113,MATCH(M395,Elemek!$C$2:$C$113,0))</f>
        <v>Fe</v>
      </c>
      <c r="R395" t="str">
        <f t="shared" si="19"/>
        <v>9.116407</v>
      </c>
      <c r="S395" t="str">
        <f t="shared" si="20"/>
        <v>9.116407</v>
      </c>
    </row>
    <row r="396" spans="1:19" x14ac:dyDescent="0.25">
      <c r="A396">
        <v>818</v>
      </c>
      <c r="B396" t="s">
        <v>160</v>
      </c>
      <c r="C396">
        <v>132</v>
      </c>
      <c r="D396">
        <v>57</v>
      </c>
      <c r="E396">
        <v>75</v>
      </c>
      <c r="F396" s="18" t="s">
        <v>1062</v>
      </c>
      <c r="H396" t="str">
        <f>IF(B396=$H$1,COUNT($H$2:H397)+1," ")</f>
        <v xml:space="preserve"> </v>
      </c>
      <c r="L396">
        <v>395</v>
      </c>
      <c r="M396">
        <v>98</v>
      </c>
      <c r="N396">
        <v>154</v>
      </c>
      <c r="O396" s="18" t="s">
        <v>699</v>
      </c>
      <c r="P396">
        <f t="shared" si="18"/>
        <v>252</v>
      </c>
      <c r="Q396" t="str">
        <f>INDEX(Elemek!$B$2:$B$113,MATCH(M396,Elemek!$C$2:$C$113,0))</f>
        <v>Cf</v>
      </c>
      <c r="R396" t="str">
        <f t="shared" si="19"/>
        <v>7.769605</v>
      </c>
      <c r="S396" t="str">
        <f t="shared" si="20"/>
        <v>7.769605</v>
      </c>
    </row>
    <row r="397" spans="1:19" x14ac:dyDescent="0.25">
      <c r="A397">
        <v>597</v>
      </c>
      <c r="B397" t="s">
        <v>57</v>
      </c>
      <c r="C397">
        <v>134</v>
      </c>
      <c r="D397">
        <v>58</v>
      </c>
      <c r="E397">
        <v>76</v>
      </c>
      <c r="F397" s="18" t="s">
        <v>877</v>
      </c>
      <c r="H397" t="str">
        <f>IF(B397=$H$1,COUNT($H$2:H398)+1," ")</f>
        <v xml:space="preserve"> </v>
      </c>
      <c r="L397">
        <v>396</v>
      </c>
      <c r="M397">
        <v>61</v>
      </c>
      <c r="N397">
        <v>86</v>
      </c>
      <c r="O397" s="18" t="s">
        <v>700</v>
      </c>
      <c r="P397">
        <f t="shared" si="18"/>
        <v>147</v>
      </c>
      <c r="Q397" t="str">
        <f>INDEX(Elemek!$B$2:$B$113,MATCH(M397,Elemek!$C$2:$C$113,0))</f>
        <v>Pm</v>
      </c>
      <c r="R397" t="str">
        <f t="shared" si="19"/>
        <v>8.609068</v>
      </c>
      <c r="S397" t="str">
        <f t="shared" si="20"/>
        <v>8.609068</v>
      </c>
    </row>
    <row r="398" spans="1:19" x14ac:dyDescent="0.25">
      <c r="A398">
        <v>366</v>
      </c>
      <c r="B398" t="s">
        <v>61</v>
      </c>
      <c r="C398">
        <v>137</v>
      </c>
      <c r="D398">
        <v>55</v>
      </c>
      <c r="E398">
        <v>82</v>
      </c>
      <c r="F398" s="18" t="s">
        <v>672</v>
      </c>
      <c r="H398" t="str">
        <f>IF(B398=$H$1,COUNT($H$2:H399)+1," ")</f>
        <v xml:space="preserve"> </v>
      </c>
      <c r="L398">
        <v>397</v>
      </c>
      <c r="M398">
        <v>11</v>
      </c>
      <c r="N398">
        <v>11</v>
      </c>
      <c r="O398" s="18" t="s">
        <v>701</v>
      </c>
      <c r="P398">
        <f t="shared" si="18"/>
        <v>22</v>
      </c>
      <c r="Q398" t="str">
        <f>INDEX(Elemek!$B$2:$B$113,MATCH(M398,Elemek!$C$2:$C$113,0))</f>
        <v>Na</v>
      </c>
      <c r="R398" t="str">
        <f t="shared" si="19"/>
        <v>8.306891</v>
      </c>
      <c r="S398" t="str">
        <f t="shared" si="20"/>
        <v>8.306891</v>
      </c>
    </row>
    <row r="399" spans="1:19" x14ac:dyDescent="0.25">
      <c r="A399">
        <v>113</v>
      </c>
      <c r="B399" t="s">
        <v>57</v>
      </c>
      <c r="C399">
        <v>140</v>
      </c>
      <c r="D399">
        <v>58</v>
      </c>
      <c r="E399">
        <v>82</v>
      </c>
      <c r="F399" s="18" t="s">
        <v>420</v>
      </c>
      <c r="H399" t="str">
        <f>IF(B399=$H$1,COUNT($H$2:H400)+1," ")</f>
        <v xml:space="preserve"> </v>
      </c>
      <c r="L399">
        <v>398</v>
      </c>
      <c r="M399">
        <v>55</v>
      </c>
      <c r="N399">
        <v>79</v>
      </c>
      <c r="O399" s="18" t="s">
        <v>702</v>
      </c>
      <c r="P399">
        <f t="shared" si="18"/>
        <v>134</v>
      </c>
      <c r="Q399" t="str">
        <f>INDEX(Elemek!$B$2:$B$113,MATCH(M399,Elemek!$C$2:$C$113,0))</f>
        <v>Cs</v>
      </c>
      <c r="R399" t="str">
        <f t="shared" si="19"/>
        <v>8.719768</v>
      </c>
      <c r="S399" t="str">
        <f t="shared" si="20"/>
        <v>8.719768</v>
      </c>
    </row>
    <row r="400" spans="1:19" x14ac:dyDescent="0.25">
      <c r="A400">
        <v>114</v>
      </c>
      <c r="B400" t="s">
        <v>160</v>
      </c>
      <c r="C400">
        <v>139</v>
      </c>
      <c r="D400">
        <v>57</v>
      </c>
      <c r="E400">
        <v>82</v>
      </c>
      <c r="F400" s="18" t="s">
        <v>421</v>
      </c>
      <c r="H400" t="str">
        <f>IF(B400=$H$1,COUNT($H$2:H401)+1," ")</f>
        <v xml:space="preserve"> </v>
      </c>
      <c r="L400">
        <v>399</v>
      </c>
      <c r="M400">
        <v>69</v>
      </c>
      <c r="N400">
        <v>102</v>
      </c>
      <c r="O400" s="18" t="s">
        <v>703</v>
      </c>
      <c r="P400">
        <f t="shared" si="18"/>
        <v>171</v>
      </c>
      <c r="Q400" t="str">
        <f>INDEX(Elemek!$B$2:$B$113,MATCH(M400,Elemek!$C$2:$C$113,0))</f>
        <v>Tm</v>
      </c>
      <c r="R400" t="str">
        <f t="shared" si="19"/>
        <v>8.41762</v>
      </c>
      <c r="S400" t="str">
        <f t="shared" si="20"/>
        <v>8.41762</v>
      </c>
    </row>
    <row r="401" spans="1:19" x14ac:dyDescent="0.25">
      <c r="A401">
        <v>279</v>
      </c>
      <c r="B401" t="s">
        <v>160</v>
      </c>
      <c r="C401">
        <v>138</v>
      </c>
      <c r="D401">
        <v>57</v>
      </c>
      <c r="E401">
        <v>81</v>
      </c>
      <c r="F401" s="18" t="s">
        <v>586</v>
      </c>
      <c r="H401" t="str">
        <f>IF(B401=$H$1,COUNT($H$2:H402)+1," ")</f>
        <v xml:space="preserve"> </v>
      </c>
      <c r="L401">
        <v>400</v>
      </c>
      <c r="M401">
        <v>90</v>
      </c>
      <c r="N401">
        <v>138</v>
      </c>
      <c r="O401" s="18" t="s">
        <v>704</v>
      </c>
      <c r="P401">
        <f t="shared" si="18"/>
        <v>228</v>
      </c>
      <c r="Q401" t="str">
        <f>INDEX(Elemek!$B$2:$B$113,MATCH(M401,Elemek!$C$2:$C$113,0))</f>
        <v>Th</v>
      </c>
      <c r="R401" t="str">
        <f t="shared" si="19"/>
        <v>7.953906</v>
      </c>
      <c r="S401" t="str">
        <f t="shared" si="20"/>
        <v>7.953906</v>
      </c>
    </row>
    <row r="402" spans="1:19" x14ac:dyDescent="0.25">
      <c r="A402">
        <v>703</v>
      </c>
      <c r="B402" t="s">
        <v>57</v>
      </c>
      <c r="C402">
        <v>135</v>
      </c>
      <c r="D402">
        <v>58</v>
      </c>
      <c r="E402">
        <v>77</v>
      </c>
      <c r="F402" s="18" t="s">
        <v>968</v>
      </c>
      <c r="H402" t="str">
        <f>IF(B402=$H$1,COUNT($H$2:H403)+1," ")</f>
        <v xml:space="preserve"> </v>
      </c>
      <c r="L402">
        <v>401</v>
      </c>
      <c r="M402">
        <v>72</v>
      </c>
      <c r="N402">
        <v>100</v>
      </c>
      <c r="O402" s="18" t="s">
        <v>705</v>
      </c>
      <c r="P402">
        <f t="shared" si="18"/>
        <v>172</v>
      </c>
      <c r="Q402" t="str">
        <f>INDEX(Elemek!$B$2:$B$113,MATCH(M402,Elemek!$C$2:$C$113,0))</f>
        <v>Hf</v>
      </c>
      <c r="R402" t="str">
        <f t="shared" si="19"/>
        <v>8.399252</v>
      </c>
      <c r="S402" t="str">
        <f t="shared" si="20"/>
        <v>8.399252</v>
      </c>
    </row>
    <row r="403" spans="1:19" x14ac:dyDescent="0.25">
      <c r="A403">
        <v>434</v>
      </c>
      <c r="B403" t="s">
        <v>57</v>
      </c>
      <c r="C403">
        <v>139</v>
      </c>
      <c r="D403">
        <v>58</v>
      </c>
      <c r="E403">
        <v>81</v>
      </c>
      <c r="F403" s="18" t="s">
        <v>735</v>
      </c>
      <c r="H403" t="str">
        <f>IF(B403=$H$1,COUNT($H$2:H404)+1," ")</f>
        <v xml:space="preserve"> </v>
      </c>
      <c r="L403">
        <v>402</v>
      </c>
      <c r="M403">
        <v>73</v>
      </c>
      <c r="N403">
        <v>106</v>
      </c>
      <c r="O403" s="18" t="s">
        <v>706</v>
      </c>
      <c r="P403">
        <f t="shared" si="18"/>
        <v>179</v>
      </c>
      <c r="Q403" t="str">
        <f>INDEX(Elemek!$B$2:$B$113,MATCH(M403,Elemek!$C$2:$C$113,0))</f>
        <v>Ta</v>
      </c>
      <c r="R403" t="str">
        <f t="shared" si="19"/>
        <v>8.352703</v>
      </c>
      <c r="S403" t="str">
        <f t="shared" si="20"/>
        <v>8.352703</v>
      </c>
    </row>
    <row r="404" spans="1:19" x14ac:dyDescent="0.25">
      <c r="A404">
        <v>652</v>
      </c>
      <c r="B404" t="s">
        <v>57</v>
      </c>
      <c r="C404">
        <v>137</v>
      </c>
      <c r="D404">
        <v>58</v>
      </c>
      <c r="E404">
        <v>79</v>
      </c>
      <c r="F404" s="18" t="s">
        <v>927</v>
      </c>
      <c r="H404" t="str">
        <f>IF(B404=$H$1,COUNT($H$2:H405)+1," ")</f>
        <v xml:space="preserve"> </v>
      </c>
      <c r="L404">
        <v>403</v>
      </c>
      <c r="M404">
        <v>71</v>
      </c>
      <c r="N404">
        <v>102</v>
      </c>
      <c r="O404" s="18" t="s">
        <v>707</v>
      </c>
      <c r="P404">
        <f t="shared" si="18"/>
        <v>173</v>
      </c>
      <c r="Q404" t="str">
        <f>INDEX(Elemek!$B$2:$B$113,MATCH(M404,Elemek!$C$2:$C$113,0))</f>
        <v>Lu</v>
      </c>
      <c r="R404" t="str">
        <f t="shared" si="19"/>
        <v>8.400147</v>
      </c>
      <c r="S404" t="str">
        <f t="shared" si="20"/>
        <v>8.400147</v>
      </c>
    </row>
    <row r="405" spans="1:19" x14ac:dyDescent="0.25">
      <c r="A405">
        <v>847</v>
      </c>
      <c r="B405" t="s">
        <v>57</v>
      </c>
      <c r="C405">
        <v>132</v>
      </c>
      <c r="D405">
        <v>58</v>
      </c>
      <c r="E405">
        <v>74</v>
      </c>
      <c r="F405" s="18" t="s">
        <v>1084</v>
      </c>
      <c r="H405" t="str">
        <f>IF(B405=$H$1,COUNT($H$2:H406)+1," ")</f>
        <v xml:space="preserve"> </v>
      </c>
      <c r="L405">
        <v>404</v>
      </c>
      <c r="M405">
        <v>99</v>
      </c>
      <c r="N405">
        <v>153</v>
      </c>
      <c r="O405" s="18" t="s">
        <v>708</v>
      </c>
      <c r="P405">
        <f t="shared" si="18"/>
        <v>252</v>
      </c>
      <c r="Q405" t="str">
        <f>INDEX(Elemek!$B$2:$B$113,MATCH(M405,Elemek!$C$2:$C$113,0))</f>
        <v>Es</v>
      </c>
      <c r="R405" t="str">
        <f t="shared" si="19"/>
        <v>7.764621</v>
      </c>
      <c r="S405" t="str">
        <f t="shared" si="20"/>
        <v>7.764621</v>
      </c>
    </row>
    <row r="406" spans="1:19" x14ac:dyDescent="0.25">
      <c r="A406">
        <v>115</v>
      </c>
      <c r="B406" t="s">
        <v>170</v>
      </c>
      <c r="C406">
        <v>26</v>
      </c>
      <c r="D406">
        <v>12</v>
      </c>
      <c r="E406">
        <v>14</v>
      </c>
      <c r="F406" s="18" t="s">
        <v>422</v>
      </c>
      <c r="H406" t="str">
        <f>IF(B406=$H$1,COUNT($H$2:H407)+1," ")</f>
        <v xml:space="preserve"> </v>
      </c>
      <c r="L406">
        <v>405</v>
      </c>
      <c r="M406">
        <v>48</v>
      </c>
      <c r="N406">
        <v>61</v>
      </c>
      <c r="O406" s="18" t="s">
        <v>709</v>
      </c>
      <c r="P406">
        <f t="shared" si="18"/>
        <v>109</v>
      </c>
      <c r="Q406" t="str">
        <f>INDEX(Elemek!$B$2:$B$113,MATCH(M406,Elemek!$C$2:$C$113,0))</f>
        <v>Cd</v>
      </c>
      <c r="R406" t="str">
        <f t="shared" si="19"/>
        <v>8.883327</v>
      </c>
      <c r="S406" t="str">
        <f t="shared" si="20"/>
        <v>8.883327</v>
      </c>
    </row>
    <row r="407" spans="1:19" x14ac:dyDescent="0.25">
      <c r="A407">
        <v>787</v>
      </c>
      <c r="B407" t="s">
        <v>131</v>
      </c>
      <c r="C407">
        <v>135</v>
      </c>
      <c r="D407">
        <v>53</v>
      </c>
      <c r="E407">
        <v>82</v>
      </c>
      <c r="F407" s="18" t="s">
        <v>1035</v>
      </c>
      <c r="H407" t="str">
        <f>IF(B407=$H$1,COUNT($H$2:H408)+1," ")</f>
        <v xml:space="preserve"> </v>
      </c>
      <c r="L407">
        <v>406</v>
      </c>
      <c r="M407">
        <v>93</v>
      </c>
      <c r="N407">
        <v>142</v>
      </c>
      <c r="O407" s="18" t="s">
        <v>710</v>
      </c>
      <c r="P407">
        <f t="shared" si="18"/>
        <v>235</v>
      </c>
      <c r="Q407" t="str">
        <f>INDEX(Elemek!$B$2:$B$113,MATCH(M407,Elemek!$C$2:$C$113,0))</f>
        <v>Np</v>
      </c>
      <c r="R407" t="str">
        <f t="shared" si="19"/>
        <v>7.896669</v>
      </c>
      <c r="S407" t="str">
        <f t="shared" si="20"/>
        <v>7.896669</v>
      </c>
    </row>
    <row r="408" spans="1:19" x14ac:dyDescent="0.25">
      <c r="A408">
        <v>813</v>
      </c>
      <c r="B408" t="s">
        <v>57</v>
      </c>
      <c r="C408">
        <v>133</v>
      </c>
      <c r="D408">
        <v>58</v>
      </c>
      <c r="E408">
        <v>75</v>
      </c>
      <c r="F408" s="18" t="s">
        <v>1057</v>
      </c>
      <c r="H408" t="str">
        <f>IF(B408=$H$1,COUNT($H$2:H409)+1," ")</f>
        <v xml:space="preserve"> </v>
      </c>
      <c r="L408">
        <v>407</v>
      </c>
      <c r="M408">
        <v>44</v>
      </c>
      <c r="N408">
        <v>62</v>
      </c>
      <c r="O408" s="18" t="s">
        <v>711</v>
      </c>
      <c r="P408">
        <f t="shared" si="18"/>
        <v>106</v>
      </c>
      <c r="Q408" t="str">
        <f>INDEX(Elemek!$B$2:$B$113,MATCH(M408,Elemek!$C$2:$C$113,0))</f>
        <v>Ru</v>
      </c>
      <c r="R408" t="str">
        <f t="shared" si="19"/>
        <v>8.885686</v>
      </c>
      <c r="S408" t="str">
        <f t="shared" si="20"/>
        <v>8.885686</v>
      </c>
    </row>
    <row r="409" spans="1:19" x14ac:dyDescent="0.25">
      <c r="A409">
        <v>953</v>
      </c>
      <c r="B409" t="s">
        <v>36</v>
      </c>
      <c r="C409">
        <v>139</v>
      </c>
      <c r="D409">
        <v>56</v>
      </c>
      <c r="E409">
        <v>83</v>
      </c>
      <c r="F409" s="18" t="s">
        <v>1170</v>
      </c>
      <c r="H409" t="str">
        <f>IF(B409=$H$1,COUNT($H$2:H410)+1," ")</f>
        <v xml:space="preserve"> </v>
      </c>
      <c r="L409">
        <v>408</v>
      </c>
      <c r="M409">
        <v>61</v>
      </c>
      <c r="N409">
        <v>83</v>
      </c>
      <c r="O409" s="18" t="s">
        <v>712</v>
      </c>
      <c r="P409">
        <f t="shared" si="18"/>
        <v>144</v>
      </c>
      <c r="Q409" t="str">
        <f>INDEX(Elemek!$B$2:$B$113,MATCH(M409,Elemek!$C$2:$C$113,0))</f>
        <v>Pm</v>
      </c>
      <c r="R409" t="str">
        <f t="shared" si="19"/>
        <v>8.636751</v>
      </c>
      <c r="S409" t="str">
        <f t="shared" si="20"/>
        <v>8.636751</v>
      </c>
    </row>
    <row r="410" spans="1:19" x14ac:dyDescent="0.25">
      <c r="A410">
        <v>828</v>
      </c>
      <c r="B410" t="s">
        <v>225</v>
      </c>
      <c r="C410">
        <v>139</v>
      </c>
      <c r="D410">
        <v>59</v>
      </c>
      <c r="E410">
        <v>80</v>
      </c>
      <c r="F410" s="18" t="s">
        <v>1069</v>
      </c>
      <c r="H410" t="str">
        <f>IF(B410=$H$1,COUNT($H$2:H411)+1," ")</f>
        <v xml:space="preserve"> </v>
      </c>
      <c r="L410">
        <v>409</v>
      </c>
      <c r="M410">
        <v>62</v>
      </c>
      <c r="N410">
        <v>83</v>
      </c>
      <c r="O410" s="18" t="s">
        <v>713</v>
      </c>
      <c r="P410">
        <f t="shared" si="18"/>
        <v>145</v>
      </c>
      <c r="Q410" t="str">
        <f>INDEX(Elemek!$B$2:$B$113,MATCH(M410,Elemek!$C$2:$C$113,0))</f>
        <v>Sm</v>
      </c>
      <c r="R410" t="str">
        <f t="shared" si="19"/>
        <v>8.62759</v>
      </c>
      <c r="S410" t="str">
        <f t="shared" si="20"/>
        <v>8.62759</v>
      </c>
    </row>
    <row r="411" spans="1:19" x14ac:dyDescent="0.25">
      <c r="A411">
        <v>116</v>
      </c>
      <c r="B411" t="s">
        <v>225</v>
      </c>
      <c r="C411">
        <v>141</v>
      </c>
      <c r="D411">
        <v>59</v>
      </c>
      <c r="E411">
        <v>82</v>
      </c>
      <c r="F411" s="18" t="s">
        <v>423</v>
      </c>
      <c r="H411" t="str">
        <f>IF(B411=$H$1,COUNT($H$2:H412)+1," ")</f>
        <v xml:space="preserve"> </v>
      </c>
      <c r="L411">
        <v>410</v>
      </c>
      <c r="M411">
        <v>98</v>
      </c>
      <c r="N411">
        <v>150</v>
      </c>
      <c r="O411" s="18" t="s">
        <v>714</v>
      </c>
      <c r="P411">
        <f t="shared" si="18"/>
        <v>248</v>
      </c>
      <c r="Q411" t="str">
        <f>INDEX(Elemek!$B$2:$B$113,MATCH(M411,Elemek!$C$2:$C$113,0))</f>
        <v>Cf</v>
      </c>
      <c r="R411" t="str">
        <f t="shared" si="19"/>
        <v>7.800198</v>
      </c>
      <c r="S411" t="str">
        <f t="shared" si="20"/>
        <v>7.800198</v>
      </c>
    </row>
    <row r="412" spans="1:19" x14ac:dyDescent="0.25">
      <c r="A412">
        <v>958</v>
      </c>
      <c r="B412" t="s">
        <v>225</v>
      </c>
      <c r="C412">
        <v>137</v>
      </c>
      <c r="D412">
        <v>59</v>
      </c>
      <c r="E412">
        <v>78</v>
      </c>
      <c r="F412" s="18" t="s">
        <v>1174</v>
      </c>
      <c r="H412" t="str">
        <f>IF(B412=$H$1,COUNT($H$2:H413)+1," ")</f>
        <v xml:space="preserve"> </v>
      </c>
      <c r="L412">
        <v>411</v>
      </c>
      <c r="M412">
        <v>97</v>
      </c>
      <c r="N412">
        <v>152</v>
      </c>
      <c r="O412" s="18" t="s">
        <v>715</v>
      </c>
      <c r="P412">
        <f t="shared" si="18"/>
        <v>249</v>
      </c>
      <c r="Q412" t="str">
        <f>INDEX(Elemek!$B$2:$B$113,MATCH(M412,Elemek!$C$2:$C$113,0))</f>
        <v>Bk</v>
      </c>
      <c r="R412" t="str">
        <f t="shared" si="19"/>
        <v>7.790805</v>
      </c>
      <c r="S412" t="str">
        <f t="shared" si="20"/>
        <v>7.790805</v>
      </c>
    </row>
    <row r="413" spans="1:19" x14ac:dyDescent="0.25">
      <c r="A413">
        <v>494</v>
      </c>
      <c r="B413" t="s">
        <v>57</v>
      </c>
      <c r="C413">
        <v>141</v>
      </c>
      <c r="D413">
        <v>58</v>
      </c>
      <c r="E413">
        <v>83</v>
      </c>
      <c r="F413" s="18" t="s">
        <v>789</v>
      </c>
      <c r="H413" t="str">
        <f>IF(B413=$H$1,COUNT($H$2:H414)+1," ")</f>
        <v xml:space="preserve"> </v>
      </c>
      <c r="L413">
        <v>412</v>
      </c>
      <c r="M413">
        <v>23</v>
      </c>
      <c r="N413">
        <v>26</v>
      </c>
      <c r="O413" s="18" t="s">
        <v>716</v>
      </c>
      <c r="P413">
        <f t="shared" si="18"/>
        <v>49</v>
      </c>
      <c r="Q413" t="str">
        <f>INDEX(Elemek!$B$2:$B$113,MATCH(M413,Elemek!$C$2:$C$113,0))</f>
        <v>V</v>
      </c>
      <c r="R413" t="str">
        <f t="shared" si="19"/>
        <v>9.05004</v>
      </c>
      <c r="S413" t="str">
        <f t="shared" si="20"/>
        <v>9.05004</v>
      </c>
    </row>
    <row r="414" spans="1:19" x14ac:dyDescent="0.25">
      <c r="A414">
        <v>117</v>
      </c>
      <c r="B414" t="s">
        <v>186</v>
      </c>
      <c r="C414">
        <v>142</v>
      </c>
      <c r="D414">
        <v>60</v>
      </c>
      <c r="E414">
        <v>82</v>
      </c>
      <c r="F414" s="18" t="s">
        <v>424</v>
      </c>
      <c r="H414" t="str">
        <f>IF(B414=$H$1,COUNT($H$2:H415)+1," ")</f>
        <v xml:space="preserve"> </v>
      </c>
      <c r="L414">
        <v>413</v>
      </c>
      <c r="M414">
        <v>25</v>
      </c>
      <c r="N414">
        <v>29</v>
      </c>
      <c r="O414" s="18" t="s">
        <v>717</v>
      </c>
      <c r="P414">
        <f t="shared" si="18"/>
        <v>54</v>
      </c>
      <c r="Q414" t="str">
        <f>INDEX(Elemek!$B$2:$B$113,MATCH(M414,Elemek!$C$2:$C$113,0))</f>
        <v>Mn</v>
      </c>
      <c r="R414" t="str">
        <f t="shared" si="19"/>
        <v>9.100131</v>
      </c>
      <c r="S414" t="str">
        <f t="shared" si="20"/>
        <v>9.100131</v>
      </c>
    </row>
    <row r="415" spans="1:19" x14ac:dyDescent="0.25">
      <c r="A415">
        <v>638</v>
      </c>
      <c r="B415" t="s">
        <v>160</v>
      </c>
      <c r="C415">
        <v>140</v>
      </c>
      <c r="D415">
        <v>57</v>
      </c>
      <c r="E415">
        <v>83</v>
      </c>
      <c r="F415" s="18" t="s">
        <v>915</v>
      </c>
      <c r="H415" t="str">
        <f>IF(B415=$H$1,COUNT($H$2:H416)+1," ")</f>
        <v xml:space="preserve"> </v>
      </c>
      <c r="L415">
        <v>414</v>
      </c>
      <c r="M415">
        <v>50</v>
      </c>
      <c r="N415">
        <v>69</v>
      </c>
      <c r="O415" s="18"/>
      <c r="P415">
        <f t="shared" si="18"/>
        <v>119</v>
      </c>
      <c r="Q415" t="str">
        <f>INDEX(Elemek!$B$2:$B$113,MATCH(M415,Elemek!$C$2:$C$113,0))</f>
        <v>Sn</v>
      </c>
      <c r="R415" t="e">
        <f t="shared" si="19"/>
        <v>#DIV/0!</v>
      </c>
      <c r="S415" t="e">
        <f t="shared" si="20"/>
        <v>#DIV/0!</v>
      </c>
    </row>
    <row r="416" spans="1:19" x14ac:dyDescent="0.25">
      <c r="A416">
        <v>591</v>
      </c>
      <c r="B416" t="s">
        <v>186</v>
      </c>
      <c r="C416">
        <v>140</v>
      </c>
      <c r="D416">
        <v>60</v>
      </c>
      <c r="E416">
        <v>80</v>
      </c>
      <c r="F416" s="18" t="s">
        <v>871</v>
      </c>
      <c r="H416" t="str">
        <f>IF(B416=$H$1,COUNT($H$2:H417)+1," ")</f>
        <v xml:space="preserve"> </v>
      </c>
      <c r="L416">
        <v>415</v>
      </c>
      <c r="M416">
        <v>58</v>
      </c>
      <c r="N416">
        <v>86</v>
      </c>
      <c r="O416" s="18" t="s">
        <v>718</v>
      </c>
      <c r="P416">
        <f t="shared" si="18"/>
        <v>144</v>
      </c>
      <c r="Q416" t="str">
        <f>INDEX(Elemek!$B$2:$B$113,MATCH(M416,Elemek!$C$2:$C$113,0))</f>
        <v>Ce</v>
      </c>
      <c r="R416" t="str">
        <f t="shared" si="19"/>
        <v>8.629918</v>
      </c>
      <c r="S416" t="str">
        <f t="shared" si="20"/>
        <v>8.629918</v>
      </c>
    </row>
    <row r="417" spans="1:19" x14ac:dyDescent="0.25">
      <c r="A417">
        <v>904</v>
      </c>
      <c r="B417" t="s">
        <v>225</v>
      </c>
      <c r="C417">
        <v>138</v>
      </c>
      <c r="D417">
        <v>59</v>
      </c>
      <c r="E417">
        <v>79</v>
      </c>
      <c r="F417" s="18" t="s">
        <v>1131</v>
      </c>
      <c r="H417" t="str">
        <f>IF(B417=$H$1,COUNT($H$2:H418)+1," ")</f>
        <v xml:space="preserve"> </v>
      </c>
      <c r="L417">
        <v>416</v>
      </c>
      <c r="M417">
        <v>99</v>
      </c>
      <c r="N417">
        <v>155</v>
      </c>
      <c r="O417" s="18" t="s">
        <v>719</v>
      </c>
      <c r="P417">
        <f t="shared" si="18"/>
        <v>254</v>
      </c>
      <c r="Q417" t="str">
        <f>INDEX(Elemek!$B$2:$B$113,MATCH(M417,Elemek!$C$2:$C$113,0))</f>
        <v>Es</v>
      </c>
      <c r="R417" t="str">
        <f t="shared" si="19"/>
        <v>7.748524</v>
      </c>
      <c r="S417" t="str">
        <f t="shared" si="20"/>
        <v>7.748524</v>
      </c>
    </row>
    <row r="418" spans="1:19" x14ac:dyDescent="0.25">
      <c r="A418">
        <v>886</v>
      </c>
      <c r="B418" t="s">
        <v>186</v>
      </c>
      <c r="C418">
        <v>141</v>
      </c>
      <c r="D418">
        <v>60</v>
      </c>
      <c r="E418">
        <v>81</v>
      </c>
      <c r="F418" s="18" t="s">
        <v>1115</v>
      </c>
      <c r="H418" t="str">
        <f>IF(B418=$H$1,COUNT($H$2:H419)+1," ")</f>
        <v xml:space="preserve"> </v>
      </c>
      <c r="L418">
        <v>417</v>
      </c>
      <c r="M418">
        <v>27</v>
      </c>
      <c r="N418">
        <v>30</v>
      </c>
      <c r="O418" s="18" t="s">
        <v>720</v>
      </c>
      <c r="P418">
        <f t="shared" si="18"/>
        <v>57</v>
      </c>
      <c r="Q418" t="str">
        <f>INDEX(Elemek!$B$2:$B$113,MATCH(M418,Elemek!$C$2:$C$113,0))</f>
        <v>Co</v>
      </c>
      <c r="R418" t="str">
        <f t="shared" si="19"/>
        <v>9.112454</v>
      </c>
      <c r="S418" t="str">
        <f t="shared" si="20"/>
        <v>9.112454</v>
      </c>
    </row>
    <row r="419" spans="1:19" x14ac:dyDescent="0.25">
      <c r="A419">
        <v>217</v>
      </c>
      <c r="B419" t="s">
        <v>57</v>
      </c>
      <c r="C419">
        <v>142</v>
      </c>
      <c r="D419">
        <v>58</v>
      </c>
      <c r="E419">
        <v>84</v>
      </c>
      <c r="F419" s="18" t="s">
        <v>524</v>
      </c>
      <c r="H419" t="str">
        <f>IF(B419=$H$1,COUNT($H$2:H420)+1," ")</f>
        <v xml:space="preserve"> </v>
      </c>
      <c r="L419">
        <v>418</v>
      </c>
      <c r="M419">
        <v>32</v>
      </c>
      <c r="N419">
        <v>36</v>
      </c>
      <c r="O419" s="18" t="s">
        <v>721</v>
      </c>
      <c r="P419">
        <f t="shared" si="18"/>
        <v>68</v>
      </c>
      <c r="Q419" t="str">
        <f>INDEX(Elemek!$B$2:$B$113,MATCH(M419,Elemek!$C$2:$C$113,0))</f>
        <v>Ge</v>
      </c>
      <c r="R419" t="str">
        <f t="shared" si="19"/>
        <v>9.056327</v>
      </c>
      <c r="S419" t="str">
        <f t="shared" si="20"/>
        <v>9.056327</v>
      </c>
    </row>
    <row r="420" spans="1:19" x14ac:dyDescent="0.25">
      <c r="A420">
        <v>527</v>
      </c>
      <c r="B420" t="s">
        <v>36</v>
      </c>
      <c r="C420">
        <v>140</v>
      </c>
      <c r="D420">
        <v>56</v>
      </c>
      <c r="E420">
        <v>84</v>
      </c>
      <c r="F420" s="18" t="s">
        <v>819</v>
      </c>
      <c r="H420" t="str">
        <f>IF(B420=$H$1,COUNT($H$2:H421)+1," ")</f>
        <v xml:space="preserve"> </v>
      </c>
      <c r="L420">
        <v>419</v>
      </c>
      <c r="M420">
        <v>61</v>
      </c>
      <c r="N420">
        <v>82</v>
      </c>
      <c r="O420" s="18" t="s">
        <v>722</v>
      </c>
      <c r="P420">
        <f t="shared" si="18"/>
        <v>143</v>
      </c>
      <c r="Q420" t="str">
        <f>INDEX(Elemek!$B$2:$B$113,MATCH(M420,Elemek!$C$2:$C$113,0))</f>
        <v>Pm</v>
      </c>
      <c r="R420" t="str">
        <f t="shared" si="19"/>
        <v>8.651509</v>
      </c>
      <c r="S420" t="str">
        <f t="shared" si="20"/>
        <v>8.651509</v>
      </c>
    </row>
    <row r="421" spans="1:19" x14ac:dyDescent="0.25">
      <c r="A421">
        <v>807</v>
      </c>
      <c r="B421" t="s">
        <v>186</v>
      </c>
      <c r="C421">
        <v>138</v>
      </c>
      <c r="D421">
        <v>60</v>
      </c>
      <c r="E421">
        <v>78</v>
      </c>
      <c r="F421" s="18" t="s">
        <v>1051</v>
      </c>
      <c r="H421" t="str">
        <f>IF(B421=$H$1,COUNT($H$2:H422)+1," ")</f>
        <v xml:space="preserve"> </v>
      </c>
      <c r="L421">
        <v>420</v>
      </c>
      <c r="M421">
        <v>47</v>
      </c>
      <c r="N421">
        <v>63</v>
      </c>
      <c r="O421" s="18" t="s">
        <v>723</v>
      </c>
      <c r="P421">
        <f t="shared" si="18"/>
        <v>110</v>
      </c>
      <c r="Q421" t="str">
        <f>INDEX(Elemek!$B$2:$B$113,MATCH(M421,Elemek!$C$2:$C$113,0))</f>
        <v>Ag</v>
      </c>
      <c r="R421" t="str">
        <f t="shared" si="19"/>
        <v>8.865355</v>
      </c>
      <c r="S421" t="str">
        <f t="shared" si="20"/>
        <v>8.865355</v>
      </c>
    </row>
    <row r="422" spans="1:19" x14ac:dyDescent="0.25">
      <c r="A422">
        <v>700</v>
      </c>
      <c r="B422" t="s">
        <v>225</v>
      </c>
      <c r="C422">
        <v>142</v>
      </c>
      <c r="D422">
        <v>59</v>
      </c>
      <c r="E422">
        <v>83</v>
      </c>
      <c r="F422" s="18" t="s">
        <v>965</v>
      </c>
      <c r="H422" t="str">
        <f>IF(B422=$H$1,COUNT($H$2:H423)+1," ")</f>
        <v xml:space="preserve"> </v>
      </c>
      <c r="L422">
        <v>421</v>
      </c>
      <c r="M422">
        <v>30</v>
      </c>
      <c r="N422">
        <v>35</v>
      </c>
      <c r="O422" s="18" t="s">
        <v>724</v>
      </c>
      <c r="P422">
        <f t="shared" si="18"/>
        <v>65</v>
      </c>
      <c r="Q422" t="str">
        <f>INDEX(Elemek!$B$2:$B$113,MATCH(M422,Elemek!$C$2:$C$113,0))</f>
        <v>Zn</v>
      </c>
      <c r="R422" t="str">
        <f t="shared" si="19"/>
        <v>9.085352</v>
      </c>
      <c r="S422" t="str">
        <f t="shared" si="20"/>
        <v>9.085352</v>
      </c>
    </row>
    <row r="423" spans="1:19" x14ac:dyDescent="0.25">
      <c r="A423">
        <v>837</v>
      </c>
      <c r="B423" t="s">
        <v>160</v>
      </c>
      <c r="C423">
        <v>141</v>
      </c>
      <c r="D423">
        <v>57</v>
      </c>
      <c r="E423">
        <v>84</v>
      </c>
      <c r="F423" s="18" t="s">
        <v>1077</v>
      </c>
      <c r="H423" t="str">
        <f>IF(B423=$H$1,COUNT($H$2:H424)+1," ")</f>
        <v xml:space="preserve"> </v>
      </c>
      <c r="L423">
        <v>422</v>
      </c>
      <c r="M423">
        <v>64</v>
      </c>
      <c r="N423">
        <v>89</v>
      </c>
      <c r="O423" s="18" t="s">
        <v>725</v>
      </c>
      <c r="P423">
        <f t="shared" si="18"/>
        <v>153</v>
      </c>
      <c r="Q423" t="str">
        <f>INDEX(Elemek!$B$2:$B$113,MATCH(M423,Elemek!$C$2:$C$113,0))</f>
        <v>Gd</v>
      </c>
      <c r="R423" t="str">
        <f t="shared" si="19"/>
        <v>8.547731</v>
      </c>
      <c r="S423" t="str">
        <f t="shared" si="20"/>
        <v>8.547731</v>
      </c>
    </row>
    <row r="424" spans="1:19" x14ac:dyDescent="0.25">
      <c r="A424">
        <v>800</v>
      </c>
      <c r="B424" t="s">
        <v>186</v>
      </c>
      <c r="C424">
        <v>139</v>
      </c>
      <c r="D424">
        <v>60</v>
      </c>
      <c r="E424">
        <v>79</v>
      </c>
      <c r="F424" s="18" t="s">
        <v>1046</v>
      </c>
      <c r="H424" t="str">
        <f>IF(B424=$H$1,COUNT($H$2:H425)+1," ")</f>
        <v xml:space="preserve"> </v>
      </c>
      <c r="L424">
        <v>423</v>
      </c>
      <c r="M424">
        <v>45</v>
      </c>
      <c r="N424">
        <v>57</v>
      </c>
      <c r="O424" s="18"/>
      <c r="P424">
        <f t="shared" si="18"/>
        <v>102</v>
      </c>
      <c r="Q424" t="str">
        <f>INDEX(Elemek!$B$2:$B$113,MATCH(M424,Elemek!$C$2:$C$113,0))</f>
        <v>Rh</v>
      </c>
      <c r="R424" t="e">
        <f t="shared" si="19"/>
        <v>#DIV/0!</v>
      </c>
      <c r="S424" t="e">
        <f t="shared" si="20"/>
        <v>#DIV/0!</v>
      </c>
    </row>
    <row r="425" spans="1:19" x14ac:dyDescent="0.25">
      <c r="A425">
        <v>154</v>
      </c>
      <c r="B425" t="s">
        <v>186</v>
      </c>
      <c r="C425">
        <v>143</v>
      </c>
      <c r="D425">
        <v>60</v>
      </c>
      <c r="E425">
        <v>83</v>
      </c>
      <c r="F425" s="18" t="s">
        <v>461</v>
      </c>
      <c r="H425" t="str">
        <f>IF(B425=$H$1,COUNT($H$2:H426)+1," ")</f>
        <v xml:space="preserve"> </v>
      </c>
      <c r="L425">
        <v>424</v>
      </c>
      <c r="M425">
        <v>79</v>
      </c>
      <c r="N425">
        <v>116</v>
      </c>
      <c r="O425" s="18" t="s">
        <v>726</v>
      </c>
      <c r="P425">
        <f t="shared" si="18"/>
        <v>195</v>
      </c>
      <c r="Q425" t="str">
        <f>INDEX(Elemek!$B$2:$B$113,MATCH(M425,Elemek!$C$2:$C$113,0))</f>
        <v>Au</v>
      </c>
      <c r="R425" t="str">
        <f t="shared" si="19"/>
        <v>8.238353</v>
      </c>
      <c r="S425" t="str">
        <f t="shared" si="20"/>
        <v>8.238353</v>
      </c>
    </row>
    <row r="426" spans="1:19" x14ac:dyDescent="0.25">
      <c r="A426">
        <v>272</v>
      </c>
      <c r="B426" t="s">
        <v>186</v>
      </c>
      <c r="C426">
        <v>144</v>
      </c>
      <c r="D426">
        <v>60</v>
      </c>
      <c r="E426">
        <v>84</v>
      </c>
      <c r="F426" s="18" t="s">
        <v>579</v>
      </c>
      <c r="H426" t="str">
        <f>IF(B426=$H$1,COUNT($H$2:H427)+1," ")</f>
        <v xml:space="preserve"> </v>
      </c>
      <c r="L426">
        <v>425</v>
      </c>
      <c r="M426">
        <v>77</v>
      </c>
      <c r="N426">
        <v>117</v>
      </c>
      <c r="O426" s="18" t="s">
        <v>727</v>
      </c>
      <c r="P426">
        <f t="shared" si="18"/>
        <v>194</v>
      </c>
      <c r="Q426" t="str">
        <f>INDEX(Elemek!$B$2:$B$113,MATCH(M426,Elemek!$C$2:$C$113,0))</f>
        <v>Ir</v>
      </c>
      <c r="R426" t="str">
        <f t="shared" si="19"/>
        <v>8.238025</v>
      </c>
      <c r="S426" t="str">
        <f t="shared" si="20"/>
        <v>8.238025</v>
      </c>
    </row>
    <row r="427" spans="1:19" x14ac:dyDescent="0.25">
      <c r="A427">
        <v>523</v>
      </c>
      <c r="B427" t="s">
        <v>225</v>
      </c>
      <c r="C427">
        <v>143</v>
      </c>
      <c r="D427">
        <v>59</v>
      </c>
      <c r="E427">
        <v>84</v>
      </c>
      <c r="F427" s="18" t="s">
        <v>815</v>
      </c>
      <c r="H427" t="str">
        <f>IF(B427=$H$1,COUNT($H$2:H428)+1," ")</f>
        <v xml:space="preserve"> </v>
      </c>
      <c r="L427">
        <v>426</v>
      </c>
      <c r="M427">
        <v>75</v>
      </c>
      <c r="N427">
        <v>109</v>
      </c>
      <c r="O427" s="18" t="s">
        <v>728</v>
      </c>
      <c r="P427">
        <f t="shared" si="18"/>
        <v>184</v>
      </c>
      <c r="Q427" t="str">
        <f>INDEX(Elemek!$B$2:$B$113,MATCH(M427,Elemek!$C$2:$C$113,0))</f>
        <v>Re</v>
      </c>
      <c r="R427" t="str">
        <f t="shared" si="19"/>
        <v>8.31067</v>
      </c>
      <c r="S427" t="str">
        <f t="shared" si="20"/>
        <v>8.31067</v>
      </c>
    </row>
    <row r="428" spans="1:19" x14ac:dyDescent="0.25">
      <c r="A428">
        <v>118</v>
      </c>
      <c r="B428" t="s">
        <v>170</v>
      </c>
      <c r="C428">
        <v>24</v>
      </c>
      <c r="D428">
        <v>12</v>
      </c>
      <c r="E428">
        <v>12</v>
      </c>
      <c r="F428" s="18" t="s">
        <v>425</v>
      </c>
      <c r="H428" t="str">
        <f>IF(B428=$H$1,COUNT($H$2:H429)+1," ")</f>
        <v xml:space="preserve"> </v>
      </c>
      <c r="L428">
        <v>427</v>
      </c>
      <c r="M428">
        <v>96</v>
      </c>
      <c r="N428">
        <v>146</v>
      </c>
      <c r="O428" s="18" t="s">
        <v>729</v>
      </c>
      <c r="P428">
        <f t="shared" si="18"/>
        <v>242</v>
      </c>
      <c r="Q428" t="str">
        <f>INDEX(Elemek!$B$2:$B$113,MATCH(M428,Elemek!$C$2:$C$113,0))</f>
        <v>Cm</v>
      </c>
      <c r="R428" t="str">
        <f t="shared" si="19"/>
        <v>7.84486</v>
      </c>
      <c r="S428" t="str">
        <f t="shared" si="20"/>
        <v>7.84486</v>
      </c>
    </row>
    <row r="429" spans="1:19" x14ac:dyDescent="0.25">
      <c r="A429">
        <v>419</v>
      </c>
      <c r="B429" t="s">
        <v>228</v>
      </c>
      <c r="C429">
        <v>143</v>
      </c>
      <c r="D429">
        <v>61</v>
      </c>
      <c r="E429">
        <v>82</v>
      </c>
      <c r="F429" s="18" t="s">
        <v>722</v>
      </c>
      <c r="H429" t="str">
        <f>IF(B429=$H$1,COUNT($H$2:H430)+1," ")</f>
        <v xml:space="preserve"> </v>
      </c>
      <c r="L429">
        <v>428</v>
      </c>
      <c r="M429">
        <v>20</v>
      </c>
      <c r="N429">
        <v>25</v>
      </c>
      <c r="O429" s="18" t="s">
        <v>730</v>
      </c>
      <c r="P429">
        <f t="shared" si="18"/>
        <v>45</v>
      </c>
      <c r="Q429" t="str">
        <f>INDEX(Elemek!$B$2:$B$113,MATCH(M429,Elemek!$C$2:$C$113,0))</f>
        <v>Ca</v>
      </c>
      <c r="R429" t="str">
        <f t="shared" si="19"/>
        <v>8.978261</v>
      </c>
      <c r="S429" t="str">
        <f t="shared" si="20"/>
        <v>8.978261</v>
      </c>
    </row>
    <row r="430" spans="1:19" x14ac:dyDescent="0.25">
      <c r="A430">
        <v>654</v>
      </c>
      <c r="B430" t="s">
        <v>57</v>
      </c>
      <c r="C430">
        <v>143</v>
      </c>
      <c r="D430">
        <v>58</v>
      </c>
      <c r="E430">
        <v>85</v>
      </c>
      <c r="F430" s="18" t="s">
        <v>929</v>
      </c>
      <c r="H430" t="str">
        <f>IF(B430=$H$1,COUNT($H$2:H431)+1," ")</f>
        <v xml:space="preserve"> </v>
      </c>
      <c r="L430">
        <v>429</v>
      </c>
      <c r="M430">
        <v>71</v>
      </c>
      <c r="N430">
        <v>106</v>
      </c>
      <c r="O430" s="18" t="s">
        <v>731</v>
      </c>
      <c r="P430">
        <f t="shared" si="18"/>
        <v>177</v>
      </c>
      <c r="Q430" t="str">
        <f>INDEX(Elemek!$B$2:$B$113,MATCH(M430,Elemek!$C$2:$C$113,0))</f>
        <v>Lu</v>
      </c>
      <c r="R430" t="str">
        <f t="shared" si="19"/>
        <v>8.361829</v>
      </c>
      <c r="S430" t="str">
        <f t="shared" si="20"/>
        <v>8.361829</v>
      </c>
    </row>
    <row r="431" spans="1:19" x14ac:dyDescent="0.25">
      <c r="A431">
        <v>209</v>
      </c>
      <c r="B431" t="s">
        <v>258</v>
      </c>
      <c r="C431">
        <v>144</v>
      </c>
      <c r="D431">
        <v>62</v>
      </c>
      <c r="E431">
        <v>82</v>
      </c>
      <c r="F431" s="18" t="s">
        <v>516</v>
      </c>
      <c r="H431" t="str">
        <f>IF(B431=$H$1,COUNT($H$2:H432)+1," ")</f>
        <v xml:space="preserve"> </v>
      </c>
      <c r="L431">
        <v>430</v>
      </c>
      <c r="M431">
        <v>52</v>
      </c>
      <c r="N431">
        <v>69</v>
      </c>
      <c r="O431" s="18" t="s">
        <v>732</v>
      </c>
      <c r="P431">
        <f t="shared" si="18"/>
        <v>121</v>
      </c>
      <c r="Q431" t="str">
        <f>INDEX(Elemek!$B$2:$B$113,MATCH(M431,Elemek!$C$2:$C$113,0))</f>
        <v>Te</v>
      </c>
      <c r="R431" t="str">
        <f t="shared" si="19"/>
        <v>8.800749</v>
      </c>
      <c r="S431" t="str">
        <f t="shared" si="20"/>
        <v>8.800749</v>
      </c>
    </row>
    <row r="432" spans="1:19" x14ac:dyDescent="0.25">
      <c r="A432">
        <v>408</v>
      </c>
      <c r="B432" t="s">
        <v>228</v>
      </c>
      <c r="C432">
        <v>144</v>
      </c>
      <c r="D432">
        <v>61</v>
      </c>
      <c r="E432">
        <v>83</v>
      </c>
      <c r="F432" s="18" t="s">
        <v>712</v>
      </c>
      <c r="H432" t="str">
        <f>IF(B432=$H$1,COUNT($H$2:H433)+1," ")</f>
        <v xml:space="preserve"> </v>
      </c>
      <c r="L432">
        <v>431</v>
      </c>
      <c r="M432">
        <v>66</v>
      </c>
      <c r="N432">
        <v>93</v>
      </c>
      <c r="O432" s="18" t="s">
        <v>733</v>
      </c>
      <c r="P432">
        <f t="shared" si="18"/>
        <v>159</v>
      </c>
      <c r="Q432" t="str">
        <f>INDEX(Elemek!$B$2:$B$113,MATCH(M432,Elemek!$C$2:$C$113,0))</f>
        <v>Dy</v>
      </c>
      <c r="R432" t="str">
        <f t="shared" si="19"/>
        <v>8.506378</v>
      </c>
      <c r="S432" t="str">
        <f t="shared" si="20"/>
        <v>8.506378</v>
      </c>
    </row>
    <row r="433" spans="1:19" x14ac:dyDescent="0.25">
      <c r="A433">
        <v>945</v>
      </c>
      <c r="B433" t="s">
        <v>160</v>
      </c>
      <c r="C433">
        <v>142</v>
      </c>
      <c r="D433">
        <v>57</v>
      </c>
      <c r="E433">
        <v>85</v>
      </c>
      <c r="F433" s="18" t="s">
        <v>1164</v>
      </c>
      <c r="H433" t="str">
        <f>IF(B433=$H$1,COUNT($H$2:H434)+1," ")</f>
        <v xml:space="preserve"> </v>
      </c>
      <c r="L433">
        <v>432</v>
      </c>
      <c r="M433">
        <v>71</v>
      </c>
      <c r="N433">
        <v>103</v>
      </c>
      <c r="O433" s="18"/>
      <c r="P433">
        <f t="shared" si="18"/>
        <v>174</v>
      </c>
      <c r="Q433" t="str">
        <f>INDEX(Elemek!$B$2:$B$113,MATCH(M433,Elemek!$C$2:$C$113,0))</f>
        <v>Lu</v>
      </c>
      <c r="R433" t="e">
        <f t="shared" si="19"/>
        <v>#DIV/0!</v>
      </c>
      <c r="S433" t="e">
        <f t="shared" si="20"/>
        <v>#DIV/0!</v>
      </c>
    </row>
    <row r="434" spans="1:19" x14ac:dyDescent="0.25">
      <c r="A434">
        <v>240</v>
      </c>
      <c r="B434" t="s">
        <v>186</v>
      </c>
      <c r="C434">
        <v>145</v>
      </c>
      <c r="D434">
        <v>60</v>
      </c>
      <c r="E434">
        <v>85</v>
      </c>
      <c r="F434" s="18" t="s">
        <v>547</v>
      </c>
      <c r="H434" t="str">
        <f>IF(B434=$H$1,COUNT($H$2:H435)+1," ")</f>
        <v xml:space="preserve"> </v>
      </c>
      <c r="L434">
        <v>433</v>
      </c>
      <c r="M434">
        <v>84</v>
      </c>
      <c r="N434">
        <v>126</v>
      </c>
      <c r="O434" s="18" t="s">
        <v>734</v>
      </c>
      <c r="P434">
        <f t="shared" si="18"/>
        <v>210</v>
      </c>
      <c r="Q434" t="str">
        <f>INDEX(Elemek!$B$2:$B$113,MATCH(M434,Elemek!$C$2:$C$113,0))</f>
        <v>Po</v>
      </c>
      <c r="R434" t="str">
        <f t="shared" si="19"/>
        <v>8.147295</v>
      </c>
      <c r="S434" t="str">
        <f t="shared" si="20"/>
        <v>8.147295</v>
      </c>
    </row>
    <row r="435" spans="1:19" x14ac:dyDescent="0.25">
      <c r="A435">
        <v>372</v>
      </c>
      <c r="B435" t="s">
        <v>228</v>
      </c>
      <c r="C435">
        <v>145</v>
      </c>
      <c r="D435">
        <v>61</v>
      </c>
      <c r="E435">
        <v>84</v>
      </c>
      <c r="F435" s="18" t="s">
        <v>678</v>
      </c>
      <c r="H435" t="str">
        <f>IF(B435=$H$1,COUNT($H$2:H436)+1," ")</f>
        <v xml:space="preserve"> </v>
      </c>
      <c r="L435">
        <v>434</v>
      </c>
      <c r="M435">
        <v>58</v>
      </c>
      <c r="N435">
        <v>81</v>
      </c>
      <c r="O435" s="18" t="s">
        <v>735</v>
      </c>
      <c r="P435">
        <f t="shared" si="18"/>
        <v>139</v>
      </c>
      <c r="Q435" t="str">
        <f>INDEX(Elemek!$B$2:$B$113,MATCH(M435,Elemek!$C$2:$C$113,0))</f>
        <v>Ce</v>
      </c>
      <c r="R435" t="str">
        <f t="shared" si="19"/>
        <v>8.696881</v>
      </c>
      <c r="S435" t="str">
        <f t="shared" si="20"/>
        <v>8.696881</v>
      </c>
    </row>
    <row r="436" spans="1:19" x14ac:dyDescent="0.25">
      <c r="A436">
        <v>415</v>
      </c>
      <c r="B436" t="s">
        <v>57</v>
      </c>
      <c r="C436">
        <v>144</v>
      </c>
      <c r="D436">
        <v>58</v>
      </c>
      <c r="E436">
        <v>86</v>
      </c>
      <c r="F436" s="18" t="s">
        <v>718</v>
      </c>
      <c r="H436" t="str">
        <f>IF(B436=$H$1,COUNT($H$2:H437)+1," ")</f>
        <v xml:space="preserve"> </v>
      </c>
      <c r="L436">
        <v>435</v>
      </c>
      <c r="M436">
        <v>50</v>
      </c>
      <c r="N436">
        <v>73</v>
      </c>
      <c r="O436" s="18" t="s">
        <v>736</v>
      </c>
      <c r="P436">
        <f t="shared" si="18"/>
        <v>123</v>
      </c>
      <c r="Q436" t="str">
        <f>INDEX(Elemek!$B$2:$B$113,MATCH(M436,Elemek!$C$2:$C$113,0))</f>
        <v>Sn</v>
      </c>
      <c r="R436" t="str">
        <f t="shared" si="19"/>
        <v>8.785311</v>
      </c>
      <c r="S436" t="str">
        <f t="shared" si="20"/>
        <v>8.785311</v>
      </c>
    </row>
    <row r="437" spans="1:19" x14ac:dyDescent="0.25">
      <c r="A437">
        <v>965</v>
      </c>
      <c r="B437" t="s">
        <v>258</v>
      </c>
      <c r="C437">
        <v>142</v>
      </c>
      <c r="D437">
        <v>62</v>
      </c>
      <c r="E437">
        <v>80</v>
      </c>
      <c r="F437" s="18" t="s">
        <v>1181</v>
      </c>
      <c r="H437" t="str">
        <f>IF(B437=$H$1,COUNT($H$2:H438)+1," ")</f>
        <v xml:space="preserve"> </v>
      </c>
      <c r="L437">
        <v>436</v>
      </c>
      <c r="M437">
        <v>69</v>
      </c>
      <c r="N437">
        <v>101</v>
      </c>
      <c r="O437" s="18" t="s">
        <v>737</v>
      </c>
      <c r="P437">
        <f t="shared" si="18"/>
        <v>170</v>
      </c>
      <c r="Q437" t="str">
        <f>INDEX(Elemek!$B$2:$B$113,MATCH(M437,Elemek!$C$2:$C$113,0))</f>
        <v>Tm</v>
      </c>
      <c r="R437" t="str">
        <f t="shared" si="19"/>
        <v>8.423096</v>
      </c>
      <c r="S437" t="str">
        <f t="shared" si="20"/>
        <v>8.423096</v>
      </c>
    </row>
    <row r="438" spans="1:19" x14ac:dyDescent="0.25">
      <c r="A438">
        <v>409</v>
      </c>
      <c r="B438" t="s">
        <v>258</v>
      </c>
      <c r="C438">
        <v>145</v>
      </c>
      <c r="D438">
        <v>62</v>
      </c>
      <c r="E438">
        <v>83</v>
      </c>
      <c r="F438" s="18" t="s">
        <v>713</v>
      </c>
      <c r="H438" t="str">
        <f>IF(B438=$H$1,COUNT($H$2:H439)+1," ")</f>
        <v xml:space="preserve"> </v>
      </c>
      <c r="L438">
        <v>437</v>
      </c>
      <c r="M438">
        <v>64</v>
      </c>
      <c r="N438">
        <v>87</v>
      </c>
      <c r="O438" s="18" t="s">
        <v>738</v>
      </c>
      <c r="P438">
        <f t="shared" si="18"/>
        <v>151</v>
      </c>
      <c r="Q438" t="str">
        <f>INDEX(Elemek!$B$2:$B$113,MATCH(M438,Elemek!$C$2:$C$113,0))</f>
        <v>Gd</v>
      </c>
      <c r="R438" t="str">
        <f t="shared" si="19"/>
        <v>8.562685</v>
      </c>
      <c r="S438" t="str">
        <f t="shared" si="20"/>
        <v>8.562685</v>
      </c>
    </row>
    <row r="439" spans="1:19" x14ac:dyDescent="0.25">
      <c r="A439">
        <v>287</v>
      </c>
      <c r="B439" t="s">
        <v>258</v>
      </c>
      <c r="C439">
        <v>146</v>
      </c>
      <c r="D439">
        <v>62</v>
      </c>
      <c r="E439">
        <v>84</v>
      </c>
      <c r="F439" s="18" t="s">
        <v>594</v>
      </c>
      <c r="H439" t="str">
        <f>IF(B439=$H$1,COUNT($H$2:H440)+1," ")</f>
        <v xml:space="preserve"> </v>
      </c>
      <c r="L439">
        <v>438</v>
      </c>
      <c r="M439">
        <v>74</v>
      </c>
      <c r="N439">
        <v>107</v>
      </c>
      <c r="O439" s="18" t="s">
        <v>739</v>
      </c>
      <c r="P439">
        <f t="shared" si="18"/>
        <v>181</v>
      </c>
      <c r="Q439" t="str">
        <f>INDEX(Elemek!$B$2:$B$113,MATCH(M439,Elemek!$C$2:$C$113,0))</f>
        <v>W</v>
      </c>
      <c r="R439" t="str">
        <f t="shared" si="19"/>
        <v>8.337924</v>
      </c>
      <c r="S439" t="str">
        <f t="shared" si="20"/>
        <v>8.337924</v>
      </c>
    </row>
    <row r="440" spans="1:19" x14ac:dyDescent="0.25">
      <c r="A440">
        <v>221</v>
      </c>
      <c r="B440" t="s">
        <v>186</v>
      </c>
      <c r="C440">
        <v>146</v>
      </c>
      <c r="D440">
        <v>60</v>
      </c>
      <c r="E440">
        <v>86</v>
      </c>
      <c r="F440" s="18" t="s">
        <v>528</v>
      </c>
      <c r="H440" t="str">
        <f>IF(B440=$H$1,COUNT($H$2:H441)+1," ")</f>
        <v xml:space="preserve"> </v>
      </c>
      <c r="L440">
        <v>439</v>
      </c>
      <c r="M440">
        <v>34</v>
      </c>
      <c r="N440">
        <v>41</v>
      </c>
      <c r="O440" s="18" t="s">
        <v>740</v>
      </c>
      <c r="P440">
        <f t="shared" si="18"/>
        <v>75</v>
      </c>
      <c r="Q440" t="str">
        <f>INDEX(Elemek!$B$2:$B$113,MATCH(M440,Elemek!$C$2:$C$113,0))</f>
        <v>Se</v>
      </c>
      <c r="R440" t="str">
        <f t="shared" si="19"/>
        <v>9.033581</v>
      </c>
      <c r="S440" t="str">
        <f t="shared" si="20"/>
        <v>9.033581</v>
      </c>
    </row>
    <row r="441" spans="1:19" x14ac:dyDescent="0.25">
      <c r="A441">
        <v>794</v>
      </c>
      <c r="B441" t="s">
        <v>225</v>
      </c>
      <c r="C441">
        <v>145</v>
      </c>
      <c r="D441">
        <v>59</v>
      </c>
      <c r="E441">
        <v>86</v>
      </c>
      <c r="F441" s="18" t="s">
        <v>1041</v>
      </c>
      <c r="H441" t="str">
        <f>IF(B441=$H$1,COUNT($H$2:H442)+1," ")</f>
        <v xml:space="preserve"> </v>
      </c>
      <c r="L441">
        <v>440</v>
      </c>
      <c r="M441">
        <v>52</v>
      </c>
      <c r="N441">
        <v>71</v>
      </c>
      <c r="O441" s="18"/>
      <c r="P441">
        <f t="shared" si="18"/>
        <v>123</v>
      </c>
      <c r="Q441" t="str">
        <f>INDEX(Elemek!$B$2:$B$113,MATCH(M441,Elemek!$C$2:$C$113,0))</f>
        <v>Te</v>
      </c>
      <c r="R441" t="e">
        <f t="shared" si="19"/>
        <v>#DIV/0!</v>
      </c>
      <c r="S441" t="e">
        <f t="shared" si="20"/>
        <v>#DIV/0!</v>
      </c>
    </row>
    <row r="442" spans="1:19" x14ac:dyDescent="0.25">
      <c r="A442">
        <v>384</v>
      </c>
      <c r="B442" t="s">
        <v>228</v>
      </c>
      <c r="C442">
        <v>146</v>
      </c>
      <c r="D442">
        <v>61</v>
      </c>
      <c r="E442">
        <v>85</v>
      </c>
      <c r="F442" s="18" t="s">
        <v>688</v>
      </c>
      <c r="H442" t="str">
        <f>IF(B442=$H$1,COUNT($H$2:H443)+1," ")</f>
        <v xml:space="preserve"> </v>
      </c>
      <c r="L442">
        <v>441</v>
      </c>
      <c r="M442">
        <v>50</v>
      </c>
      <c r="N442">
        <v>63</v>
      </c>
      <c r="O442" s="18" t="s">
        <v>741</v>
      </c>
      <c r="P442">
        <f t="shared" si="18"/>
        <v>113</v>
      </c>
      <c r="Q442" t="str">
        <f>INDEX(Elemek!$B$2:$B$113,MATCH(M442,Elemek!$C$2:$C$113,0))</f>
        <v>Sn</v>
      </c>
      <c r="R442" t="str">
        <f t="shared" si="19"/>
        <v>8.853035</v>
      </c>
      <c r="S442" t="str">
        <f t="shared" si="20"/>
        <v>8.853035</v>
      </c>
    </row>
    <row r="443" spans="1:19" x14ac:dyDescent="0.25">
      <c r="A443">
        <v>278</v>
      </c>
      <c r="B443" t="s">
        <v>258</v>
      </c>
      <c r="C443">
        <v>147</v>
      </c>
      <c r="D443">
        <v>62</v>
      </c>
      <c r="E443">
        <v>85</v>
      </c>
      <c r="F443" s="18" t="s">
        <v>585</v>
      </c>
      <c r="H443" t="str">
        <f>IF(B443=$H$1,COUNT($H$2:H444)+1," ")</f>
        <v xml:space="preserve"> </v>
      </c>
      <c r="L443">
        <v>442</v>
      </c>
      <c r="M443">
        <v>73</v>
      </c>
      <c r="N443">
        <v>109</v>
      </c>
      <c r="O443" s="18" t="s">
        <v>742</v>
      </c>
      <c r="P443">
        <f t="shared" si="18"/>
        <v>182</v>
      </c>
      <c r="Q443" t="str">
        <f>INDEX(Elemek!$B$2:$B$113,MATCH(M443,Elemek!$C$2:$C$113,0))</f>
        <v>Ta</v>
      </c>
      <c r="R443" t="str">
        <f t="shared" si="19"/>
        <v>8.326456</v>
      </c>
      <c r="S443" t="str">
        <f t="shared" si="20"/>
        <v>8.326456</v>
      </c>
    </row>
    <row r="444" spans="1:19" x14ac:dyDescent="0.25">
      <c r="A444">
        <v>563</v>
      </c>
      <c r="B444" t="s">
        <v>80</v>
      </c>
      <c r="C444">
        <v>145</v>
      </c>
      <c r="D444">
        <v>63</v>
      </c>
      <c r="E444">
        <v>82</v>
      </c>
      <c r="F444" s="18" t="s">
        <v>850</v>
      </c>
      <c r="H444" t="str">
        <f>IF(B444=$H$1,COUNT($H$2:H445)+1," ")</f>
        <v xml:space="preserve"> </v>
      </c>
      <c r="L444">
        <v>443</v>
      </c>
      <c r="M444">
        <v>52</v>
      </c>
      <c r="N444">
        <v>75</v>
      </c>
      <c r="O444" s="18" t="s">
        <v>743</v>
      </c>
      <c r="P444">
        <f t="shared" si="18"/>
        <v>127</v>
      </c>
      <c r="Q444" t="str">
        <f>INDEX(Elemek!$B$2:$B$113,MATCH(M444,Elemek!$C$2:$C$113,0))</f>
        <v>Te</v>
      </c>
      <c r="R444" t="str">
        <f t="shared" si="19"/>
        <v>8.765759</v>
      </c>
      <c r="S444" t="str">
        <f t="shared" si="20"/>
        <v>8.765759</v>
      </c>
    </row>
    <row r="445" spans="1:19" x14ac:dyDescent="0.25">
      <c r="A445">
        <v>396</v>
      </c>
      <c r="B445" t="s">
        <v>228</v>
      </c>
      <c r="C445">
        <v>147</v>
      </c>
      <c r="D445">
        <v>61</v>
      </c>
      <c r="E445">
        <v>86</v>
      </c>
      <c r="F445" s="18" t="s">
        <v>700</v>
      </c>
      <c r="H445" t="str">
        <f>IF(B445=$H$1,COUNT($H$2:H446)+1," ")</f>
        <v xml:space="preserve"> </v>
      </c>
      <c r="L445">
        <v>444</v>
      </c>
      <c r="M445">
        <v>39</v>
      </c>
      <c r="N445">
        <v>49</v>
      </c>
      <c r="O445" s="18" t="s">
        <v>744</v>
      </c>
      <c r="P445">
        <f t="shared" si="18"/>
        <v>88</v>
      </c>
      <c r="Q445" t="str">
        <f>INDEX(Elemek!$B$2:$B$113,MATCH(M445,Elemek!$C$2:$C$113,0))</f>
        <v>Y</v>
      </c>
      <c r="R445" t="str">
        <f t="shared" si="19"/>
        <v>9.029272</v>
      </c>
      <c r="S445" t="str">
        <f t="shared" si="20"/>
        <v>9.029272</v>
      </c>
    </row>
    <row r="446" spans="1:19" x14ac:dyDescent="0.25">
      <c r="A446">
        <v>690</v>
      </c>
      <c r="B446" t="s">
        <v>170</v>
      </c>
      <c r="C446">
        <v>28</v>
      </c>
      <c r="D446">
        <v>12</v>
      </c>
      <c r="E446">
        <v>16</v>
      </c>
      <c r="F446" s="18" t="s">
        <v>957</v>
      </c>
      <c r="H446" t="str">
        <f>IF(B446=$H$1,COUNT($H$2:H447)+1," ")</f>
        <v xml:space="preserve"> </v>
      </c>
      <c r="L446">
        <v>445</v>
      </c>
      <c r="M446">
        <v>100</v>
      </c>
      <c r="N446">
        <v>157</v>
      </c>
      <c r="O446" s="18" t="s">
        <v>745</v>
      </c>
      <c r="P446">
        <f t="shared" si="18"/>
        <v>257</v>
      </c>
      <c r="Q446" t="str">
        <f>INDEX(Elemek!$B$2:$B$113,MATCH(M446,Elemek!$C$2:$C$113,0))</f>
        <v>Fm</v>
      </c>
      <c r="R446" t="str">
        <f t="shared" si="19"/>
        <v>7.726619</v>
      </c>
      <c r="S446" t="str">
        <f t="shared" si="20"/>
        <v>7.726619</v>
      </c>
    </row>
    <row r="447" spans="1:19" x14ac:dyDescent="0.25">
      <c r="A447">
        <v>271</v>
      </c>
      <c r="B447" t="s">
        <v>258</v>
      </c>
      <c r="C447">
        <v>148</v>
      </c>
      <c r="D447">
        <v>62</v>
      </c>
      <c r="E447">
        <v>86</v>
      </c>
      <c r="F447" s="18" t="s">
        <v>578</v>
      </c>
      <c r="H447" t="str">
        <f>IF(B447=$H$1,COUNT($H$2:H448)+1," ")</f>
        <v xml:space="preserve"> </v>
      </c>
      <c r="L447">
        <v>446</v>
      </c>
      <c r="M447">
        <v>76</v>
      </c>
      <c r="N447">
        <v>109</v>
      </c>
      <c r="O447" s="18" t="s">
        <v>746</v>
      </c>
      <c r="P447">
        <f t="shared" si="18"/>
        <v>185</v>
      </c>
      <c r="Q447" t="str">
        <f>INDEX(Elemek!$B$2:$B$113,MATCH(M447,Elemek!$C$2:$C$113,0))</f>
        <v>Os</v>
      </c>
      <c r="R447" t="str">
        <f t="shared" si="19"/>
        <v>8.30273</v>
      </c>
      <c r="S447" t="str">
        <f t="shared" si="20"/>
        <v>8.30273</v>
      </c>
    </row>
    <row r="448" spans="1:19" x14ac:dyDescent="0.25">
      <c r="A448">
        <v>535</v>
      </c>
      <c r="B448" t="s">
        <v>186</v>
      </c>
      <c r="C448">
        <v>147</v>
      </c>
      <c r="D448">
        <v>60</v>
      </c>
      <c r="E448">
        <v>87</v>
      </c>
      <c r="F448" s="18" t="s">
        <v>826</v>
      </c>
      <c r="H448" t="str">
        <f>IF(B448=$H$1,COUNT($H$2:H449)+1," ")</f>
        <v xml:space="preserve"> </v>
      </c>
      <c r="L448">
        <v>447</v>
      </c>
      <c r="M448">
        <v>69</v>
      </c>
      <c r="N448">
        <v>99</v>
      </c>
      <c r="O448" s="18" t="s">
        <v>747</v>
      </c>
      <c r="P448">
        <f t="shared" si="18"/>
        <v>168</v>
      </c>
      <c r="Q448" t="str">
        <f>INDEX(Elemek!$B$2:$B$113,MATCH(M448,Elemek!$C$2:$C$113,0))</f>
        <v>Tm</v>
      </c>
      <c r="R448" t="str">
        <f t="shared" si="19"/>
        <v>8.436316</v>
      </c>
      <c r="S448" t="str">
        <f t="shared" si="20"/>
        <v>8.436316</v>
      </c>
    </row>
    <row r="449" spans="1:19" x14ac:dyDescent="0.25">
      <c r="A449">
        <v>574</v>
      </c>
      <c r="B449" t="s">
        <v>80</v>
      </c>
      <c r="C449">
        <v>146</v>
      </c>
      <c r="D449">
        <v>63</v>
      </c>
      <c r="E449">
        <v>83</v>
      </c>
      <c r="F449" s="18" t="s">
        <v>859</v>
      </c>
      <c r="H449" t="str">
        <f>IF(B449=$H$1,COUNT($H$2:H450)+1," ")</f>
        <v xml:space="preserve"> </v>
      </c>
      <c r="L449">
        <v>448</v>
      </c>
      <c r="M449">
        <v>63</v>
      </c>
      <c r="N449">
        <v>86</v>
      </c>
      <c r="O449" s="18" t="s">
        <v>748</v>
      </c>
      <c r="P449">
        <f t="shared" si="18"/>
        <v>149</v>
      </c>
      <c r="Q449" t="str">
        <f>INDEX(Elemek!$B$2:$B$113,MATCH(M449,Elemek!$C$2:$C$113,0))</f>
        <v>Eu</v>
      </c>
      <c r="R449" t="str">
        <f t="shared" si="19"/>
        <v>8.584395</v>
      </c>
      <c r="S449" t="str">
        <f t="shared" si="20"/>
        <v>8.584395</v>
      </c>
    </row>
    <row r="450" spans="1:19" x14ac:dyDescent="0.25">
      <c r="A450">
        <v>119</v>
      </c>
      <c r="B450" t="s">
        <v>170</v>
      </c>
      <c r="C450">
        <v>25</v>
      </c>
      <c r="D450">
        <v>12</v>
      </c>
      <c r="E450">
        <v>13</v>
      </c>
      <c r="F450" s="18" t="s">
        <v>426</v>
      </c>
      <c r="H450" t="str">
        <f>IF(B450=$H$1,COUNT($H$2:H451)+1," ")</f>
        <v xml:space="preserve"> </v>
      </c>
      <c r="L450">
        <v>449</v>
      </c>
      <c r="M450">
        <v>43</v>
      </c>
      <c r="N450">
        <v>54</v>
      </c>
      <c r="O450" s="18"/>
      <c r="P450">
        <f t="shared" si="18"/>
        <v>97</v>
      </c>
      <c r="Q450" t="str">
        <f>INDEX(Elemek!$B$2:$B$113,MATCH(M450,Elemek!$C$2:$C$113,0))</f>
        <v>Tc</v>
      </c>
      <c r="R450" t="e">
        <f t="shared" si="19"/>
        <v>#DIV/0!</v>
      </c>
      <c r="S450" t="e">
        <f t="shared" si="20"/>
        <v>#DIV/0!</v>
      </c>
    </row>
    <row r="451" spans="1:19" x14ac:dyDescent="0.25">
      <c r="A451">
        <v>504</v>
      </c>
      <c r="B451" t="s">
        <v>80</v>
      </c>
      <c r="C451">
        <v>147</v>
      </c>
      <c r="D451">
        <v>63</v>
      </c>
      <c r="E451">
        <v>84</v>
      </c>
      <c r="F451" s="18" t="s">
        <v>798</v>
      </c>
      <c r="H451" t="str">
        <f>IF(B451=$H$1,COUNT($H$2:H452)+1," ")</f>
        <v xml:space="preserve"> </v>
      </c>
      <c r="L451">
        <v>450</v>
      </c>
      <c r="M451">
        <v>16</v>
      </c>
      <c r="N451">
        <v>19</v>
      </c>
      <c r="O451" s="18" t="s">
        <v>749</v>
      </c>
      <c r="P451">
        <f t="shared" ref="P451:P514" si="21">N451+M451</f>
        <v>35</v>
      </c>
      <c r="Q451" t="str">
        <f>INDEX(Elemek!$B$2:$B$113,MATCH(M451,Elemek!$C$2:$C$113,0))</f>
        <v>S</v>
      </c>
      <c r="R451" t="str">
        <f t="shared" ref="R451:R514" si="22">IF(NOT(ISBLANK(O451)),O451,ROUNDDOWN(AVERAGE($O$2:$O$990),2))</f>
        <v>8.89551</v>
      </c>
      <c r="S451" t="str">
        <f t="shared" ref="S451:S514" si="23">IF(ISBLANK(O451),ROUNDDOWN(AVERAGEIF($M$2:$M$990,M451,$O$2:$O$990),2),O451)</f>
        <v>8.89551</v>
      </c>
    </row>
    <row r="452" spans="1:19" x14ac:dyDescent="0.25">
      <c r="A452">
        <v>216</v>
      </c>
      <c r="B452" t="s">
        <v>186</v>
      </c>
      <c r="C452">
        <v>148</v>
      </c>
      <c r="D452">
        <v>60</v>
      </c>
      <c r="E452">
        <v>88</v>
      </c>
      <c r="F452" s="18" t="s">
        <v>523</v>
      </c>
      <c r="H452" t="str">
        <f>IF(B452=$H$1,COUNT($H$2:H453)+1," ")</f>
        <v xml:space="preserve"> </v>
      </c>
      <c r="L452">
        <v>451</v>
      </c>
      <c r="M452">
        <v>37</v>
      </c>
      <c r="N452">
        <v>46</v>
      </c>
      <c r="O452" s="18" t="s">
        <v>750</v>
      </c>
      <c r="P452">
        <f t="shared" si="21"/>
        <v>83</v>
      </c>
      <c r="Q452" t="str">
        <f>INDEX(Elemek!$B$2:$B$113,MATCH(M452,Elemek!$C$2:$C$113,0))</f>
        <v>Rb</v>
      </c>
      <c r="R452" t="str">
        <f t="shared" si="22"/>
        <v>9.024038</v>
      </c>
      <c r="S452" t="str">
        <f t="shared" si="23"/>
        <v>9.024038</v>
      </c>
    </row>
    <row r="453" spans="1:19" x14ac:dyDescent="0.25">
      <c r="A453">
        <v>477</v>
      </c>
      <c r="B453" t="s">
        <v>96</v>
      </c>
      <c r="C453">
        <v>146</v>
      </c>
      <c r="D453">
        <v>64</v>
      </c>
      <c r="E453">
        <v>82</v>
      </c>
      <c r="F453" s="18" t="s">
        <v>773</v>
      </c>
      <c r="H453" t="str">
        <f>IF(B453=$H$1,COUNT($H$2:H454)+1," ")</f>
        <v xml:space="preserve"> </v>
      </c>
      <c r="L453">
        <v>452</v>
      </c>
      <c r="M453">
        <v>21</v>
      </c>
      <c r="N453">
        <v>25</v>
      </c>
      <c r="O453" s="18" t="s">
        <v>751</v>
      </c>
      <c r="P453">
        <f t="shared" si="21"/>
        <v>46</v>
      </c>
      <c r="Q453" t="str">
        <f>INDEX(Elemek!$B$2:$B$113,MATCH(M453,Elemek!$C$2:$C$113,0))</f>
        <v>Sc</v>
      </c>
      <c r="R453" t="str">
        <f t="shared" si="22"/>
        <v>8.979091</v>
      </c>
      <c r="S453" t="str">
        <f t="shared" si="23"/>
        <v>8.979091</v>
      </c>
    </row>
    <row r="454" spans="1:19" x14ac:dyDescent="0.25">
      <c r="A454">
        <v>483</v>
      </c>
      <c r="B454" t="s">
        <v>228</v>
      </c>
      <c r="C454">
        <v>148</v>
      </c>
      <c r="D454">
        <v>61</v>
      </c>
      <c r="E454">
        <v>87</v>
      </c>
      <c r="F454" s="18" t="s">
        <v>779</v>
      </c>
      <c r="H454" t="str">
        <f>IF(B454=$H$1,COUNT($H$2:H455)+1," ")</f>
        <v xml:space="preserve"> </v>
      </c>
      <c r="L454">
        <v>453</v>
      </c>
      <c r="M454">
        <v>40</v>
      </c>
      <c r="N454">
        <v>48</v>
      </c>
      <c r="O454" s="18" t="s">
        <v>752</v>
      </c>
      <c r="P454">
        <f t="shared" si="21"/>
        <v>88</v>
      </c>
      <c r="Q454" t="str">
        <f>INDEX(Elemek!$B$2:$B$113,MATCH(M454,Elemek!$C$2:$C$113,0))</f>
        <v>Zr</v>
      </c>
      <c r="R454" t="str">
        <f t="shared" si="22"/>
        <v>9.021589</v>
      </c>
      <c r="S454" t="str">
        <f t="shared" si="23"/>
        <v>9.021589</v>
      </c>
    </row>
    <row r="455" spans="1:19" x14ac:dyDescent="0.25">
      <c r="A455">
        <v>247</v>
      </c>
      <c r="B455" t="s">
        <v>258</v>
      </c>
      <c r="C455">
        <v>149</v>
      </c>
      <c r="D455">
        <v>62</v>
      </c>
      <c r="E455">
        <v>87</v>
      </c>
      <c r="F455" s="18" t="s">
        <v>554</v>
      </c>
      <c r="H455" t="str">
        <f>IF(B455=$H$1,COUNT($H$2:H456)+1," ")</f>
        <v xml:space="preserve"> </v>
      </c>
      <c r="L455">
        <v>454</v>
      </c>
      <c r="M455">
        <v>33</v>
      </c>
      <c r="N455">
        <v>40</v>
      </c>
      <c r="O455" s="18" t="s">
        <v>753</v>
      </c>
      <c r="P455">
        <f t="shared" si="21"/>
        <v>73</v>
      </c>
      <c r="Q455" t="str">
        <f>INDEX(Elemek!$B$2:$B$113,MATCH(M455,Elemek!$C$2:$C$113,0))</f>
        <v>As</v>
      </c>
      <c r="R455" t="str">
        <f t="shared" si="22"/>
        <v>9.043341</v>
      </c>
      <c r="S455" t="str">
        <f t="shared" si="23"/>
        <v>9.043341</v>
      </c>
    </row>
    <row r="456" spans="1:19" x14ac:dyDescent="0.25">
      <c r="A456">
        <v>472</v>
      </c>
      <c r="B456" t="s">
        <v>80</v>
      </c>
      <c r="C456">
        <v>148</v>
      </c>
      <c r="D456">
        <v>63</v>
      </c>
      <c r="E456">
        <v>85</v>
      </c>
      <c r="F456" s="18" t="s">
        <v>768</v>
      </c>
      <c r="H456" t="str">
        <f>IF(B456=$H$1,COUNT($H$2:H457)+1," ")</f>
        <v xml:space="preserve"> </v>
      </c>
      <c r="L456">
        <v>455</v>
      </c>
      <c r="M456">
        <v>27</v>
      </c>
      <c r="N456">
        <v>29</v>
      </c>
      <c r="O456" s="18" t="s">
        <v>754</v>
      </c>
      <c r="P456">
        <f t="shared" si="21"/>
        <v>56</v>
      </c>
      <c r="Q456" t="str">
        <f>INDEX(Elemek!$B$2:$B$113,MATCH(M456,Elemek!$C$2:$C$113,0))</f>
        <v>Co</v>
      </c>
      <c r="R456" t="str">
        <f t="shared" si="22"/>
        <v>9.072031</v>
      </c>
      <c r="S456" t="str">
        <f t="shared" si="23"/>
        <v>9.072031</v>
      </c>
    </row>
    <row r="457" spans="1:19" x14ac:dyDescent="0.25">
      <c r="A457">
        <v>356</v>
      </c>
      <c r="B457" t="s">
        <v>96</v>
      </c>
      <c r="C457">
        <v>148</v>
      </c>
      <c r="D457">
        <v>64</v>
      </c>
      <c r="E457">
        <v>84</v>
      </c>
      <c r="F457" s="18" t="s">
        <v>663</v>
      </c>
      <c r="H457" t="str">
        <f>IF(B457=$H$1,COUNT($H$2:H458)+1," ")</f>
        <v xml:space="preserve"> </v>
      </c>
      <c r="L457">
        <v>456</v>
      </c>
      <c r="M457">
        <v>74</v>
      </c>
      <c r="N457">
        <v>111</v>
      </c>
      <c r="O457" s="18" t="s">
        <v>755</v>
      </c>
      <c r="P457">
        <f t="shared" si="21"/>
        <v>185</v>
      </c>
      <c r="Q457" t="str">
        <f>INDEX(Elemek!$B$2:$B$113,MATCH(M457,Elemek!$C$2:$C$113,0))</f>
        <v>W</v>
      </c>
      <c r="R457" t="str">
        <f t="shared" si="22"/>
        <v>8.305866</v>
      </c>
      <c r="S457" t="str">
        <f t="shared" si="23"/>
        <v>8.305866</v>
      </c>
    </row>
    <row r="458" spans="1:19" x14ac:dyDescent="0.25">
      <c r="A458">
        <v>155</v>
      </c>
      <c r="B458" t="s">
        <v>258</v>
      </c>
      <c r="C458">
        <v>150</v>
      </c>
      <c r="D458">
        <v>62</v>
      </c>
      <c r="E458">
        <v>88</v>
      </c>
      <c r="F458" s="18" t="s">
        <v>462</v>
      </c>
      <c r="H458" t="str">
        <f>IF(B458=$H$1,COUNT($H$2:H459)+1," ")</f>
        <v xml:space="preserve"> </v>
      </c>
      <c r="L458">
        <v>457</v>
      </c>
      <c r="M458">
        <v>77</v>
      </c>
      <c r="N458">
        <v>115</v>
      </c>
      <c r="O458" s="18"/>
      <c r="P458">
        <f t="shared" si="21"/>
        <v>192</v>
      </c>
      <c r="Q458" t="str">
        <f>INDEX(Elemek!$B$2:$B$113,MATCH(M458,Elemek!$C$2:$C$113,0))</f>
        <v>Ir</v>
      </c>
      <c r="R458" t="e">
        <f t="shared" si="22"/>
        <v>#DIV/0!</v>
      </c>
      <c r="S458" t="e">
        <f t="shared" si="23"/>
        <v>#DIV/0!</v>
      </c>
    </row>
    <row r="459" spans="1:19" x14ac:dyDescent="0.25">
      <c r="A459">
        <v>448</v>
      </c>
      <c r="B459" t="s">
        <v>80</v>
      </c>
      <c r="C459">
        <v>149</v>
      </c>
      <c r="D459">
        <v>63</v>
      </c>
      <c r="E459">
        <v>86</v>
      </c>
      <c r="F459" s="18" t="s">
        <v>748</v>
      </c>
      <c r="H459" t="str">
        <f>IF(B459=$H$1,COUNT($H$2:H460)+1," ")</f>
        <v xml:space="preserve"> </v>
      </c>
      <c r="L459">
        <v>458</v>
      </c>
      <c r="M459">
        <v>65</v>
      </c>
      <c r="N459">
        <v>95</v>
      </c>
      <c r="O459" s="18" t="s">
        <v>756</v>
      </c>
      <c r="P459">
        <f t="shared" si="21"/>
        <v>160</v>
      </c>
      <c r="Q459" t="str">
        <f>INDEX(Elemek!$B$2:$B$113,MATCH(M459,Elemek!$C$2:$C$113,0))</f>
        <v>Tb</v>
      </c>
      <c r="R459" t="str">
        <f t="shared" si="22"/>
        <v>8.495346</v>
      </c>
      <c r="S459" t="str">
        <f t="shared" si="23"/>
        <v>8.495346</v>
      </c>
    </row>
    <row r="460" spans="1:19" x14ac:dyDescent="0.25">
      <c r="A460">
        <v>644</v>
      </c>
      <c r="B460" t="s">
        <v>96</v>
      </c>
      <c r="C460">
        <v>147</v>
      </c>
      <c r="D460">
        <v>64</v>
      </c>
      <c r="E460">
        <v>83</v>
      </c>
      <c r="F460" s="18" t="s">
        <v>919</v>
      </c>
      <c r="H460" t="str">
        <f>IF(B460=$H$1,COUNT($H$2:H461)+1," ")</f>
        <v xml:space="preserve"> </v>
      </c>
      <c r="L460">
        <v>459</v>
      </c>
      <c r="M460">
        <v>27</v>
      </c>
      <c r="N460">
        <v>31</v>
      </c>
      <c r="O460" s="18" t="s">
        <v>757</v>
      </c>
      <c r="P460">
        <f t="shared" si="21"/>
        <v>58</v>
      </c>
      <c r="Q460" t="str">
        <f>INDEX(Elemek!$B$2:$B$113,MATCH(M460,Elemek!$C$2:$C$113,0))</f>
        <v>Co</v>
      </c>
      <c r="R460" t="str">
        <f t="shared" si="22"/>
        <v>9.103153</v>
      </c>
      <c r="S460" t="str">
        <f t="shared" si="23"/>
        <v>9.103153</v>
      </c>
    </row>
    <row r="461" spans="1:19" x14ac:dyDescent="0.25">
      <c r="A461">
        <v>624</v>
      </c>
      <c r="B461" t="s">
        <v>228</v>
      </c>
      <c r="C461">
        <v>149</v>
      </c>
      <c r="D461">
        <v>61</v>
      </c>
      <c r="E461">
        <v>88</v>
      </c>
      <c r="F461" s="18" t="s">
        <v>902</v>
      </c>
      <c r="H461" t="str">
        <f>IF(B461=$H$1,COUNT($H$2:H462)+1," ")</f>
        <v xml:space="preserve"> </v>
      </c>
      <c r="L461">
        <v>460</v>
      </c>
      <c r="M461">
        <v>75</v>
      </c>
      <c r="N461">
        <v>108</v>
      </c>
      <c r="O461" s="18" t="s">
        <v>758</v>
      </c>
      <c r="P461">
        <f t="shared" si="21"/>
        <v>183</v>
      </c>
      <c r="Q461" t="str">
        <f>INDEX(Elemek!$B$2:$B$113,MATCH(M461,Elemek!$C$2:$C$113,0))</f>
        <v>Re</v>
      </c>
      <c r="R461" t="str">
        <f t="shared" si="22"/>
        <v>8.321661</v>
      </c>
      <c r="S461" t="str">
        <f t="shared" si="23"/>
        <v>8.321661</v>
      </c>
    </row>
    <row r="462" spans="1:19" x14ac:dyDescent="0.25">
      <c r="A462">
        <v>302</v>
      </c>
      <c r="B462" t="s">
        <v>96</v>
      </c>
      <c r="C462">
        <v>150</v>
      </c>
      <c r="D462">
        <v>64</v>
      </c>
      <c r="E462">
        <v>86</v>
      </c>
      <c r="F462" s="18" t="s">
        <v>609</v>
      </c>
      <c r="H462" t="str">
        <f>IF(B462=$H$1,COUNT($H$2:H463)+1," ")</f>
        <v xml:space="preserve"> </v>
      </c>
      <c r="L462">
        <v>461</v>
      </c>
      <c r="M462">
        <v>72</v>
      </c>
      <c r="N462">
        <v>103</v>
      </c>
      <c r="O462" s="18" t="s">
        <v>759</v>
      </c>
      <c r="P462">
        <f t="shared" si="21"/>
        <v>175</v>
      </c>
      <c r="Q462" t="str">
        <f>INDEX(Elemek!$B$2:$B$113,MATCH(M462,Elemek!$C$2:$C$113,0))</f>
        <v>Hf</v>
      </c>
      <c r="R462" t="str">
        <f t="shared" si="22"/>
        <v>8.382665</v>
      </c>
      <c r="S462" t="str">
        <f t="shared" si="23"/>
        <v>8.382665</v>
      </c>
    </row>
    <row r="463" spans="1:19" x14ac:dyDescent="0.25">
      <c r="A463">
        <v>544</v>
      </c>
      <c r="B463" t="s">
        <v>96</v>
      </c>
      <c r="C463">
        <v>149</v>
      </c>
      <c r="D463">
        <v>64</v>
      </c>
      <c r="E463">
        <v>85</v>
      </c>
      <c r="F463" s="18" t="s">
        <v>833</v>
      </c>
      <c r="H463" t="str">
        <f>IF(B463=$H$1,COUNT($H$2:H464)+1," ")</f>
        <v xml:space="preserve"> </v>
      </c>
      <c r="L463">
        <v>462</v>
      </c>
      <c r="M463">
        <v>74</v>
      </c>
      <c r="N463">
        <v>114</v>
      </c>
      <c r="O463" s="18" t="s">
        <v>760</v>
      </c>
      <c r="P463">
        <f t="shared" si="21"/>
        <v>188</v>
      </c>
      <c r="Q463" t="str">
        <f>INDEX(Elemek!$B$2:$B$113,MATCH(M463,Elemek!$C$2:$C$113,0))</f>
        <v>W</v>
      </c>
      <c r="R463" t="str">
        <f t="shared" si="22"/>
        <v>8.277003</v>
      </c>
      <c r="S463" t="str">
        <f t="shared" si="23"/>
        <v>8.277003</v>
      </c>
    </row>
    <row r="464" spans="1:19" x14ac:dyDescent="0.25">
      <c r="A464">
        <v>928</v>
      </c>
      <c r="B464" t="s">
        <v>186</v>
      </c>
      <c r="C464">
        <v>149</v>
      </c>
      <c r="D464">
        <v>60</v>
      </c>
      <c r="E464">
        <v>89</v>
      </c>
      <c r="F464" s="18" t="s">
        <v>1151</v>
      </c>
      <c r="H464" t="str">
        <f>IF(B464=$H$1,COUNT($H$2:H465)+1," ")</f>
        <v xml:space="preserve"> </v>
      </c>
      <c r="L464">
        <v>463</v>
      </c>
      <c r="M464">
        <v>38</v>
      </c>
      <c r="N464">
        <v>47</v>
      </c>
      <c r="O464" s="18" t="s">
        <v>761</v>
      </c>
      <c r="P464">
        <f t="shared" si="21"/>
        <v>85</v>
      </c>
      <c r="Q464" t="str">
        <f>INDEX(Elemek!$B$2:$B$113,MATCH(M464,Elemek!$C$2:$C$113,0))</f>
        <v>Sr</v>
      </c>
      <c r="R464" t="str">
        <f t="shared" si="22"/>
        <v>9.02548</v>
      </c>
      <c r="S464" t="str">
        <f t="shared" si="23"/>
        <v>9.02548</v>
      </c>
    </row>
    <row r="465" spans="1:19" x14ac:dyDescent="0.25">
      <c r="A465">
        <v>362</v>
      </c>
      <c r="B465" t="s">
        <v>80</v>
      </c>
      <c r="C465">
        <v>150</v>
      </c>
      <c r="D465">
        <v>63</v>
      </c>
      <c r="E465">
        <v>87</v>
      </c>
      <c r="F465" s="18" t="s">
        <v>669</v>
      </c>
      <c r="H465" t="str">
        <f>IF(B465=$H$1,COUNT($H$2:H466)+1," ")</f>
        <v xml:space="preserve"> </v>
      </c>
      <c r="L465">
        <v>464</v>
      </c>
      <c r="M465">
        <v>40</v>
      </c>
      <c r="N465">
        <v>55</v>
      </c>
      <c r="O465" s="18" t="s">
        <v>762</v>
      </c>
      <c r="P465">
        <f t="shared" si="21"/>
        <v>95</v>
      </c>
      <c r="Q465" t="str">
        <f>INDEX(Elemek!$B$2:$B$113,MATCH(M465,Elemek!$C$2:$C$113,0))</f>
        <v>Zr</v>
      </c>
      <c r="R465" t="str">
        <f t="shared" si="22"/>
        <v>8.972989</v>
      </c>
      <c r="S465" t="str">
        <f t="shared" si="23"/>
        <v>8.972989</v>
      </c>
    </row>
    <row r="466" spans="1:19" x14ac:dyDescent="0.25">
      <c r="A466">
        <v>266</v>
      </c>
      <c r="B466" t="s">
        <v>80</v>
      </c>
      <c r="C466">
        <v>151</v>
      </c>
      <c r="D466">
        <v>63</v>
      </c>
      <c r="E466">
        <v>88</v>
      </c>
      <c r="F466" s="18" t="s">
        <v>573</v>
      </c>
      <c r="H466" t="str">
        <f>IF(B466=$H$1,COUNT($H$2:H467)+1," ")</f>
        <v xml:space="preserve"> </v>
      </c>
      <c r="L466">
        <v>465</v>
      </c>
      <c r="M466">
        <v>43</v>
      </c>
      <c r="N466">
        <v>52</v>
      </c>
      <c r="O466" s="18" t="s">
        <v>763</v>
      </c>
      <c r="P466">
        <f t="shared" si="21"/>
        <v>95</v>
      </c>
      <c r="Q466" t="str">
        <f>INDEX(Elemek!$B$2:$B$113,MATCH(M466,Elemek!$C$2:$C$113,0))</f>
        <v>Tc</v>
      </c>
      <c r="R466" t="str">
        <f t="shared" si="22"/>
        <v>8.976359</v>
      </c>
      <c r="S466" t="str">
        <f t="shared" si="23"/>
        <v>8.976359</v>
      </c>
    </row>
    <row r="467" spans="1:19" x14ac:dyDescent="0.25">
      <c r="A467">
        <v>354</v>
      </c>
      <c r="B467" t="s">
        <v>258</v>
      </c>
      <c r="C467">
        <v>151</v>
      </c>
      <c r="D467">
        <v>62</v>
      </c>
      <c r="E467">
        <v>89</v>
      </c>
      <c r="F467" s="18" t="s">
        <v>661</v>
      </c>
      <c r="H467" t="str">
        <f>IF(B467=$H$1,COUNT($H$2:H468)+1," ")</f>
        <v xml:space="preserve"> </v>
      </c>
      <c r="L467">
        <v>466</v>
      </c>
      <c r="M467">
        <v>41</v>
      </c>
      <c r="N467">
        <v>50</v>
      </c>
      <c r="O467" s="18"/>
      <c r="P467">
        <f t="shared" si="21"/>
        <v>91</v>
      </c>
      <c r="Q467" t="str">
        <f>INDEX(Elemek!$B$2:$B$113,MATCH(M467,Elemek!$C$2:$C$113,0))</f>
        <v>Nb</v>
      </c>
      <c r="R467" t="e">
        <f t="shared" si="22"/>
        <v>#DIV/0!</v>
      </c>
      <c r="S467" t="e">
        <f t="shared" si="23"/>
        <v>#DIV/0!</v>
      </c>
    </row>
    <row r="468" spans="1:19" x14ac:dyDescent="0.25">
      <c r="A468">
        <v>156</v>
      </c>
      <c r="B468" t="s">
        <v>258</v>
      </c>
      <c r="C468">
        <v>152</v>
      </c>
      <c r="D468">
        <v>62</v>
      </c>
      <c r="E468">
        <v>90</v>
      </c>
      <c r="F468" s="18" t="s">
        <v>463</v>
      </c>
      <c r="H468" t="str">
        <f>IF(B468=$H$1,COUNT($H$2:H469)+1," ")</f>
        <v xml:space="preserve"> </v>
      </c>
      <c r="L468">
        <v>467</v>
      </c>
      <c r="M468">
        <v>98</v>
      </c>
      <c r="N468">
        <v>156</v>
      </c>
      <c r="O468" s="18" t="s">
        <v>764</v>
      </c>
      <c r="P468">
        <f t="shared" si="21"/>
        <v>254</v>
      </c>
      <c r="Q468" t="str">
        <f>INDEX(Elemek!$B$2:$B$113,MATCH(M468,Elemek!$C$2:$C$113,0))</f>
        <v>Cf</v>
      </c>
      <c r="R468" t="str">
        <f t="shared" si="22"/>
        <v>7.751087</v>
      </c>
      <c r="S468" t="str">
        <f t="shared" si="23"/>
        <v>7.751087</v>
      </c>
    </row>
    <row r="469" spans="1:19" x14ac:dyDescent="0.25">
      <c r="A469">
        <v>275</v>
      </c>
      <c r="B469" t="s">
        <v>96</v>
      </c>
      <c r="C469">
        <v>152</v>
      </c>
      <c r="D469">
        <v>64</v>
      </c>
      <c r="E469">
        <v>88</v>
      </c>
      <c r="F469" s="18" t="s">
        <v>582</v>
      </c>
      <c r="H469" t="str">
        <f>IF(B469=$H$1,COUNT($H$2:H470)+1," ")</f>
        <v xml:space="preserve"> </v>
      </c>
      <c r="L469">
        <v>468</v>
      </c>
      <c r="M469">
        <v>51</v>
      </c>
      <c r="N469">
        <v>73</v>
      </c>
      <c r="O469" s="18" t="s">
        <v>765</v>
      </c>
      <c r="P469">
        <f t="shared" si="21"/>
        <v>124</v>
      </c>
      <c r="Q469" t="str">
        <f>INDEX(Elemek!$B$2:$B$113,MATCH(M469,Elemek!$C$2:$C$113,0))</f>
        <v>Sb</v>
      </c>
      <c r="R469" t="str">
        <f t="shared" si="22"/>
        <v>8.777943</v>
      </c>
      <c r="S469" t="str">
        <f t="shared" si="23"/>
        <v>8.777943</v>
      </c>
    </row>
    <row r="470" spans="1:19" x14ac:dyDescent="0.25">
      <c r="A470">
        <v>437</v>
      </c>
      <c r="B470" t="s">
        <v>96</v>
      </c>
      <c r="C470">
        <v>151</v>
      </c>
      <c r="D470">
        <v>64</v>
      </c>
      <c r="E470">
        <v>87</v>
      </c>
      <c r="F470" s="18" t="s">
        <v>738</v>
      </c>
      <c r="H470" t="str">
        <f>IF(B470=$H$1,COUNT($H$2:H471)+1," ")</f>
        <v xml:space="preserve"> </v>
      </c>
      <c r="L470">
        <v>469</v>
      </c>
      <c r="M470">
        <v>53</v>
      </c>
      <c r="N470">
        <v>72</v>
      </c>
      <c r="O470" s="18" t="s">
        <v>766</v>
      </c>
      <c r="P470">
        <f t="shared" si="21"/>
        <v>125</v>
      </c>
      <c r="Q470" t="str">
        <f>INDEX(Elemek!$B$2:$B$113,MATCH(M470,Elemek!$C$2:$C$113,0))</f>
        <v>I</v>
      </c>
      <c r="R470" t="str">
        <f t="shared" si="22"/>
        <v>8.782019</v>
      </c>
      <c r="S470" t="str">
        <f t="shared" si="23"/>
        <v>8.782019</v>
      </c>
    </row>
    <row r="471" spans="1:19" x14ac:dyDescent="0.25">
      <c r="A471">
        <v>264</v>
      </c>
      <c r="B471" t="s">
        <v>186</v>
      </c>
      <c r="C471">
        <v>150</v>
      </c>
      <c r="D471">
        <v>60</v>
      </c>
      <c r="E471">
        <v>90</v>
      </c>
      <c r="F471" s="18" t="s">
        <v>571</v>
      </c>
      <c r="H471" t="str">
        <f>IF(B471=$H$1,COUNT($H$2:H472)+1," ")</f>
        <v xml:space="preserve"> </v>
      </c>
      <c r="L471">
        <v>470</v>
      </c>
      <c r="M471">
        <v>39</v>
      </c>
      <c r="N471">
        <v>52</v>
      </c>
      <c r="O471" s="18" t="s">
        <v>767</v>
      </c>
      <c r="P471">
        <f t="shared" si="21"/>
        <v>91</v>
      </c>
      <c r="Q471" t="str">
        <f>INDEX(Elemek!$B$2:$B$113,MATCH(M471,Elemek!$C$2:$C$113,0))</f>
        <v>Y</v>
      </c>
      <c r="R471" t="str">
        <f t="shared" si="22"/>
        <v>9.020174</v>
      </c>
      <c r="S471" t="str">
        <f t="shared" si="23"/>
        <v>9.020174</v>
      </c>
    </row>
    <row r="472" spans="1:19" x14ac:dyDescent="0.25">
      <c r="A472">
        <v>876</v>
      </c>
      <c r="B472" t="s">
        <v>228</v>
      </c>
      <c r="C472">
        <v>150</v>
      </c>
      <c r="D472">
        <v>61</v>
      </c>
      <c r="E472">
        <v>89</v>
      </c>
      <c r="F472" s="18" t="s">
        <v>1107</v>
      </c>
      <c r="H472" t="str">
        <f>IF(B472=$H$1,COUNT($H$2:H473)+1," ")</f>
        <v xml:space="preserve"> </v>
      </c>
      <c r="L472">
        <v>471</v>
      </c>
      <c r="M472">
        <v>52</v>
      </c>
      <c r="N472">
        <v>73</v>
      </c>
      <c r="O472" s="18"/>
      <c r="P472">
        <f t="shared" si="21"/>
        <v>125</v>
      </c>
      <c r="Q472" t="str">
        <f>INDEX(Elemek!$B$2:$B$113,MATCH(M472,Elemek!$C$2:$C$113,0))</f>
        <v>Te</v>
      </c>
      <c r="R472" t="e">
        <f t="shared" si="22"/>
        <v>#DIV/0!</v>
      </c>
      <c r="S472" t="e">
        <f t="shared" si="23"/>
        <v>#DIV/0!</v>
      </c>
    </row>
    <row r="473" spans="1:19" x14ac:dyDescent="0.25">
      <c r="A473">
        <v>665</v>
      </c>
      <c r="B473" t="s">
        <v>228</v>
      </c>
      <c r="C473">
        <v>151</v>
      </c>
      <c r="D473">
        <v>61</v>
      </c>
      <c r="E473">
        <v>90</v>
      </c>
      <c r="F473" s="18" t="s">
        <v>940</v>
      </c>
      <c r="H473" t="str">
        <f>IF(B473=$H$1,COUNT($H$2:H474)+1," ")</f>
        <v xml:space="preserve"> </v>
      </c>
      <c r="L473">
        <v>472</v>
      </c>
      <c r="M473">
        <v>63</v>
      </c>
      <c r="N473">
        <v>85</v>
      </c>
      <c r="O473" s="18" t="s">
        <v>768</v>
      </c>
      <c r="P473">
        <f t="shared" si="21"/>
        <v>148</v>
      </c>
      <c r="Q473" t="str">
        <f>INDEX(Elemek!$B$2:$B$113,MATCH(M473,Elemek!$C$2:$C$113,0))</f>
        <v>Eu</v>
      </c>
      <c r="R473" t="str">
        <f t="shared" si="22"/>
        <v>8.586882</v>
      </c>
      <c r="S473" t="str">
        <f t="shared" si="23"/>
        <v>8.586882</v>
      </c>
    </row>
    <row r="474" spans="1:19" x14ac:dyDescent="0.25">
      <c r="A474">
        <v>931</v>
      </c>
      <c r="B474" t="s">
        <v>282</v>
      </c>
      <c r="C474">
        <v>147</v>
      </c>
      <c r="D474">
        <v>65</v>
      </c>
      <c r="E474">
        <v>82</v>
      </c>
      <c r="F474" s="18" t="s">
        <v>1154</v>
      </c>
      <c r="H474" t="str">
        <f>IF(B474=$H$1,COUNT($H$2:H475)+1," ")</f>
        <v xml:space="preserve"> </v>
      </c>
      <c r="L474">
        <v>473</v>
      </c>
      <c r="M474">
        <v>4</v>
      </c>
      <c r="N474">
        <v>3</v>
      </c>
      <c r="O474" s="18" t="s">
        <v>769</v>
      </c>
      <c r="P474">
        <f t="shared" si="21"/>
        <v>7</v>
      </c>
      <c r="Q474" t="str">
        <f>INDEX(Elemek!$B$2:$B$113,MATCH(M474,Elemek!$C$2:$C$113,0))</f>
        <v>Be</v>
      </c>
      <c r="R474" t="str">
        <f t="shared" si="22"/>
        <v>5.81847</v>
      </c>
      <c r="S474" t="str">
        <f t="shared" si="23"/>
        <v>5.81847</v>
      </c>
    </row>
    <row r="475" spans="1:19" x14ac:dyDescent="0.25">
      <c r="A475">
        <v>833</v>
      </c>
      <c r="B475" t="s">
        <v>282</v>
      </c>
      <c r="C475">
        <v>149</v>
      </c>
      <c r="D475">
        <v>65</v>
      </c>
      <c r="E475">
        <v>84</v>
      </c>
      <c r="F475" s="18" t="s">
        <v>1074</v>
      </c>
      <c r="H475" t="str">
        <f>IF(B475=$H$1,COUNT($H$2:H476)+1," ")</f>
        <v xml:space="preserve"> </v>
      </c>
      <c r="L475">
        <v>474</v>
      </c>
      <c r="M475">
        <v>101</v>
      </c>
      <c r="N475">
        <v>157</v>
      </c>
      <c r="O475" s="18" t="s">
        <v>770</v>
      </c>
      <c r="P475">
        <f t="shared" si="21"/>
        <v>258</v>
      </c>
      <c r="Q475" t="str">
        <f>INDEX(Elemek!$B$2:$B$113,MATCH(M475,Elemek!$C$2:$C$113,0))</f>
        <v>Md</v>
      </c>
      <c r="R475" t="str">
        <f t="shared" si="22"/>
        <v>7.715948</v>
      </c>
      <c r="S475" t="str">
        <f t="shared" si="23"/>
        <v>7.715948</v>
      </c>
    </row>
    <row r="476" spans="1:19" x14ac:dyDescent="0.25">
      <c r="A476">
        <v>376</v>
      </c>
      <c r="B476" t="s">
        <v>80</v>
      </c>
      <c r="C476">
        <v>152</v>
      </c>
      <c r="D476">
        <v>63</v>
      </c>
      <c r="E476">
        <v>89</v>
      </c>
      <c r="F476" s="18" t="s">
        <v>680</v>
      </c>
      <c r="H476" t="str">
        <f>IF(B476=$H$1,COUNT($H$2:H477)+1," ")</f>
        <v xml:space="preserve"> </v>
      </c>
      <c r="L476">
        <v>475</v>
      </c>
      <c r="M476">
        <v>38</v>
      </c>
      <c r="N476">
        <v>51</v>
      </c>
      <c r="O476" s="18" t="s">
        <v>771</v>
      </c>
      <c r="P476">
        <f t="shared" si="21"/>
        <v>89</v>
      </c>
      <c r="Q476" t="str">
        <f>INDEX(Elemek!$B$2:$B$113,MATCH(M476,Elemek!$C$2:$C$113,0))</f>
        <v>Sr</v>
      </c>
      <c r="R476" t="str">
        <f t="shared" si="22"/>
        <v>9.039969</v>
      </c>
      <c r="S476" t="str">
        <f t="shared" si="23"/>
        <v>9.039969</v>
      </c>
    </row>
    <row r="477" spans="1:19" x14ac:dyDescent="0.25">
      <c r="A477">
        <v>226</v>
      </c>
      <c r="B477" t="s">
        <v>80</v>
      </c>
      <c r="C477">
        <v>153</v>
      </c>
      <c r="D477">
        <v>63</v>
      </c>
      <c r="E477">
        <v>90</v>
      </c>
      <c r="F477" s="18" t="s">
        <v>533</v>
      </c>
      <c r="H477" t="str">
        <f>IF(B477=$H$1,COUNT($H$2:H478)+1," ")</f>
        <v xml:space="preserve"> </v>
      </c>
      <c r="L477">
        <v>476</v>
      </c>
      <c r="M477">
        <v>49</v>
      </c>
      <c r="N477">
        <v>65</v>
      </c>
      <c r="O477" s="18" t="s">
        <v>772</v>
      </c>
      <c r="P477">
        <f t="shared" si="21"/>
        <v>114</v>
      </c>
      <c r="Q477" t="str">
        <f>INDEX(Elemek!$B$2:$B$113,MATCH(M477,Elemek!$C$2:$C$113,0))</f>
        <v>In</v>
      </c>
      <c r="R477" t="str">
        <f t="shared" si="22"/>
        <v>8.846608</v>
      </c>
      <c r="S477" t="str">
        <f t="shared" si="23"/>
        <v>8.846608</v>
      </c>
    </row>
    <row r="478" spans="1:19" x14ac:dyDescent="0.25">
      <c r="A478">
        <v>157</v>
      </c>
      <c r="B478" t="s">
        <v>96</v>
      </c>
      <c r="C478">
        <v>154</v>
      </c>
      <c r="D478">
        <v>64</v>
      </c>
      <c r="E478">
        <v>90</v>
      </c>
      <c r="F478" s="18" t="s">
        <v>464</v>
      </c>
      <c r="H478" t="str">
        <f>IF(B478=$H$1,COUNT($H$2:H479)+1," ")</f>
        <v xml:space="preserve"> </v>
      </c>
      <c r="L478">
        <v>477</v>
      </c>
      <c r="M478">
        <v>64</v>
      </c>
      <c r="N478">
        <v>82</v>
      </c>
      <c r="O478" s="18" t="s">
        <v>773</v>
      </c>
      <c r="P478">
        <f t="shared" si="21"/>
        <v>146</v>
      </c>
      <c r="Q478" t="str">
        <f>INDEX(Elemek!$B$2:$B$113,MATCH(M478,Elemek!$C$2:$C$113,0))</f>
        <v>Gd</v>
      </c>
      <c r="R478" t="str">
        <f t="shared" si="22"/>
        <v>8.592512</v>
      </c>
      <c r="S478" t="str">
        <f t="shared" si="23"/>
        <v>8.592512</v>
      </c>
    </row>
    <row r="479" spans="1:19" x14ac:dyDescent="0.25">
      <c r="A479">
        <v>988</v>
      </c>
      <c r="B479" t="s">
        <v>282</v>
      </c>
      <c r="C479">
        <v>148</v>
      </c>
      <c r="D479">
        <v>65</v>
      </c>
      <c r="E479">
        <v>83</v>
      </c>
      <c r="F479" s="18" t="s">
        <v>1197</v>
      </c>
      <c r="H479" t="str">
        <f>IF(B479=$H$1,COUNT($H$2:H480)+1," ")</f>
        <v xml:space="preserve"> </v>
      </c>
      <c r="L479">
        <v>478</v>
      </c>
      <c r="M479">
        <v>80</v>
      </c>
      <c r="N479">
        <v>123</v>
      </c>
      <c r="O479" s="18" t="s">
        <v>774</v>
      </c>
      <c r="P479">
        <f t="shared" si="21"/>
        <v>203</v>
      </c>
      <c r="Q479" t="str">
        <f>INDEX(Elemek!$B$2:$B$113,MATCH(M479,Elemek!$C$2:$C$113,0))</f>
        <v>Hg</v>
      </c>
      <c r="R479" t="str">
        <f t="shared" si="22"/>
        <v>8.195806</v>
      </c>
      <c r="S479" t="str">
        <f t="shared" si="23"/>
        <v>8.195806</v>
      </c>
    </row>
    <row r="480" spans="1:19" x14ac:dyDescent="0.25">
      <c r="A480">
        <v>422</v>
      </c>
      <c r="B480" t="s">
        <v>96</v>
      </c>
      <c r="C480">
        <v>153</v>
      </c>
      <c r="D480">
        <v>64</v>
      </c>
      <c r="E480">
        <v>89</v>
      </c>
      <c r="F480" s="18" t="s">
        <v>725</v>
      </c>
      <c r="H480" t="str">
        <f>IF(B480=$H$1,COUNT($H$2:H481)+1," ")</f>
        <v xml:space="preserve"> </v>
      </c>
      <c r="L480">
        <v>479</v>
      </c>
      <c r="M480">
        <v>94</v>
      </c>
      <c r="N480">
        <v>143</v>
      </c>
      <c r="O480" s="18" t="s">
        <v>775</v>
      </c>
      <c r="P480">
        <f t="shared" si="21"/>
        <v>237</v>
      </c>
      <c r="Q480" t="str">
        <f>INDEX(Elemek!$B$2:$B$113,MATCH(M480,Elemek!$C$2:$C$113,0))</f>
        <v>Pu</v>
      </c>
      <c r="R480" t="str">
        <f t="shared" si="22"/>
        <v>7.88106</v>
      </c>
      <c r="S480" t="str">
        <f t="shared" si="23"/>
        <v>7.88106</v>
      </c>
    </row>
    <row r="481" spans="1:19" x14ac:dyDescent="0.25">
      <c r="A481">
        <v>705</v>
      </c>
      <c r="B481" t="s">
        <v>282</v>
      </c>
      <c r="C481">
        <v>151</v>
      </c>
      <c r="D481">
        <v>65</v>
      </c>
      <c r="E481">
        <v>86</v>
      </c>
      <c r="F481" s="18" t="s">
        <v>970</v>
      </c>
      <c r="H481" t="str">
        <f>IF(B481=$H$1,COUNT($H$2:H482)+1," ")</f>
        <v xml:space="preserve"> </v>
      </c>
      <c r="L481">
        <v>480</v>
      </c>
      <c r="M481">
        <v>48</v>
      </c>
      <c r="N481">
        <v>67</v>
      </c>
      <c r="O481" s="18" t="s">
        <v>776</v>
      </c>
      <c r="P481">
        <f t="shared" si="21"/>
        <v>115</v>
      </c>
      <c r="Q481" t="str">
        <f>INDEX(Elemek!$B$2:$B$113,MATCH(M481,Elemek!$C$2:$C$113,0))</f>
        <v>Cd</v>
      </c>
      <c r="R481" t="str">
        <f t="shared" si="22"/>
        <v>8.835754</v>
      </c>
      <c r="S481" t="str">
        <f t="shared" si="23"/>
        <v>8.835754</v>
      </c>
    </row>
    <row r="482" spans="1:19" x14ac:dyDescent="0.25">
      <c r="A482">
        <v>632</v>
      </c>
      <c r="B482" t="s">
        <v>258</v>
      </c>
      <c r="C482">
        <v>153</v>
      </c>
      <c r="D482">
        <v>62</v>
      </c>
      <c r="E482">
        <v>91</v>
      </c>
      <c r="F482" s="18" t="s">
        <v>909</v>
      </c>
      <c r="H482" t="str">
        <f>IF(B482=$H$1,COUNT($H$2:H483)+1," ")</f>
        <v xml:space="preserve"> </v>
      </c>
      <c r="L482">
        <v>481</v>
      </c>
      <c r="M482">
        <v>26</v>
      </c>
      <c r="N482">
        <v>33</v>
      </c>
      <c r="O482" s="18" t="s">
        <v>777</v>
      </c>
      <c r="P482">
        <f t="shared" si="21"/>
        <v>59</v>
      </c>
      <c r="Q482" t="str">
        <f>INDEX(Elemek!$B$2:$B$113,MATCH(M482,Elemek!$C$2:$C$113,0))</f>
        <v>Fe</v>
      </c>
      <c r="R482" t="str">
        <f t="shared" si="22"/>
        <v>9.099516</v>
      </c>
      <c r="S482" t="str">
        <f t="shared" si="23"/>
        <v>9.099516</v>
      </c>
    </row>
    <row r="483" spans="1:19" x14ac:dyDescent="0.25">
      <c r="A483">
        <v>848</v>
      </c>
      <c r="B483" t="s">
        <v>282</v>
      </c>
      <c r="C483">
        <v>150</v>
      </c>
      <c r="D483">
        <v>65</v>
      </c>
      <c r="E483">
        <v>85</v>
      </c>
      <c r="F483" s="18" t="s">
        <v>1085</v>
      </c>
      <c r="H483" t="str">
        <f>IF(B483=$H$1,COUNT($H$2:H484)+1," ")</f>
        <v xml:space="preserve"> </v>
      </c>
      <c r="L483">
        <v>482</v>
      </c>
      <c r="M483">
        <v>72</v>
      </c>
      <c r="N483">
        <v>109</v>
      </c>
      <c r="O483" s="18" t="s">
        <v>778</v>
      </c>
      <c r="P483">
        <f t="shared" si="21"/>
        <v>181</v>
      </c>
      <c r="Q483" t="str">
        <f>INDEX(Elemek!$B$2:$B$113,MATCH(M483,Elemek!$C$2:$C$113,0))</f>
        <v>Hf</v>
      </c>
      <c r="R483" t="str">
        <f t="shared" si="22"/>
        <v>8.333272</v>
      </c>
      <c r="S483" t="str">
        <f t="shared" si="23"/>
        <v>8.333272</v>
      </c>
    </row>
    <row r="484" spans="1:19" x14ac:dyDescent="0.25">
      <c r="A484">
        <v>220</v>
      </c>
      <c r="B484" t="s">
        <v>258</v>
      </c>
      <c r="C484">
        <v>154</v>
      </c>
      <c r="D484">
        <v>62</v>
      </c>
      <c r="E484">
        <v>92</v>
      </c>
      <c r="F484" s="18" t="s">
        <v>527</v>
      </c>
      <c r="H484" t="str">
        <f>IF(B484=$H$1,COUNT($H$2:H485)+1," ")</f>
        <v xml:space="preserve"> </v>
      </c>
      <c r="L484">
        <v>483</v>
      </c>
      <c r="M484">
        <v>61</v>
      </c>
      <c r="N484">
        <v>87</v>
      </c>
      <c r="O484" s="18" t="s">
        <v>779</v>
      </c>
      <c r="P484">
        <f t="shared" si="21"/>
        <v>148</v>
      </c>
      <c r="Q484" t="str">
        <f>INDEX(Elemek!$B$2:$B$113,MATCH(M484,Elemek!$C$2:$C$113,0))</f>
        <v>Pm</v>
      </c>
      <c r="R484" t="str">
        <f t="shared" si="22"/>
        <v>8.5898</v>
      </c>
      <c r="S484" t="str">
        <f t="shared" si="23"/>
        <v>8.5898</v>
      </c>
    </row>
    <row r="485" spans="1:19" x14ac:dyDescent="0.25">
      <c r="A485">
        <v>307</v>
      </c>
      <c r="B485" t="s">
        <v>14</v>
      </c>
      <c r="C485">
        <v>26</v>
      </c>
      <c r="D485">
        <v>13</v>
      </c>
      <c r="E485">
        <v>13</v>
      </c>
      <c r="F485" s="18" t="s">
        <v>614</v>
      </c>
      <c r="H485" t="str">
        <f>IF(B485=$H$1,COUNT($H$2:H486)+1," ")</f>
        <v xml:space="preserve"> </v>
      </c>
      <c r="L485">
        <v>484</v>
      </c>
      <c r="M485">
        <v>47</v>
      </c>
      <c r="N485">
        <v>58</v>
      </c>
      <c r="O485" s="18" t="s">
        <v>780</v>
      </c>
      <c r="P485">
        <f t="shared" si="21"/>
        <v>105</v>
      </c>
      <c r="Q485" t="str">
        <f>INDEX(Elemek!$B$2:$B$113,MATCH(M485,Elemek!$C$2:$C$113,0))</f>
        <v>Ag</v>
      </c>
      <c r="R485" t="str">
        <f t="shared" si="22"/>
        <v>8.900547</v>
      </c>
      <c r="S485" t="str">
        <f t="shared" si="23"/>
        <v>8.900547</v>
      </c>
    </row>
    <row r="486" spans="1:19" x14ac:dyDescent="0.25">
      <c r="A486">
        <v>619</v>
      </c>
      <c r="B486" t="s">
        <v>282</v>
      </c>
      <c r="C486">
        <v>153</v>
      </c>
      <c r="D486">
        <v>65</v>
      </c>
      <c r="E486">
        <v>88</v>
      </c>
      <c r="F486" s="18" t="s">
        <v>899</v>
      </c>
      <c r="H486" t="str">
        <f>IF(B486=$H$1,COUNT($H$2:H487)+1," ")</f>
        <v xml:space="preserve"> </v>
      </c>
      <c r="L486">
        <v>485</v>
      </c>
      <c r="M486">
        <v>99</v>
      </c>
      <c r="N486">
        <v>156</v>
      </c>
      <c r="O486" s="18" t="s">
        <v>781</v>
      </c>
      <c r="P486">
        <f t="shared" si="21"/>
        <v>255</v>
      </c>
      <c r="Q486" t="str">
        <f>INDEX(Elemek!$B$2:$B$113,MATCH(M486,Elemek!$C$2:$C$113,0))</f>
        <v>Es</v>
      </c>
      <c r="R486" t="str">
        <f t="shared" si="22"/>
        <v>7.741567</v>
      </c>
      <c r="S486" t="str">
        <f t="shared" si="23"/>
        <v>7.741567</v>
      </c>
    </row>
    <row r="487" spans="1:19" x14ac:dyDescent="0.25">
      <c r="A487">
        <v>381</v>
      </c>
      <c r="B487" t="s">
        <v>80</v>
      </c>
      <c r="C487">
        <v>154</v>
      </c>
      <c r="D487">
        <v>63</v>
      </c>
      <c r="E487">
        <v>91</v>
      </c>
      <c r="F487" s="18" t="s">
        <v>685</v>
      </c>
      <c r="H487" t="str">
        <f>IF(B487=$H$1,COUNT($H$2:H488)+1," ")</f>
        <v xml:space="preserve"> </v>
      </c>
      <c r="L487">
        <v>486</v>
      </c>
      <c r="M487">
        <v>44</v>
      </c>
      <c r="N487">
        <v>59</v>
      </c>
      <c r="O487" s="18" t="s">
        <v>782</v>
      </c>
      <c r="P487">
        <f t="shared" si="21"/>
        <v>103</v>
      </c>
      <c r="Q487" t="str">
        <f>INDEX(Elemek!$B$2:$B$113,MATCH(M487,Elemek!$C$2:$C$113,0))</f>
        <v>Ru</v>
      </c>
      <c r="R487" t="str">
        <f t="shared" si="22"/>
        <v>8.9185</v>
      </c>
      <c r="S487" t="str">
        <f t="shared" si="23"/>
        <v>8.9185</v>
      </c>
    </row>
    <row r="488" spans="1:19" x14ac:dyDescent="0.25">
      <c r="A488">
        <v>707</v>
      </c>
      <c r="B488" t="s">
        <v>282</v>
      </c>
      <c r="C488">
        <v>152</v>
      </c>
      <c r="D488">
        <v>65</v>
      </c>
      <c r="E488">
        <v>87</v>
      </c>
      <c r="F488" s="18" t="s">
        <v>972</v>
      </c>
      <c r="H488" t="str">
        <f>IF(B488=$H$1,COUNT($H$2:H489)+1," ")</f>
        <v xml:space="preserve"> </v>
      </c>
      <c r="L488">
        <v>487</v>
      </c>
      <c r="M488">
        <v>54</v>
      </c>
      <c r="N488">
        <v>73</v>
      </c>
      <c r="O488" s="18" t="s">
        <v>783</v>
      </c>
      <c r="P488">
        <f t="shared" si="21"/>
        <v>127</v>
      </c>
      <c r="Q488" t="str">
        <f>INDEX(Elemek!$B$2:$B$113,MATCH(M488,Elemek!$C$2:$C$113,0))</f>
        <v>Xe</v>
      </c>
      <c r="R488" t="str">
        <f t="shared" si="22"/>
        <v>8.766768</v>
      </c>
      <c r="S488" t="str">
        <f t="shared" si="23"/>
        <v>8.766768</v>
      </c>
    </row>
    <row r="489" spans="1:19" x14ac:dyDescent="0.25">
      <c r="A489">
        <v>120</v>
      </c>
      <c r="B489" t="s">
        <v>96</v>
      </c>
      <c r="C489">
        <v>156</v>
      </c>
      <c r="D489">
        <v>64</v>
      </c>
      <c r="E489">
        <v>92</v>
      </c>
      <c r="F489" s="18" t="s">
        <v>427</v>
      </c>
      <c r="H489" t="str">
        <f>IF(B489=$H$1,COUNT($H$2:H490)+1," ")</f>
        <v xml:space="preserve"> </v>
      </c>
      <c r="L489">
        <v>488</v>
      </c>
      <c r="M489">
        <v>75</v>
      </c>
      <c r="N489">
        <v>109</v>
      </c>
      <c r="O489" s="18"/>
      <c r="P489">
        <f t="shared" si="21"/>
        <v>184</v>
      </c>
      <c r="Q489" t="str">
        <f>INDEX(Elemek!$B$2:$B$113,MATCH(M489,Elemek!$C$2:$C$113,0))</f>
        <v>Re</v>
      </c>
      <c r="R489" t="e">
        <f t="shared" si="22"/>
        <v>#DIV/0!</v>
      </c>
      <c r="S489" t="e">
        <f t="shared" si="23"/>
        <v>#DIV/0!</v>
      </c>
    </row>
    <row r="490" spans="1:19" x14ac:dyDescent="0.25">
      <c r="A490">
        <v>158</v>
      </c>
      <c r="B490" t="s">
        <v>96</v>
      </c>
      <c r="C490">
        <v>155</v>
      </c>
      <c r="D490">
        <v>64</v>
      </c>
      <c r="E490">
        <v>91</v>
      </c>
      <c r="F490" s="18" t="s">
        <v>465</v>
      </c>
      <c r="H490" t="str">
        <f>IF(B490=$H$1,COUNT($H$2:H491)+1," ")</f>
        <v xml:space="preserve"> </v>
      </c>
      <c r="L490">
        <v>489</v>
      </c>
      <c r="M490">
        <v>41</v>
      </c>
      <c r="N490">
        <v>54</v>
      </c>
      <c r="O490" s="18" t="s">
        <v>784</v>
      </c>
      <c r="P490">
        <f t="shared" si="21"/>
        <v>95</v>
      </c>
      <c r="Q490" t="str">
        <f>INDEX(Elemek!$B$2:$B$113,MATCH(M490,Elemek!$C$2:$C$113,0))</f>
        <v>Nb</v>
      </c>
      <c r="R490" t="str">
        <f t="shared" si="22"/>
        <v>8.984821</v>
      </c>
      <c r="S490" t="str">
        <f t="shared" si="23"/>
        <v>8.984821</v>
      </c>
    </row>
    <row r="491" spans="1:19" x14ac:dyDescent="0.25">
      <c r="A491">
        <v>386</v>
      </c>
      <c r="B491" t="s">
        <v>80</v>
      </c>
      <c r="C491">
        <v>155</v>
      </c>
      <c r="D491">
        <v>63</v>
      </c>
      <c r="E491">
        <v>92</v>
      </c>
      <c r="F491" s="18" t="s">
        <v>690</v>
      </c>
      <c r="H491" t="str">
        <f>IF(B491=$H$1,COUNT($H$2:H492)+1," ")</f>
        <v xml:space="preserve"> </v>
      </c>
      <c r="L491">
        <v>490</v>
      </c>
      <c r="M491">
        <v>18</v>
      </c>
      <c r="N491">
        <v>19</v>
      </c>
      <c r="O491" s="18" t="s">
        <v>785</v>
      </c>
      <c r="P491">
        <f t="shared" si="21"/>
        <v>37</v>
      </c>
      <c r="Q491" t="str">
        <f>INDEX(Elemek!$B$2:$B$113,MATCH(M491,Elemek!$C$2:$C$113,0))</f>
        <v>Ar</v>
      </c>
      <c r="R491" t="str">
        <f t="shared" si="22"/>
        <v>8.907752</v>
      </c>
      <c r="S491" t="str">
        <f t="shared" si="23"/>
        <v>8.907752</v>
      </c>
    </row>
    <row r="492" spans="1:19" x14ac:dyDescent="0.25">
      <c r="A492">
        <v>892</v>
      </c>
      <c r="B492" t="s">
        <v>69</v>
      </c>
      <c r="C492">
        <v>152</v>
      </c>
      <c r="D492">
        <v>66</v>
      </c>
      <c r="E492">
        <v>86</v>
      </c>
      <c r="F492" s="18" t="s">
        <v>1121</v>
      </c>
      <c r="H492" t="str">
        <f>IF(B492=$H$1,COUNT($H$2:H493)+1," ")</f>
        <v xml:space="preserve"> </v>
      </c>
      <c r="L492">
        <v>491</v>
      </c>
      <c r="M492">
        <v>52</v>
      </c>
      <c r="N492">
        <v>77</v>
      </c>
      <c r="O492" s="18" t="s">
        <v>786</v>
      </c>
      <c r="P492">
        <f t="shared" si="21"/>
        <v>129</v>
      </c>
      <c r="Q492" t="str">
        <f>INDEX(Elemek!$B$2:$B$113,MATCH(M492,Elemek!$C$2:$C$113,0))</f>
        <v>Te</v>
      </c>
      <c r="R492" t="str">
        <f t="shared" si="22"/>
        <v>8.744953</v>
      </c>
      <c r="S492" t="str">
        <f t="shared" si="23"/>
        <v>8.744953</v>
      </c>
    </row>
    <row r="493" spans="1:19" x14ac:dyDescent="0.25">
      <c r="A493">
        <v>568</v>
      </c>
      <c r="B493" t="s">
        <v>282</v>
      </c>
      <c r="C493">
        <v>155</v>
      </c>
      <c r="D493">
        <v>65</v>
      </c>
      <c r="E493">
        <v>90</v>
      </c>
      <c r="F493" s="18" t="s">
        <v>854</v>
      </c>
      <c r="H493" t="str">
        <f>IF(B493=$H$1,COUNT($H$2:H494)+1," ")</f>
        <v xml:space="preserve"> </v>
      </c>
      <c r="L493">
        <v>492</v>
      </c>
      <c r="M493">
        <v>37</v>
      </c>
      <c r="N493">
        <v>47</v>
      </c>
      <c r="O493" s="18" t="s">
        <v>787</v>
      </c>
      <c r="P493">
        <f t="shared" si="21"/>
        <v>84</v>
      </c>
      <c r="Q493" t="str">
        <f>INDEX(Elemek!$B$2:$B$113,MATCH(M493,Elemek!$C$2:$C$113,0))</f>
        <v>Rb</v>
      </c>
      <c r="R493" t="str">
        <f t="shared" si="22"/>
        <v>9.020732</v>
      </c>
      <c r="S493" t="str">
        <f t="shared" si="23"/>
        <v>9.020732</v>
      </c>
    </row>
    <row r="494" spans="1:19" x14ac:dyDescent="0.25">
      <c r="A494">
        <v>305</v>
      </c>
      <c r="B494" t="s">
        <v>69</v>
      </c>
      <c r="C494">
        <v>154</v>
      </c>
      <c r="D494">
        <v>66</v>
      </c>
      <c r="E494">
        <v>88</v>
      </c>
      <c r="F494" s="18" t="s">
        <v>612</v>
      </c>
      <c r="H494" t="str">
        <f>IF(B494=$H$1,COUNT($H$2:H495)+1," ")</f>
        <v xml:space="preserve"> </v>
      </c>
      <c r="L494">
        <v>493</v>
      </c>
      <c r="M494">
        <v>96</v>
      </c>
      <c r="N494">
        <v>145</v>
      </c>
      <c r="O494" s="18" t="s">
        <v>788</v>
      </c>
      <c r="P494">
        <f t="shared" si="21"/>
        <v>241</v>
      </c>
      <c r="Q494" t="str">
        <f>INDEX(Elemek!$B$2:$B$113,MATCH(M494,Elemek!$C$2:$C$113,0))</f>
        <v>Cm</v>
      </c>
      <c r="R494" t="str">
        <f t="shared" si="22"/>
        <v>7.848492</v>
      </c>
      <c r="S494" t="str">
        <f t="shared" si="23"/>
        <v>7.848492</v>
      </c>
    </row>
    <row r="495" spans="1:19" x14ac:dyDescent="0.25">
      <c r="A495">
        <v>681</v>
      </c>
      <c r="B495" t="s">
        <v>282</v>
      </c>
      <c r="C495">
        <v>154</v>
      </c>
      <c r="D495">
        <v>65</v>
      </c>
      <c r="E495">
        <v>89</v>
      </c>
      <c r="F495" s="18" t="s">
        <v>950</v>
      </c>
      <c r="H495" t="str">
        <f>IF(B495=$H$1,COUNT($H$2:H496)+1," ")</f>
        <v xml:space="preserve"> </v>
      </c>
      <c r="L495">
        <v>494</v>
      </c>
      <c r="M495">
        <v>58</v>
      </c>
      <c r="N495">
        <v>83</v>
      </c>
      <c r="O495" s="18" t="s">
        <v>789</v>
      </c>
      <c r="P495">
        <f t="shared" si="21"/>
        <v>141</v>
      </c>
      <c r="Q495" t="str">
        <f>INDEX(Elemek!$B$2:$B$113,MATCH(M495,Elemek!$C$2:$C$113,0))</f>
        <v>Ce</v>
      </c>
      <c r="R495" t="str">
        <f t="shared" si="22"/>
        <v>8.677286</v>
      </c>
      <c r="S495" t="str">
        <f t="shared" si="23"/>
        <v>8.677286</v>
      </c>
    </row>
    <row r="496" spans="1:19" x14ac:dyDescent="0.25">
      <c r="A496">
        <v>225</v>
      </c>
      <c r="B496" t="s">
        <v>69</v>
      </c>
      <c r="C496">
        <v>156</v>
      </c>
      <c r="D496">
        <v>66</v>
      </c>
      <c r="E496">
        <v>90</v>
      </c>
      <c r="F496" s="18" t="s">
        <v>532</v>
      </c>
      <c r="H496" t="str">
        <f>IF(B496=$H$1,COUNT($H$2:H497)+1," ")</f>
        <v xml:space="preserve"> </v>
      </c>
      <c r="L496">
        <v>495</v>
      </c>
      <c r="M496">
        <v>70</v>
      </c>
      <c r="N496">
        <v>99</v>
      </c>
      <c r="O496" s="18" t="s">
        <v>790</v>
      </c>
      <c r="P496">
        <f t="shared" si="21"/>
        <v>169</v>
      </c>
      <c r="Q496" t="str">
        <f>INDEX(Elemek!$B$2:$B$113,MATCH(M496,Elemek!$C$2:$C$113,0))</f>
        <v>Yb</v>
      </c>
      <c r="R496" t="str">
        <f t="shared" si="22"/>
        <v>8.428546</v>
      </c>
      <c r="S496" t="str">
        <f t="shared" si="23"/>
        <v>8.428546</v>
      </c>
    </row>
    <row r="497" spans="1:19" x14ac:dyDescent="0.25">
      <c r="A497">
        <v>790</v>
      </c>
      <c r="B497" t="s">
        <v>69</v>
      </c>
      <c r="C497">
        <v>153</v>
      </c>
      <c r="D497">
        <v>66</v>
      </c>
      <c r="E497">
        <v>87</v>
      </c>
      <c r="F497" s="18" t="s">
        <v>1038</v>
      </c>
      <c r="H497" t="str">
        <f>IF(B497=$H$1,COUNT($H$2:H498)+1," ")</f>
        <v xml:space="preserve"> </v>
      </c>
      <c r="L497">
        <v>496</v>
      </c>
      <c r="M497">
        <v>101</v>
      </c>
      <c r="N497">
        <v>159</v>
      </c>
      <c r="O497" s="18" t="s">
        <v>791</v>
      </c>
      <c r="P497">
        <f t="shared" si="21"/>
        <v>260</v>
      </c>
      <c r="Q497" t="str">
        <f>INDEX(Elemek!$B$2:$B$113,MATCH(M497,Elemek!$C$2:$C$113,0))</f>
        <v>Md</v>
      </c>
      <c r="R497" t="str">
        <f t="shared" si="22"/>
        <v>7.699789</v>
      </c>
      <c r="S497" t="str">
        <f t="shared" si="23"/>
        <v>7.699789</v>
      </c>
    </row>
    <row r="498" spans="1:19" x14ac:dyDescent="0.25">
      <c r="A498">
        <v>121</v>
      </c>
      <c r="B498" t="s">
        <v>96</v>
      </c>
      <c r="C498">
        <v>157</v>
      </c>
      <c r="D498">
        <v>64</v>
      </c>
      <c r="E498">
        <v>93</v>
      </c>
      <c r="F498" s="18" t="s">
        <v>428</v>
      </c>
      <c r="H498" t="str">
        <f>IF(B498=$H$1,COUNT($H$2:H499)+1," ")</f>
        <v xml:space="preserve"> </v>
      </c>
      <c r="L498">
        <v>497</v>
      </c>
      <c r="M498">
        <v>24</v>
      </c>
      <c r="N498">
        <v>27</v>
      </c>
      <c r="O498" s="18" t="s">
        <v>792</v>
      </c>
      <c r="P498">
        <f t="shared" si="21"/>
        <v>51</v>
      </c>
      <c r="Q498" t="str">
        <f>INDEX(Elemek!$B$2:$B$113,MATCH(M498,Elemek!$C$2:$C$113,0))</f>
        <v>Cr</v>
      </c>
      <c r="R498" t="str">
        <f t="shared" si="22"/>
        <v>9.080127</v>
      </c>
      <c r="S498" t="str">
        <f t="shared" si="23"/>
        <v>9.080127</v>
      </c>
    </row>
    <row r="499" spans="1:19" x14ac:dyDescent="0.25">
      <c r="A499">
        <v>357</v>
      </c>
      <c r="B499" t="s">
        <v>282</v>
      </c>
      <c r="C499">
        <v>157</v>
      </c>
      <c r="D499">
        <v>65</v>
      </c>
      <c r="E499">
        <v>92</v>
      </c>
      <c r="F499" s="18" t="s">
        <v>664</v>
      </c>
      <c r="H499" t="str">
        <f>IF(B499=$H$1,COUNT($H$2:H500)+1," ")</f>
        <v xml:space="preserve"> </v>
      </c>
      <c r="L499">
        <v>498</v>
      </c>
      <c r="M499">
        <v>96</v>
      </c>
      <c r="N499">
        <v>144</v>
      </c>
      <c r="O499" s="18" t="s">
        <v>793</v>
      </c>
      <c r="P499">
        <f t="shared" si="21"/>
        <v>240</v>
      </c>
      <c r="Q499" t="str">
        <f>INDEX(Elemek!$B$2:$B$113,MATCH(M499,Elemek!$C$2:$C$113,0))</f>
        <v>Cm</v>
      </c>
      <c r="R499" t="str">
        <f t="shared" si="22"/>
        <v>7.855805</v>
      </c>
      <c r="S499" t="str">
        <f t="shared" si="23"/>
        <v>7.855805</v>
      </c>
    </row>
    <row r="500" spans="1:19" x14ac:dyDescent="0.25">
      <c r="A500">
        <v>567</v>
      </c>
      <c r="B500" t="s">
        <v>282</v>
      </c>
      <c r="C500">
        <v>156</v>
      </c>
      <c r="D500">
        <v>65</v>
      </c>
      <c r="E500">
        <v>91</v>
      </c>
      <c r="F500" s="18" t="s">
        <v>853</v>
      </c>
      <c r="H500" t="str">
        <f>IF(B500=$H$1,COUNT($H$2:H501)+1," ")</f>
        <v xml:space="preserve"> </v>
      </c>
      <c r="L500">
        <v>499</v>
      </c>
      <c r="M500">
        <v>91</v>
      </c>
      <c r="N500">
        <v>142</v>
      </c>
      <c r="O500" s="18" t="s">
        <v>794</v>
      </c>
      <c r="P500">
        <f t="shared" si="21"/>
        <v>233</v>
      </c>
      <c r="Q500" t="str">
        <f>INDEX(Elemek!$B$2:$B$113,MATCH(M500,Elemek!$C$2:$C$113,0))</f>
        <v>Pa</v>
      </c>
      <c r="R500" t="str">
        <f t="shared" si="22"/>
        <v>7.910426</v>
      </c>
      <c r="S500" t="str">
        <f t="shared" si="23"/>
        <v>7.910426</v>
      </c>
    </row>
    <row r="501" spans="1:19" x14ac:dyDescent="0.25">
      <c r="A501">
        <v>519</v>
      </c>
      <c r="B501" t="s">
        <v>80</v>
      </c>
      <c r="C501">
        <v>156</v>
      </c>
      <c r="D501">
        <v>63</v>
      </c>
      <c r="E501">
        <v>93</v>
      </c>
      <c r="F501" s="18" t="s">
        <v>812</v>
      </c>
      <c r="H501" t="str">
        <f>IF(B501=$H$1,COUNT($H$2:H502)+1," ")</f>
        <v xml:space="preserve"> </v>
      </c>
      <c r="L501">
        <v>500</v>
      </c>
      <c r="M501">
        <v>38</v>
      </c>
      <c r="N501">
        <v>44</v>
      </c>
      <c r="O501" s="18" t="s">
        <v>795</v>
      </c>
      <c r="P501">
        <f t="shared" si="21"/>
        <v>82</v>
      </c>
      <c r="Q501" t="str">
        <f>INDEX(Elemek!$B$2:$B$113,MATCH(M501,Elemek!$C$2:$C$113,0))</f>
        <v>Sr</v>
      </c>
      <c r="R501" t="str">
        <f t="shared" si="22"/>
        <v>8.998254</v>
      </c>
      <c r="S501" t="str">
        <f t="shared" si="23"/>
        <v>8.998254</v>
      </c>
    </row>
    <row r="502" spans="1:19" x14ac:dyDescent="0.25">
      <c r="A502">
        <v>122</v>
      </c>
      <c r="B502" t="s">
        <v>96</v>
      </c>
      <c r="C502">
        <v>158</v>
      </c>
      <c r="D502">
        <v>64</v>
      </c>
      <c r="E502">
        <v>94</v>
      </c>
      <c r="F502" s="18" t="s">
        <v>429</v>
      </c>
      <c r="H502" t="str">
        <f>IF(B502=$H$1,COUNT($H$2:H503)+1," ")</f>
        <v xml:space="preserve"> </v>
      </c>
      <c r="L502">
        <v>501</v>
      </c>
      <c r="M502">
        <v>15</v>
      </c>
      <c r="N502">
        <v>18</v>
      </c>
      <c r="O502" s="18" t="s">
        <v>796</v>
      </c>
      <c r="P502">
        <f t="shared" si="21"/>
        <v>33</v>
      </c>
      <c r="Q502" t="str">
        <f>INDEX(Elemek!$B$2:$B$113,MATCH(M502,Elemek!$C$2:$C$113,0))</f>
        <v>P</v>
      </c>
      <c r="R502" t="str">
        <f t="shared" si="22"/>
        <v>8.869434</v>
      </c>
      <c r="S502" t="str">
        <f t="shared" si="23"/>
        <v>8.869434</v>
      </c>
    </row>
    <row r="503" spans="1:19" x14ac:dyDescent="0.25">
      <c r="A503">
        <v>756</v>
      </c>
      <c r="B503" t="s">
        <v>69</v>
      </c>
      <c r="C503">
        <v>155</v>
      </c>
      <c r="D503">
        <v>66</v>
      </c>
      <c r="E503">
        <v>89</v>
      </c>
      <c r="F503" s="18" t="s">
        <v>1011</v>
      </c>
      <c r="H503" t="str">
        <f>IF(B503=$H$1,COUNT($H$2:H504)+1," ")</f>
        <v xml:space="preserve"> </v>
      </c>
      <c r="L503">
        <v>502</v>
      </c>
      <c r="M503">
        <v>72</v>
      </c>
      <c r="N503">
        <v>107</v>
      </c>
      <c r="O503" s="18"/>
      <c r="P503">
        <f t="shared" si="21"/>
        <v>179</v>
      </c>
      <c r="Q503" t="str">
        <f>INDEX(Elemek!$B$2:$B$113,MATCH(M503,Elemek!$C$2:$C$113,0))</f>
        <v>Hf</v>
      </c>
      <c r="R503" t="e">
        <f t="shared" si="22"/>
        <v>#DIV/0!</v>
      </c>
      <c r="S503" t="e">
        <f t="shared" si="23"/>
        <v>#DIV/0!</v>
      </c>
    </row>
    <row r="504" spans="1:19" x14ac:dyDescent="0.25">
      <c r="A504">
        <v>248</v>
      </c>
      <c r="B504" t="s">
        <v>69</v>
      </c>
      <c r="C504">
        <v>158</v>
      </c>
      <c r="D504">
        <v>66</v>
      </c>
      <c r="E504">
        <v>92</v>
      </c>
      <c r="F504" s="18" t="s">
        <v>555</v>
      </c>
      <c r="H504" t="str">
        <f>IF(B504=$H$1,COUNT($H$2:H505)+1," ")</f>
        <v xml:space="preserve"> </v>
      </c>
      <c r="L504">
        <v>503</v>
      </c>
      <c r="M504">
        <v>90</v>
      </c>
      <c r="N504">
        <v>144</v>
      </c>
      <c r="O504" s="18" t="s">
        <v>797</v>
      </c>
      <c r="P504">
        <f t="shared" si="21"/>
        <v>234</v>
      </c>
      <c r="Q504" t="str">
        <f>INDEX(Elemek!$B$2:$B$113,MATCH(M504,Elemek!$C$2:$C$113,0))</f>
        <v>Th</v>
      </c>
      <c r="R504" t="str">
        <f t="shared" si="22"/>
        <v>7.897763</v>
      </c>
      <c r="S504" t="str">
        <f t="shared" si="23"/>
        <v>7.897763</v>
      </c>
    </row>
    <row r="505" spans="1:19" x14ac:dyDescent="0.25">
      <c r="A505">
        <v>760</v>
      </c>
      <c r="B505" t="s">
        <v>258</v>
      </c>
      <c r="C505">
        <v>156</v>
      </c>
      <c r="D505">
        <v>62</v>
      </c>
      <c r="E505">
        <v>94</v>
      </c>
      <c r="F505" s="18" t="s">
        <v>1014</v>
      </c>
      <c r="H505" t="str">
        <f>IF(B505=$H$1,COUNT($H$2:H506)+1," ")</f>
        <v xml:space="preserve"> </v>
      </c>
      <c r="L505">
        <v>504</v>
      </c>
      <c r="M505">
        <v>63</v>
      </c>
      <c r="N505">
        <v>84</v>
      </c>
      <c r="O505" s="18" t="s">
        <v>798</v>
      </c>
      <c r="P505">
        <f t="shared" si="21"/>
        <v>147</v>
      </c>
      <c r="Q505" t="str">
        <f>INDEX(Elemek!$B$2:$B$113,MATCH(M505,Elemek!$C$2:$C$113,0))</f>
        <v>Eu</v>
      </c>
      <c r="R505" t="str">
        <f t="shared" si="22"/>
        <v>8.598879</v>
      </c>
      <c r="S505" t="str">
        <f t="shared" si="23"/>
        <v>8.598879</v>
      </c>
    </row>
    <row r="506" spans="1:19" x14ac:dyDescent="0.25">
      <c r="A506">
        <v>717</v>
      </c>
      <c r="B506" t="s">
        <v>80</v>
      </c>
      <c r="C506">
        <v>157</v>
      </c>
      <c r="D506">
        <v>63</v>
      </c>
      <c r="E506">
        <v>94</v>
      </c>
      <c r="F506" s="18" t="s">
        <v>980</v>
      </c>
      <c r="H506" t="str">
        <f>IF(B506=$H$1,COUNT($H$2:H507)+1," ")</f>
        <v xml:space="preserve"> </v>
      </c>
      <c r="L506">
        <v>505</v>
      </c>
      <c r="M506">
        <v>74</v>
      </c>
      <c r="N506">
        <v>104</v>
      </c>
      <c r="O506" s="18" t="s">
        <v>799</v>
      </c>
      <c r="P506">
        <f t="shared" si="21"/>
        <v>178</v>
      </c>
      <c r="Q506" t="str">
        <f>INDEX(Elemek!$B$2:$B$113,MATCH(M506,Elemek!$C$2:$C$113,0))</f>
        <v>W</v>
      </c>
      <c r="R506" t="str">
        <f t="shared" si="22"/>
        <v>8.354563</v>
      </c>
      <c r="S506" t="str">
        <f t="shared" si="23"/>
        <v>8.354563</v>
      </c>
    </row>
    <row r="507" spans="1:19" x14ac:dyDescent="0.25">
      <c r="A507">
        <v>776</v>
      </c>
      <c r="B507" t="s">
        <v>69</v>
      </c>
      <c r="C507">
        <v>157</v>
      </c>
      <c r="D507">
        <v>66</v>
      </c>
      <c r="E507">
        <v>91</v>
      </c>
      <c r="F507" s="18" t="s">
        <v>1025</v>
      </c>
      <c r="H507" t="str">
        <f>IF(B507=$H$1,COUNT($H$2:H508)+1," ")</f>
        <v xml:space="preserve"> </v>
      </c>
      <c r="L507">
        <v>506</v>
      </c>
      <c r="M507">
        <v>92</v>
      </c>
      <c r="N507">
        <v>138</v>
      </c>
      <c r="O507" s="18" t="s">
        <v>800</v>
      </c>
      <c r="P507">
        <f t="shared" si="21"/>
        <v>230</v>
      </c>
      <c r="Q507" t="str">
        <f>INDEX(Elemek!$B$2:$B$113,MATCH(M507,Elemek!$C$2:$C$113,0))</f>
        <v>U</v>
      </c>
      <c r="R507" t="str">
        <f t="shared" si="22"/>
        <v>7.933871</v>
      </c>
      <c r="S507" t="str">
        <f t="shared" si="23"/>
        <v>7.933871</v>
      </c>
    </row>
    <row r="508" spans="1:19" x14ac:dyDescent="0.25">
      <c r="A508">
        <v>349</v>
      </c>
      <c r="B508" t="s">
        <v>282</v>
      </c>
      <c r="C508">
        <v>158</v>
      </c>
      <c r="D508">
        <v>65</v>
      </c>
      <c r="E508">
        <v>93</v>
      </c>
      <c r="F508" s="18" t="s">
        <v>656</v>
      </c>
      <c r="H508" t="str">
        <f>IF(B508=$H$1,COUNT($H$2:H509)+1," ")</f>
        <v xml:space="preserve"> </v>
      </c>
      <c r="L508">
        <v>507</v>
      </c>
      <c r="M508">
        <v>99</v>
      </c>
      <c r="N508">
        <v>154</v>
      </c>
      <c r="O508" s="18" t="s">
        <v>801</v>
      </c>
      <c r="P508">
        <f t="shared" si="21"/>
        <v>253</v>
      </c>
      <c r="Q508" t="str">
        <f>INDEX(Elemek!$B$2:$B$113,MATCH(M508,Elemek!$C$2:$C$113,0))</f>
        <v>Es</v>
      </c>
      <c r="R508" t="str">
        <f t="shared" si="22"/>
        <v>7.759019</v>
      </c>
      <c r="S508" t="str">
        <f t="shared" si="23"/>
        <v>7.759019</v>
      </c>
    </row>
    <row r="509" spans="1:19" x14ac:dyDescent="0.25">
      <c r="A509">
        <v>123</v>
      </c>
      <c r="B509" t="s">
        <v>282</v>
      </c>
      <c r="C509">
        <v>159</v>
      </c>
      <c r="D509">
        <v>65</v>
      </c>
      <c r="E509">
        <v>94</v>
      </c>
      <c r="F509" s="18" t="s">
        <v>430</v>
      </c>
      <c r="H509" t="str">
        <f>IF(B509=$H$1,COUNT($H$2:H510)+1," ")</f>
        <v xml:space="preserve"> </v>
      </c>
      <c r="L509">
        <v>508</v>
      </c>
      <c r="M509">
        <v>52</v>
      </c>
      <c r="N509">
        <v>69</v>
      </c>
      <c r="O509" s="18"/>
      <c r="P509">
        <f t="shared" si="21"/>
        <v>121</v>
      </c>
      <c r="Q509" t="str">
        <f>INDEX(Elemek!$B$2:$B$113,MATCH(M509,Elemek!$C$2:$C$113,0))</f>
        <v>Te</v>
      </c>
      <c r="R509" t="e">
        <f t="shared" si="22"/>
        <v>#DIV/0!</v>
      </c>
      <c r="S509" t="e">
        <f t="shared" si="23"/>
        <v>#DIV/0!</v>
      </c>
    </row>
    <row r="510" spans="1:19" x14ac:dyDescent="0.25">
      <c r="A510">
        <v>244</v>
      </c>
      <c r="B510" t="s">
        <v>69</v>
      </c>
      <c r="C510">
        <v>160</v>
      </c>
      <c r="D510">
        <v>66</v>
      </c>
      <c r="E510">
        <v>94</v>
      </c>
      <c r="F510" s="18" t="s">
        <v>551</v>
      </c>
      <c r="H510" t="str">
        <f>IF(B510=$H$1,COUNT($H$2:H511)+1," ")</f>
        <v xml:space="preserve"> </v>
      </c>
      <c r="L510">
        <v>509</v>
      </c>
      <c r="M510">
        <v>90</v>
      </c>
      <c r="N510">
        <v>137</v>
      </c>
      <c r="O510" s="18" t="s">
        <v>802</v>
      </c>
      <c r="P510">
        <f t="shared" si="21"/>
        <v>227</v>
      </c>
      <c r="Q510" t="str">
        <f>INDEX(Elemek!$B$2:$B$113,MATCH(M510,Elemek!$C$2:$C$113,0))</f>
        <v>Th</v>
      </c>
      <c r="R510" t="str">
        <f t="shared" si="22"/>
        <v>7.957644</v>
      </c>
      <c r="S510" t="str">
        <f t="shared" si="23"/>
        <v>7.957644</v>
      </c>
    </row>
    <row r="511" spans="1:19" x14ac:dyDescent="0.25">
      <c r="A511">
        <v>431</v>
      </c>
      <c r="B511" t="s">
        <v>69</v>
      </c>
      <c r="C511">
        <v>159</v>
      </c>
      <c r="D511">
        <v>66</v>
      </c>
      <c r="E511">
        <v>93</v>
      </c>
      <c r="F511" s="18" t="s">
        <v>733</v>
      </c>
      <c r="H511" t="str">
        <f>IF(B511=$H$1,COUNT($H$2:H512)+1," ")</f>
        <v xml:space="preserve"> </v>
      </c>
      <c r="L511">
        <v>510</v>
      </c>
      <c r="M511">
        <v>37</v>
      </c>
      <c r="N511">
        <v>49</v>
      </c>
      <c r="O511" s="18" t="s">
        <v>803</v>
      </c>
      <c r="P511">
        <f t="shared" si="21"/>
        <v>86</v>
      </c>
      <c r="Q511" t="str">
        <f>INDEX(Elemek!$B$2:$B$113,MATCH(M511,Elemek!$C$2:$C$113,0))</f>
        <v>Rb</v>
      </c>
      <c r="R511" t="str">
        <f t="shared" si="22"/>
        <v>9.033502</v>
      </c>
      <c r="S511" t="str">
        <f t="shared" si="23"/>
        <v>9.033502</v>
      </c>
    </row>
    <row r="512" spans="1:19" x14ac:dyDescent="0.25">
      <c r="A512">
        <v>702</v>
      </c>
      <c r="B512" t="s">
        <v>96</v>
      </c>
      <c r="C512">
        <v>159</v>
      </c>
      <c r="D512">
        <v>64</v>
      </c>
      <c r="E512">
        <v>95</v>
      </c>
      <c r="F512" s="18" t="s">
        <v>967</v>
      </c>
      <c r="H512" t="str">
        <f>IF(B512=$H$1,COUNT($H$2:H513)+1," ")</f>
        <v xml:space="preserve"> </v>
      </c>
      <c r="L512">
        <v>511</v>
      </c>
      <c r="M512">
        <v>98</v>
      </c>
      <c r="N512">
        <v>155</v>
      </c>
      <c r="O512" s="18" t="s">
        <v>804</v>
      </c>
      <c r="P512">
        <f t="shared" si="21"/>
        <v>253</v>
      </c>
      <c r="Q512" t="str">
        <f>INDEX(Elemek!$B$2:$B$113,MATCH(M512,Elemek!$C$2:$C$113,0))</f>
        <v>Cf</v>
      </c>
      <c r="R512" t="str">
        <f t="shared" si="22"/>
        <v>7.757885</v>
      </c>
      <c r="S512" t="str">
        <f t="shared" si="23"/>
        <v>7.757885</v>
      </c>
    </row>
    <row r="513" spans="1:19" x14ac:dyDescent="0.25">
      <c r="A513">
        <v>208</v>
      </c>
      <c r="B513" t="s">
        <v>96</v>
      </c>
      <c r="C513">
        <v>160</v>
      </c>
      <c r="D513">
        <v>64</v>
      </c>
      <c r="E513">
        <v>96</v>
      </c>
      <c r="F513" s="18" t="s">
        <v>515</v>
      </c>
      <c r="H513" t="str">
        <f>IF(B513=$H$1,COUNT($H$2:H514)+1," ")</f>
        <v xml:space="preserve"> </v>
      </c>
      <c r="L513">
        <v>512</v>
      </c>
      <c r="M513">
        <v>33</v>
      </c>
      <c r="N513">
        <v>41</v>
      </c>
      <c r="O513" s="18" t="s">
        <v>805</v>
      </c>
      <c r="P513">
        <f t="shared" si="21"/>
        <v>74</v>
      </c>
      <c r="Q513" t="str">
        <f>INDEX(Elemek!$B$2:$B$113,MATCH(M513,Elemek!$C$2:$C$113,0))</f>
        <v>As</v>
      </c>
      <c r="R513" t="str">
        <f t="shared" si="22"/>
        <v>9.028895</v>
      </c>
      <c r="S513" t="str">
        <f t="shared" si="23"/>
        <v>9.028895</v>
      </c>
    </row>
    <row r="514" spans="1:19" x14ac:dyDescent="0.25">
      <c r="A514">
        <v>458</v>
      </c>
      <c r="B514" t="s">
        <v>282</v>
      </c>
      <c r="C514">
        <v>160</v>
      </c>
      <c r="D514">
        <v>65</v>
      </c>
      <c r="E514">
        <v>95</v>
      </c>
      <c r="F514" s="18" t="s">
        <v>756</v>
      </c>
      <c r="H514" t="str">
        <f>IF(B514=$H$1,COUNT($H$2:H515)+1," ")</f>
        <v xml:space="preserve"> </v>
      </c>
      <c r="L514">
        <v>513</v>
      </c>
      <c r="M514">
        <v>91</v>
      </c>
      <c r="N514">
        <v>139</v>
      </c>
      <c r="O514" s="18" t="s">
        <v>806</v>
      </c>
      <c r="P514">
        <f t="shared" si="21"/>
        <v>230</v>
      </c>
      <c r="Q514" t="str">
        <f>INDEX(Elemek!$B$2:$B$113,MATCH(M514,Elemek!$C$2:$C$113,0))</f>
        <v>Pa</v>
      </c>
      <c r="R514" t="str">
        <f t="shared" si="22"/>
        <v>7.931436</v>
      </c>
      <c r="S514" t="str">
        <f t="shared" si="23"/>
        <v>7.931436</v>
      </c>
    </row>
    <row r="515" spans="1:19" x14ac:dyDescent="0.25">
      <c r="A515">
        <v>243</v>
      </c>
      <c r="B515" t="s">
        <v>69</v>
      </c>
      <c r="C515">
        <v>161</v>
      </c>
      <c r="D515">
        <v>66</v>
      </c>
      <c r="E515">
        <v>95</v>
      </c>
      <c r="F515" s="18" t="s">
        <v>550</v>
      </c>
      <c r="H515" t="str">
        <f>IF(B515=$H$1,COUNT($H$2:H516)+1," ")</f>
        <v xml:space="preserve"> </v>
      </c>
      <c r="L515">
        <v>514</v>
      </c>
      <c r="M515">
        <v>46</v>
      </c>
      <c r="N515">
        <v>57</v>
      </c>
      <c r="O515" s="18" t="s">
        <v>807</v>
      </c>
      <c r="P515">
        <f t="shared" ref="P515:P578" si="24">N515+M515</f>
        <v>103</v>
      </c>
      <c r="Q515" t="str">
        <f>INDEX(Elemek!$B$2:$B$113,MATCH(M515,Elemek!$C$2:$C$113,0))</f>
        <v>Pd</v>
      </c>
      <c r="R515" t="str">
        <f t="shared" ref="R515:R578" si="25">IF(NOT(ISBLANK(O515)),O515,ROUNDDOWN(AVERAGE($O$2:$O$990),2))</f>
        <v>8.920638</v>
      </c>
      <c r="S515" t="str">
        <f t="shared" ref="S515:S578" si="26">IF(ISBLANK(O515),ROUNDDOWN(AVERAGEIF($M$2:$M$990,M515,$O$2:$O$990),2),O515)</f>
        <v>8.920638</v>
      </c>
    </row>
    <row r="516" spans="1:19" x14ac:dyDescent="0.25">
      <c r="A516">
        <v>236</v>
      </c>
      <c r="B516" t="s">
        <v>69</v>
      </c>
      <c r="C516">
        <v>162</v>
      </c>
      <c r="D516">
        <v>66</v>
      </c>
      <c r="E516">
        <v>96</v>
      </c>
      <c r="F516" s="18" t="s">
        <v>543</v>
      </c>
      <c r="H516" t="str">
        <f>IF(B516=$H$1,COUNT($H$2:H517)+1," ")</f>
        <v xml:space="preserve"> </v>
      </c>
      <c r="L516">
        <v>515</v>
      </c>
      <c r="M516">
        <v>45</v>
      </c>
      <c r="N516">
        <v>54</v>
      </c>
      <c r="O516" s="18" t="s">
        <v>808</v>
      </c>
      <c r="P516">
        <f t="shared" si="24"/>
        <v>99</v>
      </c>
      <c r="Q516" t="str">
        <f>INDEX(Elemek!$B$2:$B$113,MATCH(M516,Elemek!$C$2:$C$113,0))</f>
        <v>Rh</v>
      </c>
      <c r="R516" t="str">
        <f t="shared" si="25"/>
        <v>8.935711</v>
      </c>
      <c r="S516" t="str">
        <f t="shared" si="26"/>
        <v>8.935711</v>
      </c>
    </row>
    <row r="517" spans="1:19" x14ac:dyDescent="0.25">
      <c r="A517">
        <v>554</v>
      </c>
      <c r="B517" t="s">
        <v>282</v>
      </c>
      <c r="C517">
        <v>161</v>
      </c>
      <c r="D517">
        <v>65</v>
      </c>
      <c r="E517">
        <v>96</v>
      </c>
      <c r="F517" s="18" t="s">
        <v>842</v>
      </c>
      <c r="H517" t="str">
        <f>IF(B517=$H$1,COUNT($H$2:H518)+1," ")</f>
        <v xml:space="preserve"> </v>
      </c>
      <c r="L517">
        <v>516</v>
      </c>
      <c r="M517">
        <v>23</v>
      </c>
      <c r="N517">
        <v>25</v>
      </c>
      <c r="O517" s="18" t="s">
        <v>809</v>
      </c>
      <c r="P517">
        <f t="shared" si="24"/>
        <v>48</v>
      </c>
      <c r="Q517" t="str">
        <f>INDEX(Elemek!$B$2:$B$113,MATCH(M517,Elemek!$C$2:$C$113,0))</f>
        <v>V</v>
      </c>
      <c r="R517" t="str">
        <f t="shared" si="25"/>
        <v>8.99789</v>
      </c>
      <c r="S517" t="str">
        <f t="shared" si="26"/>
        <v>8.99789</v>
      </c>
    </row>
    <row r="518" spans="1:19" x14ac:dyDescent="0.25">
      <c r="A518">
        <v>887</v>
      </c>
      <c r="B518" t="s">
        <v>117</v>
      </c>
      <c r="C518">
        <v>161</v>
      </c>
      <c r="D518">
        <v>67</v>
      </c>
      <c r="E518">
        <v>94</v>
      </c>
      <c r="F518" s="18" t="s">
        <v>1116</v>
      </c>
      <c r="H518" t="str">
        <f>IF(B518=$H$1,COUNT($H$2:H519)+1," ")</f>
        <v xml:space="preserve"> </v>
      </c>
      <c r="L518">
        <v>517</v>
      </c>
      <c r="M518">
        <v>76</v>
      </c>
      <c r="N518">
        <v>115</v>
      </c>
      <c r="O518" s="18" t="s">
        <v>810</v>
      </c>
      <c r="P518">
        <f t="shared" si="24"/>
        <v>191</v>
      </c>
      <c r="Q518" t="str">
        <f>INDEX(Elemek!$B$2:$B$113,MATCH(M518,Elemek!$C$2:$C$113,0))</f>
        <v>Os</v>
      </c>
      <c r="R518" t="str">
        <f t="shared" si="25"/>
        <v>8.26187</v>
      </c>
      <c r="S518" t="str">
        <f t="shared" si="26"/>
        <v>8.26187</v>
      </c>
    </row>
    <row r="519" spans="1:19" x14ac:dyDescent="0.25">
      <c r="A519">
        <v>808</v>
      </c>
      <c r="B519" t="s">
        <v>117</v>
      </c>
      <c r="C519">
        <v>160</v>
      </c>
      <c r="D519">
        <v>67</v>
      </c>
      <c r="E519">
        <v>93</v>
      </c>
      <c r="F519" s="18" t="s">
        <v>1052</v>
      </c>
      <c r="H519" t="str">
        <f>IF(B519=$H$1,COUNT($H$2:H520)+1," ")</f>
        <v xml:space="preserve"> </v>
      </c>
      <c r="L519">
        <v>518</v>
      </c>
      <c r="M519">
        <v>83</v>
      </c>
      <c r="N519">
        <v>122</v>
      </c>
      <c r="O519" s="18" t="s">
        <v>811</v>
      </c>
      <c r="P519">
        <f t="shared" si="24"/>
        <v>205</v>
      </c>
      <c r="Q519" t="str">
        <f>INDEX(Elemek!$B$2:$B$113,MATCH(M519,Elemek!$C$2:$C$113,0))</f>
        <v>Bi</v>
      </c>
      <c r="R519" t="str">
        <f t="shared" si="25"/>
        <v>8.174069</v>
      </c>
      <c r="S519" t="str">
        <f t="shared" si="26"/>
        <v>8.174069</v>
      </c>
    </row>
    <row r="520" spans="1:19" x14ac:dyDescent="0.25">
      <c r="A520">
        <v>124</v>
      </c>
      <c r="B520" t="s">
        <v>184</v>
      </c>
      <c r="C520">
        <v>23</v>
      </c>
      <c r="D520">
        <v>11</v>
      </c>
      <c r="E520">
        <v>12</v>
      </c>
      <c r="F520" s="18" t="s">
        <v>431</v>
      </c>
      <c r="H520" t="str">
        <f>IF(B520=$H$1,COUNT($H$2:H521)+1," ")</f>
        <v xml:space="preserve"> </v>
      </c>
      <c r="L520">
        <v>519</v>
      </c>
      <c r="M520">
        <v>63</v>
      </c>
      <c r="N520">
        <v>93</v>
      </c>
      <c r="O520" s="18" t="s">
        <v>812</v>
      </c>
      <c r="P520">
        <f t="shared" si="24"/>
        <v>156</v>
      </c>
      <c r="Q520" t="str">
        <f>INDEX(Elemek!$B$2:$B$113,MATCH(M520,Elemek!$C$2:$C$113,0))</f>
        <v>Eu</v>
      </c>
      <c r="R520" t="str">
        <f t="shared" si="25"/>
        <v>8.520642</v>
      </c>
      <c r="S520" t="str">
        <f t="shared" si="26"/>
        <v>8.520642</v>
      </c>
    </row>
    <row r="521" spans="1:19" x14ac:dyDescent="0.25">
      <c r="A521">
        <v>897</v>
      </c>
      <c r="B521" t="s">
        <v>77</v>
      </c>
      <c r="C521">
        <v>158</v>
      </c>
      <c r="D521">
        <v>68</v>
      </c>
      <c r="E521">
        <v>90</v>
      </c>
      <c r="F521" s="18" t="s">
        <v>1126</v>
      </c>
      <c r="H521" t="str">
        <f>IF(B521=$H$1,COUNT($H$2:H522)+1," ")</f>
        <v xml:space="preserve"> </v>
      </c>
      <c r="L521">
        <v>520</v>
      </c>
      <c r="M521">
        <v>88</v>
      </c>
      <c r="N521">
        <v>137</v>
      </c>
      <c r="O521" s="18" t="s">
        <v>813</v>
      </c>
      <c r="P521">
        <f t="shared" si="24"/>
        <v>225</v>
      </c>
      <c r="Q521" t="str">
        <f>INDEX(Elemek!$B$2:$B$113,MATCH(M521,Elemek!$C$2:$C$113,0))</f>
        <v>Ra</v>
      </c>
      <c r="R521" t="str">
        <f t="shared" si="25"/>
        <v>7.973576</v>
      </c>
      <c r="S521" t="str">
        <f t="shared" si="26"/>
        <v>7.973576</v>
      </c>
    </row>
    <row r="522" spans="1:19" x14ac:dyDescent="0.25">
      <c r="A522">
        <v>664</v>
      </c>
      <c r="B522" t="s">
        <v>77</v>
      </c>
      <c r="C522">
        <v>160</v>
      </c>
      <c r="D522">
        <v>68</v>
      </c>
      <c r="E522">
        <v>92</v>
      </c>
      <c r="F522" s="18" t="s">
        <v>939</v>
      </c>
      <c r="H522" t="str">
        <f>IF(B522=$H$1,COUNT($H$2:H523)+1," ")</f>
        <v xml:space="preserve"> </v>
      </c>
      <c r="L522">
        <v>521</v>
      </c>
      <c r="M522">
        <v>15</v>
      </c>
      <c r="N522">
        <v>17</v>
      </c>
      <c r="O522" s="18" t="s">
        <v>814</v>
      </c>
      <c r="P522">
        <f t="shared" si="24"/>
        <v>32</v>
      </c>
      <c r="Q522" t="str">
        <f>INDEX(Elemek!$B$2:$B$113,MATCH(M522,Elemek!$C$2:$C$113,0))</f>
        <v>P</v>
      </c>
      <c r="R522" t="str">
        <f t="shared" si="25"/>
        <v>8.830865</v>
      </c>
      <c r="S522" t="str">
        <f t="shared" si="26"/>
        <v>8.830865</v>
      </c>
    </row>
    <row r="523" spans="1:19" x14ac:dyDescent="0.25">
      <c r="A523">
        <v>249</v>
      </c>
      <c r="B523" t="s">
        <v>77</v>
      </c>
      <c r="C523">
        <v>162</v>
      </c>
      <c r="D523">
        <v>68</v>
      </c>
      <c r="E523">
        <v>94</v>
      </c>
      <c r="F523" s="18" t="s">
        <v>556</v>
      </c>
      <c r="H523" t="str">
        <f>IF(B523=$H$1,COUNT($H$2:H524)+1," ")</f>
        <v xml:space="preserve"> </v>
      </c>
      <c r="L523">
        <v>522</v>
      </c>
      <c r="M523">
        <v>50</v>
      </c>
      <c r="N523">
        <v>67</v>
      </c>
      <c r="O523" s="18"/>
      <c r="P523">
        <f t="shared" si="24"/>
        <v>117</v>
      </c>
      <c r="Q523" t="str">
        <f>INDEX(Elemek!$B$2:$B$113,MATCH(M523,Elemek!$C$2:$C$113,0))</f>
        <v>Sn</v>
      </c>
      <c r="R523" t="e">
        <f t="shared" si="25"/>
        <v>#DIV/0!</v>
      </c>
      <c r="S523" t="e">
        <f t="shared" si="26"/>
        <v>#DIV/0!</v>
      </c>
    </row>
    <row r="524" spans="1:19" x14ac:dyDescent="0.25">
      <c r="A524">
        <v>125</v>
      </c>
      <c r="B524" t="s">
        <v>69</v>
      </c>
      <c r="C524">
        <v>163</v>
      </c>
      <c r="D524">
        <v>66</v>
      </c>
      <c r="E524">
        <v>97</v>
      </c>
      <c r="F524" s="18" t="s">
        <v>432</v>
      </c>
      <c r="H524" t="str">
        <f>IF(B524=$H$1,COUNT($H$2:H525)+1," ")</f>
        <v xml:space="preserve"> </v>
      </c>
      <c r="L524">
        <v>523</v>
      </c>
      <c r="M524">
        <v>59</v>
      </c>
      <c r="N524">
        <v>84</v>
      </c>
      <c r="O524" s="18" t="s">
        <v>815</v>
      </c>
      <c r="P524">
        <f t="shared" si="24"/>
        <v>143</v>
      </c>
      <c r="Q524" t="str">
        <f>INDEX(Elemek!$B$2:$B$113,MATCH(M524,Elemek!$C$2:$C$113,0))</f>
        <v>Pr</v>
      </c>
      <c r="R524" t="str">
        <f t="shared" si="25"/>
        <v>8.652258</v>
      </c>
      <c r="S524" t="str">
        <f t="shared" si="26"/>
        <v>8.652258</v>
      </c>
    </row>
    <row r="525" spans="1:19" x14ac:dyDescent="0.25">
      <c r="A525">
        <v>335</v>
      </c>
      <c r="B525" t="s">
        <v>117</v>
      </c>
      <c r="C525">
        <v>163</v>
      </c>
      <c r="D525">
        <v>67</v>
      </c>
      <c r="E525">
        <v>96</v>
      </c>
      <c r="F525" s="18" t="s">
        <v>642</v>
      </c>
      <c r="H525" t="str">
        <f>IF(B525=$H$1,COUNT($H$2:H526)+1," ")</f>
        <v xml:space="preserve"> </v>
      </c>
      <c r="L525">
        <v>524</v>
      </c>
      <c r="M525">
        <v>77</v>
      </c>
      <c r="N525">
        <v>112</v>
      </c>
      <c r="O525" s="18" t="s">
        <v>816</v>
      </c>
      <c r="P525">
        <f t="shared" si="24"/>
        <v>189</v>
      </c>
      <c r="Q525" t="str">
        <f>INDEX(Elemek!$B$2:$B$113,MATCH(M525,Elemek!$C$2:$C$113,0))</f>
        <v>Ir</v>
      </c>
      <c r="R525" t="str">
        <f t="shared" si="25"/>
        <v>8.274783</v>
      </c>
      <c r="S525" t="str">
        <f t="shared" si="26"/>
        <v>8.274783</v>
      </c>
    </row>
    <row r="526" spans="1:19" x14ac:dyDescent="0.25">
      <c r="A526">
        <v>976</v>
      </c>
      <c r="B526" t="s">
        <v>117</v>
      </c>
      <c r="C526">
        <v>162</v>
      </c>
      <c r="D526">
        <v>67</v>
      </c>
      <c r="E526">
        <v>95</v>
      </c>
      <c r="F526" s="18" t="s">
        <v>1188</v>
      </c>
      <c r="H526" t="str">
        <f>IF(B526=$H$1,COUNT($H$2:H527)+1," ")</f>
        <v xml:space="preserve"> </v>
      </c>
      <c r="L526">
        <v>525</v>
      </c>
      <c r="M526">
        <v>55</v>
      </c>
      <c r="N526">
        <v>81</v>
      </c>
      <c r="O526" s="18" t="s">
        <v>817</v>
      </c>
      <c r="P526">
        <f t="shared" si="24"/>
        <v>136</v>
      </c>
      <c r="Q526" t="str">
        <f>INDEX(Elemek!$B$2:$B$113,MATCH(M526,Elemek!$C$2:$C$113,0))</f>
        <v>Cs</v>
      </c>
      <c r="R526" t="str">
        <f t="shared" si="25"/>
        <v>8.706171</v>
      </c>
      <c r="S526" t="str">
        <f t="shared" si="26"/>
        <v>8.706171</v>
      </c>
    </row>
    <row r="527" spans="1:19" x14ac:dyDescent="0.25">
      <c r="A527">
        <v>854</v>
      </c>
      <c r="B527" t="s">
        <v>77</v>
      </c>
      <c r="C527">
        <v>161</v>
      </c>
      <c r="D527">
        <v>68</v>
      </c>
      <c r="E527">
        <v>93</v>
      </c>
      <c r="F527" s="18" t="s">
        <v>1091</v>
      </c>
      <c r="H527" t="str">
        <f>IF(B527=$H$1,COUNT($H$2:H528)+1," ")</f>
        <v xml:space="preserve"> </v>
      </c>
      <c r="L527">
        <v>526</v>
      </c>
      <c r="M527">
        <v>53</v>
      </c>
      <c r="N527">
        <v>73</v>
      </c>
      <c r="O527" s="18" t="s">
        <v>818</v>
      </c>
      <c r="P527">
        <f t="shared" si="24"/>
        <v>126</v>
      </c>
      <c r="Q527" t="str">
        <f>INDEX(Elemek!$B$2:$B$113,MATCH(M527,Elemek!$C$2:$C$113,0))</f>
        <v>I</v>
      </c>
      <c r="R527" t="str">
        <f t="shared" si="25"/>
        <v>8.769026</v>
      </c>
      <c r="S527" t="str">
        <f t="shared" si="26"/>
        <v>8.769026</v>
      </c>
    </row>
    <row r="528" spans="1:19" x14ac:dyDescent="0.25">
      <c r="A528">
        <v>126</v>
      </c>
      <c r="B528" t="s">
        <v>69</v>
      </c>
      <c r="C528">
        <v>164</v>
      </c>
      <c r="D528">
        <v>66</v>
      </c>
      <c r="E528">
        <v>98</v>
      </c>
      <c r="F528" s="18" t="s">
        <v>433</v>
      </c>
      <c r="H528" t="str">
        <f>IF(B528=$H$1,COUNT($H$2:H529)+1," ")</f>
        <v xml:space="preserve"> </v>
      </c>
      <c r="L528">
        <v>527</v>
      </c>
      <c r="M528">
        <v>56</v>
      </c>
      <c r="N528">
        <v>84</v>
      </c>
      <c r="O528" s="18" t="s">
        <v>819</v>
      </c>
      <c r="P528">
        <f t="shared" si="24"/>
        <v>140</v>
      </c>
      <c r="Q528" t="str">
        <f>INDEX(Elemek!$B$2:$B$113,MATCH(M528,Elemek!$C$2:$C$113,0))</f>
        <v>Ba</v>
      </c>
      <c r="R528" t="str">
        <f t="shared" si="25"/>
        <v>8.66612</v>
      </c>
      <c r="S528" t="str">
        <f t="shared" si="26"/>
        <v>8.66612</v>
      </c>
    </row>
    <row r="529" spans="1:19" x14ac:dyDescent="0.25">
      <c r="A529">
        <v>159</v>
      </c>
      <c r="B529" t="s">
        <v>77</v>
      </c>
      <c r="C529">
        <v>164</v>
      </c>
      <c r="D529">
        <v>68</v>
      </c>
      <c r="E529">
        <v>96</v>
      </c>
      <c r="F529" s="18" t="s">
        <v>466</v>
      </c>
      <c r="H529" t="str">
        <f>IF(B529=$H$1,COUNT($H$2:H530)+1," ")</f>
        <v xml:space="preserve"> </v>
      </c>
      <c r="L529">
        <v>528</v>
      </c>
      <c r="M529">
        <v>51</v>
      </c>
      <c r="N529">
        <v>75</v>
      </c>
      <c r="O529" s="18" t="s">
        <v>820</v>
      </c>
      <c r="P529">
        <f t="shared" si="24"/>
        <v>126</v>
      </c>
      <c r="Q529" t="str">
        <f>INDEX(Elemek!$B$2:$B$113,MATCH(M529,Elemek!$C$2:$C$113,0))</f>
        <v>Sb</v>
      </c>
      <c r="R529" t="str">
        <f t="shared" si="25"/>
        <v>8.757042</v>
      </c>
      <c r="S529" t="str">
        <f t="shared" si="26"/>
        <v>8.757042</v>
      </c>
    </row>
    <row r="530" spans="1:19" x14ac:dyDescent="0.25">
      <c r="A530">
        <v>961</v>
      </c>
      <c r="B530" t="s">
        <v>77</v>
      </c>
      <c r="C530">
        <v>163</v>
      </c>
      <c r="D530">
        <v>68</v>
      </c>
      <c r="E530">
        <v>95</v>
      </c>
      <c r="F530" s="18" t="s">
        <v>1177</v>
      </c>
      <c r="H530" t="str">
        <f>IF(B530=$H$1,COUNT($H$2:H531)+1," ")</f>
        <v xml:space="preserve"> </v>
      </c>
      <c r="L530">
        <v>529</v>
      </c>
      <c r="M530">
        <v>81</v>
      </c>
      <c r="N530">
        <v>121</v>
      </c>
      <c r="O530" s="18" t="s">
        <v>821</v>
      </c>
      <c r="P530">
        <f t="shared" si="24"/>
        <v>202</v>
      </c>
      <c r="Q530" t="str">
        <f>INDEX(Elemek!$B$2:$B$113,MATCH(M530,Elemek!$C$2:$C$113,0))</f>
        <v>Tl</v>
      </c>
      <c r="R530" t="str">
        <f t="shared" si="25"/>
        <v>8.199956</v>
      </c>
      <c r="S530" t="str">
        <f t="shared" si="26"/>
        <v>8.199956</v>
      </c>
    </row>
    <row r="531" spans="1:19" x14ac:dyDescent="0.25">
      <c r="A531">
        <v>160</v>
      </c>
      <c r="B531" t="s">
        <v>117</v>
      </c>
      <c r="C531">
        <v>165</v>
      </c>
      <c r="D531">
        <v>67</v>
      </c>
      <c r="E531">
        <v>98</v>
      </c>
      <c r="F531" s="18" t="s">
        <v>467</v>
      </c>
      <c r="H531" t="str">
        <f>IF(B531=$H$1,COUNT($H$2:H532)+1," ")</f>
        <v xml:space="preserve"> </v>
      </c>
      <c r="L531">
        <v>530</v>
      </c>
      <c r="M531">
        <v>54</v>
      </c>
      <c r="N531">
        <v>77</v>
      </c>
      <c r="O531" s="18"/>
      <c r="P531">
        <f t="shared" si="24"/>
        <v>131</v>
      </c>
      <c r="Q531" t="str">
        <f>INDEX(Elemek!$B$2:$B$113,MATCH(M531,Elemek!$C$2:$C$113,0))</f>
        <v>Xe</v>
      </c>
      <c r="R531" t="e">
        <f t="shared" si="25"/>
        <v>#DIV/0!</v>
      </c>
      <c r="S531" t="e">
        <f t="shared" si="26"/>
        <v>#DIV/0!</v>
      </c>
    </row>
    <row r="532" spans="1:19" x14ac:dyDescent="0.25">
      <c r="A532">
        <v>161</v>
      </c>
      <c r="B532" t="s">
        <v>77</v>
      </c>
      <c r="C532">
        <v>166</v>
      </c>
      <c r="D532">
        <v>68</v>
      </c>
      <c r="E532">
        <v>98</v>
      </c>
      <c r="F532" s="18" t="s">
        <v>468</v>
      </c>
      <c r="H532" t="str">
        <f>IF(B532=$H$1,COUNT($H$2:H533)+1," ")</f>
        <v xml:space="preserve"> </v>
      </c>
      <c r="L532">
        <v>531</v>
      </c>
      <c r="M532">
        <v>77</v>
      </c>
      <c r="N532">
        <v>113</v>
      </c>
      <c r="O532" s="18" t="s">
        <v>822</v>
      </c>
      <c r="P532">
        <f t="shared" si="24"/>
        <v>190</v>
      </c>
      <c r="Q532" t="str">
        <f>INDEX(Elemek!$B$2:$B$113,MATCH(M532,Elemek!$C$2:$C$113,0))</f>
        <v>Ir</v>
      </c>
      <c r="R532" t="str">
        <f t="shared" si="25"/>
        <v>8.264755</v>
      </c>
      <c r="S532" t="str">
        <f t="shared" si="26"/>
        <v>8.264755</v>
      </c>
    </row>
    <row r="533" spans="1:19" x14ac:dyDescent="0.25">
      <c r="A533">
        <v>750</v>
      </c>
      <c r="B533" t="s">
        <v>77</v>
      </c>
      <c r="C533">
        <v>165</v>
      </c>
      <c r="D533">
        <v>68</v>
      </c>
      <c r="E533">
        <v>97</v>
      </c>
      <c r="F533" s="18" t="s">
        <v>1008</v>
      </c>
      <c r="H533" t="str">
        <f>IF(B533=$H$1,COUNT($H$2:H534)+1," ")</f>
        <v xml:space="preserve"> </v>
      </c>
      <c r="L533">
        <v>532</v>
      </c>
      <c r="M533">
        <v>56</v>
      </c>
      <c r="N533">
        <v>75</v>
      </c>
      <c r="O533" s="18" t="s">
        <v>823</v>
      </c>
      <c r="P533">
        <f t="shared" si="24"/>
        <v>131</v>
      </c>
      <c r="Q533" t="str">
        <f>INDEX(Elemek!$B$2:$B$113,MATCH(M533,Elemek!$C$2:$C$113,0))</f>
        <v>Ba</v>
      </c>
      <c r="R533" t="str">
        <f t="shared" si="25"/>
        <v>8.733037</v>
      </c>
      <c r="S533" t="str">
        <f t="shared" si="26"/>
        <v>8.733037</v>
      </c>
    </row>
    <row r="534" spans="1:19" x14ac:dyDescent="0.25">
      <c r="A534">
        <v>895</v>
      </c>
      <c r="B534" t="s">
        <v>69</v>
      </c>
      <c r="C534">
        <v>165</v>
      </c>
      <c r="D534">
        <v>66</v>
      </c>
      <c r="E534">
        <v>99</v>
      </c>
      <c r="F534" s="18" t="s">
        <v>1124</v>
      </c>
      <c r="H534" t="str">
        <f>IF(B534=$H$1,COUNT($H$2:H535)+1," ")</f>
        <v xml:space="preserve"> </v>
      </c>
      <c r="L534">
        <v>533</v>
      </c>
      <c r="M534">
        <v>88</v>
      </c>
      <c r="N534">
        <v>135</v>
      </c>
      <c r="O534" s="18" t="s">
        <v>824</v>
      </c>
      <c r="P534">
        <f t="shared" si="24"/>
        <v>223</v>
      </c>
      <c r="Q534" t="str">
        <f>INDEX(Elemek!$B$2:$B$113,MATCH(M534,Elemek!$C$2:$C$113,0))</f>
        <v>Ra</v>
      </c>
      <c r="R534" t="str">
        <f t="shared" si="25"/>
        <v>7.994042</v>
      </c>
      <c r="S534" t="str">
        <f t="shared" si="26"/>
        <v>7.994042</v>
      </c>
    </row>
    <row r="535" spans="1:19" x14ac:dyDescent="0.25">
      <c r="A535">
        <v>920</v>
      </c>
      <c r="B535" t="s">
        <v>289</v>
      </c>
      <c r="C535">
        <v>163</v>
      </c>
      <c r="D535">
        <v>69</v>
      </c>
      <c r="E535">
        <v>94</v>
      </c>
      <c r="F535" s="18" t="s">
        <v>1143</v>
      </c>
      <c r="H535" t="str">
        <f>IF(B535=$H$1,COUNT($H$2:H536)+1," ")</f>
        <v xml:space="preserve"> </v>
      </c>
      <c r="L535">
        <v>534</v>
      </c>
      <c r="M535">
        <v>32</v>
      </c>
      <c r="N535">
        <v>39</v>
      </c>
      <c r="O535" s="18" t="s">
        <v>825</v>
      </c>
      <c r="P535">
        <f t="shared" si="24"/>
        <v>71</v>
      </c>
      <c r="Q535" t="str">
        <f>INDEX(Elemek!$B$2:$B$113,MATCH(M535,Elemek!$C$2:$C$113,0))</f>
        <v>Ge</v>
      </c>
      <c r="R535" t="str">
        <f t="shared" si="25"/>
        <v>9.055943</v>
      </c>
      <c r="S535" t="str">
        <f t="shared" si="26"/>
        <v>9.055943</v>
      </c>
    </row>
    <row r="536" spans="1:19" x14ac:dyDescent="0.25">
      <c r="A536">
        <v>661</v>
      </c>
      <c r="B536" t="s">
        <v>289</v>
      </c>
      <c r="C536">
        <v>165</v>
      </c>
      <c r="D536">
        <v>69</v>
      </c>
      <c r="E536">
        <v>96</v>
      </c>
      <c r="F536" s="18" t="s">
        <v>936</v>
      </c>
      <c r="H536" t="str">
        <f>IF(B536=$H$1,COUNT($H$2:H537)+1," ")</f>
        <v xml:space="preserve"> </v>
      </c>
      <c r="L536">
        <v>535</v>
      </c>
      <c r="M536">
        <v>60</v>
      </c>
      <c r="N536">
        <v>87</v>
      </c>
      <c r="O536" s="18" t="s">
        <v>826</v>
      </c>
      <c r="P536">
        <f t="shared" si="24"/>
        <v>147</v>
      </c>
      <c r="Q536" t="str">
        <f>INDEX(Elemek!$B$2:$B$113,MATCH(M536,Elemek!$C$2:$C$113,0))</f>
        <v>Nd</v>
      </c>
      <c r="R536" t="str">
        <f t="shared" si="25"/>
        <v>8.602973</v>
      </c>
      <c r="S536" t="str">
        <f t="shared" si="26"/>
        <v>8.602973</v>
      </c>
    </row>
    <row r="537" spans="1:19" x14ac:dyDescent="0.25">
      <c r="A537">
        <v>339</v>
      </c>
      <c r="B537" t="s">
        <v>117</v>
      </c>
      <c r="C537">
        <v>166</v>
      </c>
      <c r="D537">
        <v>67</v>
      </c>
      <c r="E537">
        <v>99</v>
      </c>
      <c r="F537" s="18" t="s">
        <v>646</v>
      </c>
      <c r="H537" t="str">
        <f>IF(B537=$H$1,COUNT($H$2:H538)+1," ")</f>
        <v xml:space="preserve"> </v>
      </c>
      <c r="L537">
        <v>536</v>
      </c>
      <c r="M537">
        <v>94</v>
      </c>
      <c r="N537">
        <v>152</v>
      </c>
      <c r="O537" s="18" t="s">
        <v>827</v>
      </c>
      <c r="P537">
        <f t="shared" si="24"/>
        <v>246</v>
      </c>
      <c r="Q537" t="str">
        <f>INDEX(Elemek!$B$2:$B$113,MATCH(M537,Elemek!$C$2:$C$113,0))</f>
        <v>Pu</v>
      </c>
      <c r="R537" t="str">
        <f t="shared" si="25"/>
        <v>7.805494</v>
      </c>
      <c r="S537" t="str">
        <f t="shared" si="26"/>
        <v>7.805494</v>
      </c>
    </row>
    <row r="538" spans="1:19" x14ac:dyDescent="0.25">
      <c r="A538">
        <v>162</v>
      </c>
      <c r="B538" t="s">
        <v>77</v>
      </c>
      <c r="C538">
        <v>167</v>
      </c>
      <c r="D538">
        <v>68</v>
      </c>
      <c r="E538">
        <v>99</v>
      </c>
      <c r="F538" s="18" t="s">
        <v>469</v>
      </c>
      <c r="H538" t="str">
        <f>IF(B538=$H$1,COUNT($H$2:H539)+1," ")</f>
        <v xml:space="preserve"> </v>
      </c>
      <c r="L538">
        <v>537</v>
      </c>
      <c r="M538">
        <v>77</v>
      </c>
      <c r="N538">
        <v>116</v>
      </c>
      <c r="O538" s="18"/>
      <c r="P538">
        <f t="shared" si="24"/>
        <v>193</v>
      </c>
      <c r="Q538" t="str">
        <f>INDEX(Elemek!$B$2:$B$113,MATCH(M538,Elemek!$C$2:$C$113,0))</f>
        <v>Ir</v>
      </c>
      <c r="R538" t="e">
        <f t="shared" si="25"/>
        <v>#DIV/0!</v>
      </c>
      <c r="S538" t="e">
        <f t="shared" si="26"/>
        <v>#DIV/0!</v>
      </c>
    </row>
    <row r="539" spans="1:19" x14ac:dyDescent="0.25">
      <c r="A539">
        <v>590</v>
      </c>
      <c r="B539" t="s">
        <v>69</v>
      </c>
      <c r="C539">
        <v>166</v>
      </c>
      <c r="D539">
        <v>66</v>
      </c>
      <c r="E539">
        <v>100</v>
      </c>
      <c r="F539" s="18" t="s">
        <v>870</v>
      </c>
      <c r="H539" t="str">
        <f>IF(B539=$H$1,COUNT($H$2:H540)+1," ")</f>
        <v xml:space="preserve"> </v>
      </c>
      <c r="L539">
        <v>538</v>
      </c>
      <c r="M539">
        <v>78</v>
      </c>
      <c r="N539">
        <v>110</v>
      </c>
      <c r="O539" s="18" t="s">
        <v>828</v>
      </c>
      <c r="P539">
        <f t="shared" si="24"/>
        <v>188</v>
      </c>
      <c r="Q539" t="str">
        <f>INDEX(Elemek!$B$2:$B$113,MATCH(M539,Elemek!$C$2:$C$113,0))</f>
        <v>Pt</v>
      </c>
      <c r="R539" t="str">
        <f t="shared" si="25"/>
        <v>8.272514</v>
      </c>
      <c r="S539" t="str">
        <f t="shared" si="26"/>
        <v>8.272514</v>
      </c>
    </row>
    <row r="540" spans="1:19" x14ac:dyDescent="0.25">
      <c r="A540">
        <v>163</v>
      </c>
      <c r="B540" t="s">
        <v>77</v>
      </c>
      <c r="C540">
        <v>168</v>
      </c>
      <c r="D540">
        <v>68</v>
      </c>
      <c r="E540">
        <v>100</v>
      </c>
      <c r="F540" s="18" t="s">
        <v>470</v>
      </c>
      <c r="H540" t="str">
        <f>IF(B540=$H$1,COUNT($H$2:H541)+1," ")</f>
        <v xml:space="preserve"> </v>
      </c>
      <c r="L540">
        <v>539</v>
      </c>
      <c r="M540">
        <v>41</v>
      </c>
      <c r="N540">
        <v>51</v>
      </c>
      <c r="O540" s="18"/>
      <c r="P540">
        <f t="shared" si="24"/>
        <v>92</v>
      </c>
      <c r="Q540" t="str">
        <f>INDEX(Elemek!$B$2:$B$113,MATCH(M540,Elemek!$C$2:$C$113,0))</f>
        <v>Nb</v>
      </c>
      <c r="R540" t="e">
        <f t="shared" si="25"/>
        <v>#DIV/0!</v>
      </c>
      <c r="S540" t="e">
        <f t="shared" si="26"/>
        <v>#DIV/0!</v>
      </c>
    </row>
    <row r="541" spans="1:19" x14ac:dyDescent="0.25">
      <c r="A541">
        <v>545</v>
      </c>
      <c r="B541" t="s">
        <v>289</v>
      </c>
      <c r="C541">
        <v>167</v>
      </c>
      <c r="D541">
        <v>69</v>
      </c>
      <c r="E541">
        <v>98</v>
      </c>
      <c r="F541" s="18" t="s">
        <v>834</v>
      </c>
      <c r="H541" t="str">
        <f>IF(B541=$H$1,COUNT($H$2:H542)+1," ")</f>
        <v xml:space="preserve"> </v>
      </c>
      <c r="L541">
        <v>540</v>
      </c>
      <c r="M541">
        <v>89</v>
      </c>
      <c r="N541">
        <v>136</v>
      </c>
      <c r="O541" s="18" t="s">
        <v>829</v>
      </c>
      <c r="P541">
        <f t="shared" si="24"/>
        <v>225</v>
      </c>
      <c r="Q541" t="str">
        <f>INDEX(Elemek!$B$2:$B$113,MATCH(M541,Elemek!$C$2:$C$113,0))</f>
        <v>Ac</v>
      </c>
      <c r="R541" t="str">
        <f t="shared" si="25"/>
        <v>7.975159</v>
      </c>
      <c r="S541" t="str">
        <f t="shared" si="26"/>
        <v>7.975159</v>
      </c>
    </row>
    <row r="542" spans="1:19" x14ac:dyDescent="0.25">
      <c r="A542">
        <v>864</v>
      </c>
      <c r="B542" t="s">
        <v>117</v>
      </c>
      <c r="C542">
        <v>167</v>
      </c>
      <c r="D542">
        <v>67</v>
      </c>
      <c r="E542">
        <v>100</v>
      </c>
      <c r="F542" s="18" t="s">
        <v>1099</v>
      </c>
      <c r="H542" t="str">
        <f>IF(B542=$H$1,COUNT($H$2:H543)+1," ")</f>
        <v xml:space="preserve"> </v>
      </c>
      <c r="L542">
        <v>541</v>
      </c>
      <c r="M542">
        <v>55</v>
      </c>
      <c r="N542">
        <v>76</v>
      </c>
      <c r="O542" s="18" t="s">
        <v>830</v>
      </c>
      <c r="P542">
        <f t="shared" si="24"/>
        <v>131</v>
      </c>
      <c r="Q542" t="str">
        <f>INDEX(Elemek!$B$2:$B$113,MATCH(M542,Elemek!$C$2:$C$113,0))</f>
        <v>Cs</v>
      </c>
      <c r="R542" t="str">
        <f t="shared" si="25"/>
        <v>8.743541</v>
      </c>
      <c r="S542" t="str">
        <f t="shared" si="26"/>
        <v>8.743541</v>
      </c>
    </row>
    <row r="543" spans="1:19" x14ac:dyDescent="0.25">
      <c r="A543">
        <v>779</v>
      </c>
      <c r="B543" t="s">
        <v>289</v>
      </c>
      <c r="C543">
        <v>166</v>
      </c>
      <c r="D543">
        <v>69</v>
      </c>
      <c r="E543">
        <v>97</v>
      </c>
      <c r="F543" s="18" t="s">
        <v>1028</v>
      </c>
      <c r="H543" t="str">
        <f>IF(B543=$H$1,COUNT($H$2:H544)+1," ")</f>
        <v xml:space="preserve"> </v>
      </c>
      <c r="L543">
        <v>542</v>
      </c>
      <c r="M543">
        <v>50</v>
      </c>
      <c r="N543">
        <v>75</v>
      </c>
      <c r="O543" s="18" t="s">
        <v>831</v>
      </c>
      <c r="P543">
        <f t="shared" si="24"/>
        <v>125</v>
      </c>
      <c r="Q543" t="str">
        <f>INDEX(Elemek!$B$2:$B$113,MATCH(M543,Elemek!$C$2:$C$113,0))</f>
        <v>Sn</v>
      </c>
      <c r="R543" t="str">
        <f t="shared" si="25"/>
        <v>8.758515</v>
      </c>
      <c r="S543" t="str">
        <f t="shared" si="26"/>
        <v>8.758515</v>
      </c>
    </row>
    <row r="544" spans="1:19" x14ac:dyDescent="0.25">
      <c r="A544">
        <v>960</v>
      </c>
      <c r="B544" t="s">
        <v>126</v>
      </c>
      <c r="C544">
        <v>164</v>
      </c>
      <c r="D544">
        <v>70</v>
      </c>
      <c r="E544">
        <v>94</v>
      </c>
      <c r="F544" s="18" t="s">
        <v>1176</v>
      </c>
      <c r="H544" t="str">
        <f>IF(B544=$H$1,COUNT($H$2:H545)+1," ")</f>
        <v xml:space="preserve"> </v>
      </c>
      <c r="L544">
        <v>543</v>
      </c>
      <c r="M544">
        <v>68</v>
      </c>
      <c r="N544">
        <v>101</v>
      </c>
      <c r="O544" s="18" t="s">
        <v>832</v>
      </c>
      <c r="P544">
        <f t="shared" si="24"/>
        <v>169</v>
      </c>
      <c r="Q544" t="str">
        <f>INDEX(Elemek!$B$2:$B$113,MATCH(M544,Elemek!$C$2:$C$113,0))</f>
        <v>Er</v>
      </c>
      <c r="R544" t="str">
        <f t="shared" si="25"/>
        <v>8.431852</v>
      </c>
      <c r="S544" t="str">
        <f t="shared" si="26"/>
        <v>8.431852</v>
      </c>
    </row>
    <row r="545" spans="1:19" x14ac:dyDescent="0.25">
      <c r="A545">
        <v>616</v>
      </c>
      <c r="B545" t="s">
        <v>126</v>
      </c>
      <c r="C545">
        <v>166</v>
      </c>
      <c r="D545">
        <v>70</v>
      </c>
      <c r="E545">
        <v>96</v>
      </c>
      <c r="F545" s="18" t="s">
        <v>896</v>
      </c>
      <c r="H545" t="str">
        <f>IF(B545=$H$1,COUNT($H$2:H546)+1," ")</f>
        <v xml:space="preserve"> </v>
      </c>
      <c r="L545">
        <v>544</v>
      </c>
      <c r="M545">
        <v>64</v>
      </c>
      <c r="N545">
        <v>85</v>
      </c>
      <c r="O545" s="18" t="s">
        <v>833</v>
      </c>
      <c r="P545">
        <f t="shared" si="24"/>
        <v>149</v>
      </c>
      <c r="Q545" t="str">
        <f>INDEX(Elemek!$B$2:$B$113,MATCH(M545,Elemek!$C$2:$C$113,0))</f>
        <v>Gd</v>
      </c>
      <c r="R545" t="str">
        <f t="shared" si="25"/>
        <v>8.575576</v>
      </c>
      <c r="S545" t="str">
        <f t="shared" si="26"/>
        <v>8.575576</v>
      </c>
    </row>
    <row r="546" spans="1:19" x14ac:dyDescent="0.25">
      <c r="A546">
        <v>250</v>
      </c>
      <c r="B546" t="s">
        <v>126</v>
      </c>
      <c r="C546">
        <v>168</v>
      </c>
      <c r="D546">
        <v>70</v>
      </c>
      <c r="E546">
        <v>98</v>
      </c>
      <c r="F546" s="18" t="s">
        <v>557</v>
      </c>
      <c r="H546" t="str">
        <f>IF(B546=$H$1,COUNT($H$2:H547)+1," ")</f>
        <v xml:space="preserve"> </v>
      </c>
      <c r="L546">
        <v>545</v>
      </c>
      <c r="M546">
        <v>69</v>
      </c>
      <c r="N546">
        <v>98</v>
      </c>
      <c r="O546" s="18" t="s">
        <v>834</v>
      </c>
      <c r="P546">
        <f t="shared" si="24"/>
        <v>167</v>
      </c>
      <c r="Q546" t="str">
        <f>INDEX(Elemek!$B$2:$B$113,MATCH(M546,Elemek!$C$2:$C$113,0))</f>
        <v>Tm</v>
      </c>
      <c r="R546" t="str">
        <f t="shared" si="25"/>
        <v>8.445866</v>
      </c>
      <c r="S546" t="str">
        <f t="shared" si="26"/>
        <v>8.445866</v>
      </c>
    </row>
    <row r="547" spans="1:19" x14ac:dyDescent="0.25">
      <c r="A547">
        <v>447</v>
      </c>
      <c r="B547" t="s">
        <v>289</v>
      </c>
      <c r="C547">
        <v>168</v>
      </c>
      <c r="D547">
        <v>69</v>
      </c>
      <c r="E547">
        <v>99</v>
      </c>
      <c r="F547" s="18" t="s">
        <v>747</v>
      </c>
      <c r="H547" t="str">
        <f>IF(B547=$H$1,COUNT($H$2:H548)+1," ")</f>
        <v xml:space="preserve"> </v>
      </c>
      <c r="L547">
        <v>546</v>
      </c>
      <c r="M547">
        <v>54</v>
      </c>
      <c r="N547">
        <v>75</v>
      </c>
      <c r="O547" s="18"/>
      <c r="P547">
        <f t="shared" si="24"/>
        <v>129</v>
      </c>
      <c r="Q547" t="str">
        <f>INDEX(Elemek!$B$2:$B$113,MATCH(M547,Elemek!$C$2:$C$113,0))</f>
        <v>Xe</v>
      </c>
      <c r="R547" t="e">
        <f t="shared" si="25"/>
        <v>#DIV/0!</v>
      </c>
      <c r="S547" t="e">
        <f t="shared" si="26"/>
        <v>#DIV/0!</v>
      </c>
    </row>
    <row r="548" spans="1:19" x14ac:dyDescent="0.25">
      <c r="A548">
        <v>127</v>
      </c>
      <c r="B548" t="s">
        <v>189</v>
      </c>
      <c r="C548">
        <v>22</v>
      </c>
      <c r="D548">
        <v>10</v>
      </c>
      <c r="E548">
        <v>12</v>
      </c>
      <c r="F548" s="18" t="s">
        <v>434</v>
      </c>
      <c r="H548" t="str">
        <f>IF(B548=$H$1,COUNT($H$2:H549)+1," ")</f>
        <v xml:space="preserve"> </v>
      </c>
      <c r="L548">
        <v>547</v>
      </c>
      <c r="M548">
        <v>84</v>
      </c>
      <c r="N548">
        <v>122</v>
      </c>
      <c r="O548" s="18" t="s">
        <v>835</v>
      </c>
      <c r="P548">
        <f t="shared" si="24"/>
        <v>206</v>
      </c>
      <c r="Q548" t="str">
        <f>INDEX(Elemek!$B$2:$B$113,MATCH(M548,Elemek!$C$2:$C$113,0))</f>
        <v>Po</v>
      </c>
      <c r="R548" t="str">
        <f t="shared" si="25"/>
        <v>8.15959</v>
      </c>
      <c r="S548" t="str">
        <f t="shared" si="26"/>
        <v>8.15959</v>
      </c>
    </row>
    <row r="549" spans="1:19" x14ac:dyDescent="0.25">
      <c r="A549">
        <v>164</v>
      </c>
      <c r="B549" t="s">
        <v>289</v>
      </c>
      <c r="C549">
        <v>169</v>
      </c>
      <c r="D549">
        <v>69</v>
      </c>
      <c r="E549">
        <v>100</v>
      </c>
      <c r="F549" s="18" t="s">
        <v>471</v>
      </c>
      <c r="H549" t="str">
        <f>IF(B549=$H$1,COUNT($H$2:H550)+1," ")</f>
        <v xml:space="preserve"> </v>
      </c>
      <c r="L549">
        <v>548</v>
      </c>
      <c r="M549">
        <v>34</v>
      </c>
      <c r="N549">
        <v>38</v>
      </c>
      <c r="O549" s="18" t="s">
        <v>836</v>
      </c>
      <c r="P549">
        <f t="shared" si="24"/>
        <v>72</v>
      </c>
      <c r="Q549" t="str">
        <f>INDEX(Elemek!$B$2:$B$113,MATCH(M549,Elemek!$C$2:$C$113,0))</f>
        <v>Se</v>
      </c>
      <c r="R549" t="str">
        <f t="shared" si="25"/>
        <v>9.0143</v>
      </c>
      <c r="S549" t="str">
        <f t="shared" si="26"/>
        <v>9.0143</v>
      </c>
    </row>
    <row r="550" spans="1:19" x14ac:dyDescent="0.25">
      <c r="A550">
        <v>543</v>
      </c>
      <c r="B550" t="s">
        <v>77</v>
      </c>
      <c r="C550">
        <v>169</v>
      </c>
      <c r="D550">
        <v>68</v>
      </c>
      <c r="E550">
        <v>101</v>
      </c>
      <c r="F550" s="18" t="s">
        <v>832</v>
      </c>
      <c r="H550" t="str">
        <f>IF(B550=$H$1,COUNT($H$2:H551)+1," ")</f>
        <v xml:space="preserve"> </v>
      </c>
      <c r="L550">
        <v>549</v>
      </c>
      <c r="M550">
        <v>47</v>
      </c>
      <c r="N550">
        <v>59</v>
      </c>
      <c r="O550" s="18" t="s">
        <v>837</v>
      </c>
      <c r="P550">
        <f t="shared" si="24"/>
        <v>106</v>
      </c>
      <c r="Q550" t="str">
        <f>INDEX(Elemek!$B$2:$B$113,MATCH(M550,Elemek!$C$2:$C$113,0))</f>
        <v>Ag</v>
      </c>
      <c r="R550" t="str">
        <f t="shared" si="25"/>
        <v>8.890639</v>
      </c>
      <c r="S550" t="str">
        <f t="shared" si="26"/>
        <v>8.890639</v>
      </c>
    </row>
    <row r="551" spans="1:19" x14ac:dyDescent="0.25">
      <c r="A551">
        <v>165</v>
      </c>
      <c r="B551" t="s">
        <v>126</v>
      </c>
      <c r="C551">
        <v>170</v>
      </c>
      <c r="D551">
        <v>70</v>
      </c>
      <c r="E551">
        <v>100</v>
      </c>
      <c r="F551" s="18" t="s">
        <v>472</v>
      </c>
      <c r="H551" t="str">
        <f>IF(B551=$H$1,COUNT($H$2:H552)+1," ")</f>
        <v xml:space="preserve"> </v>
      </c>
      <c r="L551">
        <v>550</v>
      </c>
      <c r="M551">
        <v>71</v>
      </c>
      <c r="N551">
        <v>100</v>
      </c>
      <c r="O551" s="18" t="s">
        <v>838</v>
      </c>
      <c r="P551">
        <f t="shared" si="24"/>
        <v>171</v>
      </c>
      <c r="Q551" t="str">
        <f>INDEX(Elemek!$B$2:$B$113,MATCH(M551,Elemek!$C$2:$C$113,0))</f>
        <v>Lu</v>
      </c>
      <c r="R551" t="str">
        <f t="shared" si="25"/>
        <v>8.409532</v>
      </c>
      <c r="S551" t="str">
        <f t="shared" si="26"/>
        <v>8.409532</v>
      </c>
    </row>
    <row r="552" spans="1:19" x14ac:dyDescent="0.25">
      <c r="A552">
        <v>495</v>
      </c>
      <c r="B552" t="s">
        <v>126</v>
      </c>
      <c r="C552">
        <v>169</v>
      </c>
      <c r="D552">
        <v>70</v>
      </c>
      <c r="E552">
        <v>99</v>
      </c>
      <c r="F552" s="18" t="s">
        <v>790</v>
      </c>
      <c r="H552" t="str">
        <f>IF(B552=$H$1,COUNT($H$2:H553)+1," ")</f>
        <v xml:space="preserve"> </v>
      </c>
      <c r="L552">
        <v>551</v>
      </c>
      <c r="M552">
        <v>53</v>
      </c>
      <c r="N552">
        <v>78</v>
      </c>
      <c r="O552" s="18" t="s">
        <v>839</v>
      </c>
      <c r="P552">
        <f t="shared" si="24"/>
        <v>131</v>
      </c>
      <c r="Q552" t="str">
        <f>INDEX(Elemek!$B$2:$B$113,MATCH(M552,Elemek!$C$2:$C$113,0))</f>
        <v>I</v>
      </c>
      <c r="R552" t="str">
        <f t="shared" si="25"/>
        <v>8.738842</v>
      </c>
      <c r="S552" t="str">
        <f t="shared" si="26"/>
        <v>8.738842</v>
      </c>
    </row>
    <row r="553" spans="1:19" x14ac:dyDescent="0.25">
      <c r="A553">
        <v>229</v>
      </c>
      <c r="B553" t="s">
        <v>77</v>
      </c>
      <c r="C553">
        <v>170</v>
      </c>
      <c r="D553">
        <v>68</v>
      </c>
      <c r="E553">
        <v>102</v>
      </c>
      <c r="F553" s="18" t="s">
        <v>536</v>
      </c>
      <c r="H553" t="str">
        <f>IF(B553=$H$1,COUNT($H$2:H554)+1," ")</f>
        <v xml:space="preserve"> </v>
      </c>
      <c r="L553">
        <v>552</v>
      </c>
      <c r="M553">
        <v>99</v>
      </c>
      <c r="N553">
        <v>158</v>
      </c>
      <c r="O553" s="18" t="s">
        <v>840</v>
      </c>
      <c r="P553">
        <f t="shared" si="24"/>
        <v>257</v>
      </c>
      <c r="Q553" t="str">
        <f>INDEX(Elemek!$B$2:$B$113,MATCH(M553,Elemek!$C$2:$C$113,0))</f>
        <v>Es</v>
      </c>
      <c r="R553" t="str">
        <f t="shared" si="25"/>
        <v>7.723468</v>
      </c>
      <c r="S553" t="str">
        <f t="shared" si="26"/>
        <v>7.723468</v>
      </c>
    </row>
    <row r="554" spans="1:19" x14ac:dyDescent="0.25">
      <c r="A554">
        <v>128</v>
      </c>
      <c r="B554" t="s">
        <v>189</v>
      </c>
      <c r="C554">
        <v>20</v>
      </c>
      <c r="D554">
        <v>10</v>
      </c>
      <c r="E554">
        <v>10</v>
      </c>
      <c r="F554" s="18" t="s">
        <v>435</v>
      </c>
      <c r="H554" t="str">
        <f>IF(B554=$H$1,COUNT($H$2:H555)+1," ")</f>
        <v xml:space="preserve"> </v>
      </c>
      <c r="L554">
        <v>553</v>
      </c>
      <c r="M554">
        <v>47</v>
      </c>
      <c r="N554">
        <v>64</v>
      </c>
      <c r="O554" s="18" t="s">
        <v>841</v>
      </c>
      <c r="P554">
        <f t="shared" si="24"/>
        <v>111</v>
      </c>
      <c r="Q554" t="str">
        <f>INDEX(Elemek!$B$2:$B$113,MATCH(M554,Elemek!$C$2:$C$113,0))</f>
        <v>Ag</v>
      </c>
      <c r="R554" t="str">
        <f t="shared" si="25"/>
        <v>8.866111</v>
      </c>
      <c r="S554" t="str">
        <f t="shared" si="26"/>
        <v>8.866111</v>
      </c>
    </row>
    <row r="555" spans="1:19" x14ac:dyDescent="0.25">
      <c r="A555">
        <v>436</v>
      </c>
      <c r="B555" t="s">
        <v>289</v>
      </c>
      <c r="C555">
        <v>170</v>
      </c>
      <c r="D555">
        <v>69</v>
      </c>
      <c r="E555">
        <v>101</v>
      </c>
      <c r="F555" s="18" t="s">
        <v>737</v>
      </c>
      <c r="H555" t="str">
        <f>IF(B555=$H$1,COUNT($H$2:H556)+1," ")</f>
        <v xml:space="preserve"> </v>
      </c>
      <c r="L555">
        <v>554</v>
      </c>
      <c r="M555">
        <v>65</v>
      </c>
      <c r="N555">
        <v>96</v>
      </c>
      <c r="O555" s="18" t="s">
        <v>842</v>
      </c>
      <c r="P555">
        <f t="shared" si="24"/>
        <v>161</v>
      </c>
      <c r="Q555" t="str">
        <f>INDEX(Elemek!$B$2:$B$113,MATCH(M555,Elemek!$C$2:$C$113,0))</f>
        <v>Tb</v>
      </c>
      <c r="R555" t="str">
        <f t="shared" si="25"/>
        <v>8.490383</v>
      </c>
      <c r="S555" t="str">
        <f t="shared" si="26"/>
        <v>8.490383</v>
      </c>
    </row>
    <row r="556" spans="1:19" x14ac:dyDescent="0.25">
      <c r="A556">
        <v>718</v>
      </c>
      <c r="B556" t="s">
        <v>184</v>
      </c>
      <c r="C556">
        <v>24</v>
      </c>
      <c r="D556">
        <v>11</v>
      </c>
      <c r="E556">
        <v>13</v>
      </c>
      <c r="F556" s="18" t="s">
        <v>981</v>
      </c>
      <c r="H556" t="str">
        <f>IF(B556=$H$1,COUNT($H$2:H557)+1," ")</f>
        <v xml:space="preserve"> </v>
      </c>
      <c r="L556">
        <v>555</v>
      </c>
      <c r="M556">
        <v>92</v>
      </c>
      <c r="N556">
        <v>145</v>
      </c>
      <c r="O556" s="18" t="s">
        <v>843</v>
      </c>
      <c r="P556">
        <f t="shared" si="24"/>
        <v>237</v>
      </c>
      <c r="Q556" t="str">
        <f>INDEX(Elemek!$B$2:$B$113,MATCH(M556,Elemek!$C$2:$C$113,0))</f>
        <v>U</v>
      </c>
      <c r="R556" t="str">
        <f t="shared" si="25"/>
        <v>7.8798</v>
      </c>
      <c r="S556" t="str">
        <f t="shared" si="26"/>
        <v>7.8798</v>
      </c>
    </row>
    <row r="557" spans="1:19" x14ac:dyDescent="0.25">
      <c r="A557">
        <v>166</v>
      </c>
      <c r="B557" t="s">
        <v>126</v>
      </c>
      <c r="C557">
        <v>171</v>
      </c>
      <c r="D557">
        <v>70</v>
      </c>
      <c r="E557">
        <v>101</v>
      </c>
      <c r="F557" s="18" t="s">
        <v>473</v>
      </c>
      <c r="H557" t="str">
        <f>IF(B557=$H$1,COUNT($H$2:H558)+1," ")</f>
        <v xml:space="preserve"> </v>
      </c>
      <c r="L557">
        <v>556</v>
      </c>
      <c r="M557">
        <v>71</v>
      </c>
      <c r="N557">
        <v>101</v>
      </c>
      <c r="O557" s="18" t="s">
        <v>844</v>
      </c>
      <c r="P557">
        <f t="shared" si="24"/>
        <v>172</v>
      </c>
      <c r="Q557" t="str">
        <f>INDEX(Elemek!$B$2:$B$113,MATCH(M557,Elemek!$C$2:$C$113,0))</f>
        <v>Lu</v>
      </c>
      <c r="R557" t="str">
        <f t="shared" si="25"/>
        <v>8.401217</v>
      </c>
      <c r="S557" t="str">
        <f t="shared" si="26"/>
        <v>8.401217</v>
      </c>
    </row>
    <row r="558" spans="1:19" x14ac:dyDescent="0.25">
      <c r="A558">
        <v>399</v>
      </c>
      <c r="B558" t="s">
        <v>289</v>
      </c>
      <c r="C558">
        <v>171</v>
      </c>
      <c r="D558">
        <v>69</v>
      </c>
      <c r="E558">
        <v>102</v>
      </c>
      <c r="F558" s="18" t="s">
        <v>703</v>
      </c>
      <c r="H558" t="str">
        <f>IF(B558=$H$1,COUNT($H$2:H559)+1," ")</f>
        <v xml:space="preserve"> </v>
      </c>
      <c r="L558">
        <v>557</v>
      </c>
      <c r="M558">
        <v>71</v>
      </c>
      <c r="N558">
        <v>106</v>
      </c>
      <c r="O558" s="18"/>
      <c r="P558">
        <f t="shared" si="24"/>
        <v>177</v>
      </c>
      <c r="Q558" t="str">
        <f>INDEX(Elemek!$B$2:$B$113,MATCH(M558,Elemek!$C$2:$C$113,0))</f>
        <v>Lu</v>
      </c>
      <c r="R558" t="e">
        <f t="shared" si="25"/>
        <v>#DIV/0!</v>
      </c>
      <c r="S558" t="e">
        <f t="shared" si="26"/>
        <v>#DIV/0!</v>
      </c>
    </row>
    <row r="559" spans="1:19" x14ac:dyDescent="0.25">
      <c r="A559">
        <v>167</v>
      </c>
      <c r="B559" t="s">
        <v>126</v>
      </c>
      <c r="C559">
        <v>172</v>
      </c>
      <c r="D559">
        <v>70</v>
      </c>
      <c r="E559">
        <v>102</v>
      </c>
      <c r="F559" s="18" t="s">
        <v>474</v>
      </c>
      <c r="H559" t="str">
        <f>IF(B559=$H$1,COUNT($H$2:H560)+1," ")</f>
        <v xml:space="preserve"> </v>
      </c>
      <c r="L559">
        <v>558</v>
      </c>
      <c r="M559">
        <v>55</v>
      </c>
      <c r="N559">
        <v>77</v>
      </c>
      <c r="O559" s="18" t="s">
        <v>845</v>
      </c>
      <c r="P559">
        <f t="shared" si="24"/>
        <v>132</v>
      </c>
      <c r="Q559" t="str">
        <f>INDEX(Elemek!$B$2:$B$113,MATCH(M559,Elemek!$C$2:$C$113,0))</f>
        <v>Cs</v>
      </c>
      <c r="R559" t="str">
        <f t="shared" si="25"/>
        <v>8.731599</v>
      </c>
      <c r="S559" t="str">
        <f t="shared" si="26"/>
        <v>8.731599</v>
      </c>
    </row>
    <row r="560" spans="1:19" x14ac:dyDescent="0.25">
      <c r="A560">
        <v>653</v>
      </c>
      <c r="B560" t="s">
        <v>167</v>
      </c>
      <c r="C560">
        <v>169</v>
      </c>
      <c r="D560">
        <v>71</v>
      </c>
      <c r="E560">
        <v>98</v>
      </c>
      <c r="F560" s="18" t="s">
        <v>928</v>
      </c>
      <c r="H560" t="str">
        <f>IF(B560=$H$1,COUNT($H$2:H561)+1," ")</f>
        <v xml:space="preserve"> </v>
      </c>
      <c r="L560">
        <v>559</v>
      </c>
      <c r="M560">
        <v>83</v>
      </c>
      <c r="N560">
        <v>123</v>
      </c>
      <c r="O560" s="18" t="s">
        <v>846</v>
      </c>
      <c r="P560">
        <f t="shared" si="24"/>
        <v>206</v>
      </c>
      <c r="Q560" t="str">
        <f>INDEX(Elemek!$B$2:$B$113,MATCH(M560,Elemek!$C$2:$C$113,0))</f>
        <v>Bi</v>
      </c>
      <c r="R560" t="str">
        <f t="shared" si="25"/>
        <v>8.168551</v>
      </c>
      <c r="S560" t="str">
        <f t="shared" si="26"/>
        <v>8.168551</v>
      </c>
    </row>
    <row r="561" spans="1:19" x14ac:dyDescent="0.25">
      <c r="A561">
        <v>550</v>
      </c>
      <c r="B561" t="s">
        <v>167</v>
      </c>
      <c r="C561">
        <v>171</v>
      </c>
      <c r="D561">
        <v>71</v>
      </c>
      <c r="E561">
        <v>100</v>
      </c>
      <c r="F561" s="18" t="s">
        <v>838</v>
      </c>
      <c r="H561" t="str">
        <f>IF(B561=$H$1,COUNT($H$2:H562)+1," ")</f>
        <v xml:space="preserve"> </v>
      </c>
      <c r="L561">
        <v>560</v>
      </c>
      <c r="M561">
        <v>79</v>
      </c>
      <c r="N561">
        <v>117</v>
      </c>
      <c r="O561" s="18" t="s">
        <v>847</v>
      </c>
      <c r="P561">
        <f t="shared" si="24"/>
        <v>196</v>
      </c>
      <c r="Q561" t="str">
        <f>INDEX(Elemek!$B$2:$B$113,MATCH(M561,Elemek!$C$2:$C$113,0))</f>
        <v>Au</v>
      </c>
      <c r="R561" t="str">
        <f t="shared" si="25"/>
        <v>8.230205</v>
      </c>
      <c r="S561" t="str">
        <f t="shared" si="26"/>
        <v>8.230205</v>
      </c>
    </row>
    <row r="562" spans="1:19" x14ac:dyDescent="0.25">
      <c r="A562">
        <v>781</v>
      </c>
      <c r="B562" t="s">
        <v>77</v>
      </c>
      <c r="C562">
        <v>171</v>
      </c>
      <c r="D562">
        <v>68</v>
      </c>
      <c r="E562">
        <v>103</v>
      </c>
      <c r="F562" s="18" t="s">
        <v>1030</v>
      </c>
      <c r="H562" t="str">
        <f>IF(B562=$H$1,COUNT($H$2:H563)+1," ")</f>
        <v xml:space="preserve"> </v>
      </c>
      <c r="L562">
        <v>561</v>
      </c>
      <c r="M562">
        <v>28</v>
      </c>
      <c r="N562">
        <v>28</v>
      </c>
      <c r="O562" s="18" t="s">
        <v>848</v>
      </c>
      <c r="P562">
        <f t="shared" si="24"/>
        <v>56</v>
      </c>
      <c r="Q562" t="str">
        <f>INDEX(Elemek!$B$2:$B$113,MATCH(M562,Elemek!$C$2:$C$113,0))</f>
        <v>Ni</v>
      </c>
      <c r="R562" t="str">
        <f t="shared" si="25"/>
        <v>9.033899</v>
      </c>
      <c r="S562" t="str">
        <f t="shared" si="26"/>
        <v>9.033899</v>
      </c>
    </row>
    <row r="563" spans="1:19" x14ac:dyDescent="0.25">
      <c r="A563">
        <v>630</v>
      </c>
      <c r="B563" t="s">
        <v>167</v>
      </c>
      <c r="C563">
        <v>170</v>
      </c>
      <c r="D563">
        <v>71</v>
      </c>
      <c r="E563">
        <v>99</v>
      </c>
      <c r="F563" s="18" t="s">
        <v>907</v>
      </c>
      <c r="H563" t="str">
        <f>IF(B563=$H$1,COUNT($H$2:H564)+1," ")</f>
        <v xml:space="preserve"> </v>
      </c>
      <c r="L563">
        <v>562</v>
      </c>
      <c r="M563">
        <v>52</v>
      </c>
      <c r="N563">
        <v>66</v>
      </c>
      <c r="O563" s="18" t="s">
        <v>849</v>
      </c>
      <c r="P563">
        <f t="shared" si="24"/>
        <v>118</v>
      </c>
      <c r="Q563" t="str">
        <f>INDEX(Elemek!$B$2:$B$113,MATCH(M563,Elemek!$C$2:$C$113,0))</f>
        <v>Te</v>
      </c>
      <c r="R563" t="str">
        <f t="shared" si="25"/>
        <v>8.814726</v>
      </c>
      <c r="S563" t="str">
        <f t="shared" si="26"/>
        <v>8.814726</v>
      </c>
    </row>
    <row r="564" spans="1:19" x14ac:dyDescent="0.25">
      <c r="A564">
        <v>611</v>
      </c>
      <c r="B564" t="s">
        <v>289</v>
      </c>
      <c r="C564">
        <v>172</v>
      </c>
      <c r="D564">
        <v>69</v>
      </c>
      <c r="E564">
        <v>103</v>
      </c>
      <c r="F564" s="18" t="s">
        <v>891</v>
      </c>
      <c r="H564" t="str">
        <f>IF(B564=$H$1,COUNT($H$2:H565)+1," ")</f>
        <v xml:space="preserve"> </v>
      </c>
      <c r="L564">
        <v>563</v>
      </c>
      <c r="M564">
        <v>63</v>
      </c>
      <c r="N564">
        <v>82</v>
      </c>
      <c r="O564" s="18" t="s">
        <v>850</v>
      </c>
      <c r="P564">
        <f t="shared" si="24"/>
        <v>145</v>
      </c>
      <c r="Q564" t="str">
        <f>INDEX(Elemek!$B$2:$B$113,MATCH(M564,Elemek!$C$2:$C$113,0))</f>
        <v>Eu</v>
      </c>
      <c r="R564" t="str">
        <f t="shared" si="25"/>
        <v>8.609245</v>
      </c>
      <c r="S564" t="str">
        <f t="shared" si="26"/>
        <v>8.609245</v>
      </c>
    </row>
    <row r="565" spans="1:19" x14ac:dyDescent="0.25">
      <c r="A565">
        <v>168</v>
      </c>
      <c r="B565" t="s">
        <v>126</v>
      </c>
      <c r="C565">
        <v>173</v>
      </c>
      <c r="D565">
        <v>70</v>
      </c>
      <c r="E565">
        <v>103</v>
      </c>
      <c r="F565" s="18" t="s">
        <v>475</v>
      </c>
      <c r="H565" t="str">
        <f>IF(B565=$H$1,COUNT($H$2:H566)+1," ")</f>
        <v xml:space="preserve"> </v>
      </c>
      <c r="L565">
        <v>564</v>
      </c>
      <c r="M565">
        <v>51</v>
      </c>
      <c r="N565">
        <v>69</v>
      </c>
      <c r="O565" s="18" t="s">
        <v>851</v>
      </c>
      <c r="P565">
        <f t="shared" si="24"/>
        <v>120</v>
      </c>
      <c r="Q565" t="str">
        <f>INDEX(Elemek!$B$2:$B$113,MATCH(M565,Elemek!$C$2:$C$113,0))</f>
        <v>Sb</v>
      </c>
      <c r="R565" t="str">
        <f t="shared" si="25"/>
        <v>8.808194</v>
      </c>
      <c r="S565" t="str">
        <f t="shared" si="26"/>
        <v>8.808194</v>
      </c>
    </row>
    <row r="566" spans="1:19" x14ac:dyDescent="0.25">
      <c r="A566">
        <v>716</v>
      </c>
      <c r="B566" t="s">
        <v>104</v>
      </c>
      <c r="C566">
        <v>170</v>
      </c>
      <c r="D566">
        <v>72</v>
      </c>
      <c r="E566">
        <v>98</v>
      </c>
      <c r="F566" s="18" t="s">
        <v>979</v>
      </c>
      <c r="H566" t="str">
        <f>IF(B566=$H$1,COUNT($H$2:H567)+1," ")</f>
        <v xml:space="preserve"> </v>
      </c>
      <c r="L566">
        <v>565</v>
      </c>
      <c r="M566">
        <v>25</v>
      </c>
      <c r="N566">
        <v>27</v>
      </c>
      <c r="O566" s="18" t="s">
        <v>852</v>
      </c>
      <c r="P566">
        <f t="shared" si="24"/>
        <v>52</v>
      </c>
      <c r="Q566" t="str">
        <f>INDEX(Elemek!$B$2:$B$113,MATCH(M566,Elemek!$C$2:$C$113,0))</f>
        <v>Mn</v>
      </c>
      <c r="R566" t="str">
        <f t="shared" si="25"/>
        <v>9.046431</v>
      </c>
      <c r="S566" t="str">
        <f t="shared" si="26"/>
        <v>9.046431</v>
      </c>
    </row>
    <row r="567" spans="1:19" x14ac:dyDescent="0.25">
      <c r="A567">
        <v>556</v>
      </c>
      <c r="B567" t="s">
        <v>167</v>
      </c>
      <c r="C567">
        <v>172</v>
      </c>
      <c r="D567">
        <v>71</v>
      </c>
      <c r="E567">
        <v>101</v>
      </c>
      <c r="F567" s="18" t="s">
        <v>844</v>
      </c>
      <c r="H567" t="str">
        <f>IF(B567=$H$1,COUNT($H$2:H568)+1," ")</f>
        <v xml:space="preserve"> </v>
      </c>
      <c r="L567">
        <v>566</v>
      </c>
      <c r="M567">
        <v>61</v>
      </c>
      <c r="N567">
        <v>87</v>
      </c>
      <c r="O567" s="18"/>
      <c r="P567">
        <f t="shared" si="24"/>
        <v>148</v>
      </c>
      <c r="Q567" t="str">
        <f>INDEX(Elemek!$B$2:$B$113,MATCH(M567,Elemek!$C$2:$C$113,0))</f>
        <v>Pm</v>
      </c>
      <c r="R567" t="e">
        <f t="shared" si="25"/>
        <v>#DIV/0!</v>
      </c>
      <c r="S567" t="e">
        <f t="shared" si="26"/>
        <v>#DIV/0!</v>
      </c>
    </row>
    <row r="568" spans="1:19" x14ac:dyDescent="0.25">
      <c r="A568">
        <v>403</v>
      </c>
      <c r="B568" t="s">
        <v>167</v>
      </c>
      <c r="C568">
        <v>173</v>
      </c>
      <c r="D568">
        <v>71</v>
      </c>
      <c r="E568">
        <v>102</v>
      </c>
      <c r="F568" s="18" t="s">
        <v>707</v>
      </c>
      <c r="H568" t="str">
        <f>IF(B568=$H$1,COUNT($H$2:H569)+1," ")</f>
        <v xml:space="preserve"> </v>
      </c>
      <c r="L568">
        <v>567</v>
      </c>
      <c r="M568">
        <v>65</v>
      </c>
      <c r="N568">
        <v>91</v>
      </c>
      <c r="O568" s="18" t="s">
        <v>853</v>
      </c>
      <c r="P568">
        <f t="shared" si="24"/>
        <v>156</v>
      </c>
      <c r="Q568" t="str">
        <f>INDEX(Elemek!$B$2:$B$113,MATCH(M568,Elemek!$C$2:$C$113,0))</f>
        <v>Tb</v>
      </c>
      <c r="R568" t="str">
        <f t="shared" si="25"/>
        <v>8.520667</v>
      </c>
      <c r="S568" t="str">
        <f t="shared" si="26"/>
        <v>8.520667</v>
      </c>
    </row>
    <row r="569" spans="1:19" x14ac:dyDescent="0.25">
      <c r="A569">
        <v>629</v>
      </c>
      <c r="B569" t="s">
        <v>77</v>
      </c>
      <c r="C569">
        <v>172</v>
      </c>
      <c r="D569">
        <v>68</v>
      </c>
      <c r="E569">
        <v>104</v>
      </c>
      <c r="F569" s="18" t="s">
        <v>906</v>
      </c>
      <c r="H569" t="str">
        <f>IF(B569=$H$1,COUNT($H$2:H570)+1," ")</f>
        <v xml:space="preserve"> </v>
      </c>
      <c r="L569">
        <v>568</v>
      </c>
      <c r="M569">
        <v>65</v>
      </c>
      <c r="N569">
        <v>90</v>
      </c>
      <c r="O569" s="18" t="s">
        <v>854</v>
      </c>
      <c r="P569">
        <f t="shared" si="24"/>
        <v>155</v>
      </c>
      <c r="Q569" t="str">
        <f>INDEX(Elemek!$B$2:$B$113,MATCH(M569,Elemek!$C$2:$C$113,0))</f>
        <v>Tb</v>
      </c>
      <c r="R569" t="str">
        <f t="shared" si="25"/>
        <v>8.531031</v>
      </c>
      <c r="S569" t="str">
        <f t="shared" si="26"/>
        <v>8.531031</v>
      </c>
    </row>
    <row r="570" spans="1:19" x14ac:dyDescent="0.25">
      <c r="A570">
        <v>401</v>
      </c>
      <c r="B570" t="s">
        <v>104</v>
      </c>
      <c r="C570">
        <v>172</v>
      </c>
      <c r="D570">
        <v>72</v>
      </c>
      <c r="E570">
        <v>100</v>
      </c>
      <c r="F570" s="18" t="s">
        <v>705</v>
      </c>
      <c r="H570" t="str">
        <f>IF(B570=$H$1,COUNT($H$2:H571)+1," ")</f>
        <v xml:space="preserve"> </v>
      </c>
      <c r="L570">
        <v>569</v>
      </c>
      <c r="M570">
        <v>54</v>
      </c>
      <c r="N570">
        <v>79</v>
      </c>
      <c r="O570" s="18" t="s">
        <v>855</v>
      </c>
      <c r="P570">
        <f t="shared" si="24"/>
        <v>133</v>
      </c>
      <c r="Q570" t="str">
        <f>INDEX(Elemek!$B$2:$B$113,MATCH(M570,Elemek!$C$2:$C$113,0))</f>
        <v>Xe</v>
      </c>
      <c r="R570" t="str">
        <f t="shared" si="25"/>
        <v>8.730302</v>
      </c>
      <c r="S570" t="str">
        <f t="shared" si="26"/>
        <v>8.730302</v>
      </c>
    </row>
    <row r="571" spans="1:19" x14ac:dyDescent="0.25">
      <c r="A571">
        <v>169</v>
      </c>
      <c r="B571" t="s">
        <v>126</v>
      </c>
      <c r="C571">
        <v>174</v>
      </c>
      <c r="D571">
        <v>70</v>
      </c>
      <c r="E571">
        <v>104</v>
      </c>
      <c r="F571" s="18" t="s">
        <v>476</v>
      </c>
      <c r="H571" t="str">
        <f>IF(B571=$H$1,COUNT($H$2:H572)+1," ")</f>
        <v xml:space="preserve"> </v>
      </c>
      <c r="L571">
        <v>570</v>
      </c>
      <c r="M571">
        <v>73</v>
      </c>
      <c r="N571">
        <v>110</v>
      </c>
      <c r="O571" s="18" t="s">
        <v>856</v>
      </c>
      <c r="P571">
        <f t="shared" si="24"/>
        <v>183</v>
      </c>
      <c r="Q571" t="str">
        <f>INDEX(Elemek!$B$2:$B$113,MATCH(M571,Elemek!$C$2:$C$113,0))</f>
        <v>Ta</v>
      </c>
      <c r="R571" t="str">
        <f t="shared" si="25"/>
        <v>8.318847</v>
      </c>
      <c r="S571" t="str">
        <f t="shared" si="26"/>
        <v>8.318847</v>
      </c>
    </row>
    <row r="572" spans="1:19" x14ac:dyDescent="0.25">
      <c r="A572">
        <v>774</v>
      </c>
      <c r="B572" t="s">
        <v>289</v>
      </c>
      <c r="C572">
        <v>173</v>
      </c>
      <c r="D572">
        <v>69</v>
      </c>
      <c r="E572">
        <v>104</v>
      </c>
      <c r="F572" s="18" t="s">
        <v>1024</v>
      </c>
      <c r="H572" t="str">
        <f>IF(B572=$H$1,COUNT($H$2:H573)+1," ")</f>
        <v xml:space="preserve"> </v>
      </c>
      <c r="L572">
        <v>571</v>
      </c>
      <c r="M572">
        <v>83</v>
      </c>
      <c r="N572">
        <v>127</v>
      </c>
      <c r="O572" s="18"/>
      <c r="P572">
        <f t="shared" si="24"/>
        <v>210</v>
      </c>
      <c r="Q572" t="str">
        <f>INDEX(Elemek!$B$2:$B$113,MATCH(M572,Elemek!$C$2:$C$113,0))</f>
        <v>Bi</v>
      </c>
      <c r="R572" t="e">
        <f t="shared" si="25"/>
        <v>#DIV/0!</v>
      </c>
      <c r="S572" t="e">
        <f t="shared" si="26"/>
        <v>#DIV/0!</v>
      </c>
    </row>
    <row r="573" spans="1:19" x14ac:dyDescent="0.25">
      <c r="A573">
        <v>738</v>
      </c>
      <c r="B573" t="s">
        <v>104</v>
      </c>
      <c r="C573">
        <v>171</v>
      </c>
      <c r="D573">
        <v>72</v>
      </c>
      <c r="E573">
        <v>99</v>
      </c>
      <c r="F573" s="18" t="s">
        <v>997</v>
      </c>
      <c r="H573" t="str">
        <f>IF(B573=$H$1,COUNT($H$2:H574)+1," ")</f>
        <v xml:space="preserve"> </v>
      </c>
      <c r="L573">
        <v>572</v>
      </c>
      <c r="M573">
        <v>97</v>
      </c>
      <c r="N573">
        <v>148</v>
      </c>
      <c r="O573" s="18" t="s">
        <v>857</v>
      </c>
      <c r="P573">
        <f t="shared" si="24"/>
        <v>245</v>
      </c>
      <c r="Q573" t="str">
        <f>INDEX(Elemek!$B$2:$B$113,MATCH(M573,Elemek!$C$2:$C$113,0))</f>
        <v>Bk</v>
      </c>
      <c r="R573" t="str">
        <f t="shared" si="25"/>
        <v>7.81902</v>
      </c>
      <c r="S573" t="str">
        <f t="shared" si="26"/>
        <v>7.81902</v>
      </c>
    </row>
    <row r="574" spans="1:19" x14ac:dyDescent="0.25">
      <c r="A574">
        <v>269</v>
      </c>
      <c r="B574" t="s">
        <v>104</v>
      </c>
      <c r="C574">
        <v>174</v>
      </c>
      <c r="D574">
        <v>72</v>
      </c>
      <c r="E574">
        <v>102</v>
      </c>
      <c r="F574" s="18" t="s">
        <v>576</v>
      </c>
      <c r="H574" t="str">
        <f>IF(B574=$H$1,COUNT($H$2:H575)+1," ")</f>
        <v xml:space="preserve"> </v>
      </c>
      <c r="L574">
        <v>573</v>
      </c>
      <c r="M574">
        <v>52</v>
      </c>
      <c r="N574">
        <v>67</v>
      </c>
      <c r="O574" s="18" t="s">
        <v>858</v>
      </c>
      <c r="P574">
        <f t="shared" si="24"/>
        <v>119</v>
      </c>
      <c r="Q574" t="str">
        <f>INDEX(Elemek!$B$2:$B$113,MATCH(M574,Elemek!$C$2:$C$113,0))</f>
        <v>Te</v>
      </c>
      <c r="R574" t="str">
        <f t="shared" si="25"/>
        <v>8.801773</v>
      </c>
      <c r="S574" t="str">
        <f t="shared" si="26"/>
        <v>8.801773</v>
      </c>
    </row>
    <row r="575" spans="1:19" x14ac:dyDescent="0.25">
      <c r="A575">
        <v>679</v>
      </c>
      <c r="B575" t="s">
        <v>104</v>
      </c>
      <c r="C575">
        <v>173</v>
      </c>
      <c r="D575">
        <v>72</v>
      </c>
      <c r="E575">
        <v>101</v>
      </c>
      <c r="F575" s="18" t="s">
        <v>948</v>
      </c>
      <c r="H575" t="str">
        <f>IF(B575=$H$1,COUNT($H$2:H576)+1," ")</f>
        <v xml:space="preserve"> </v>
      </c>
      <c r="L575">
        <v>574</v>
      </c>
      <c r="M575">
        <v>63</v>
      </c>
      <c r="N575">
        <v>83</v>
      </c>
      <c r="O575" s="18" t="s">
        <v>859</v>
      </c>
      <c r="P575">
        <f t="shared" si="24"/>
        <v>146</v>
      </c>
      <c r="Q575" t="str">
        <f>INDEX(Elemek!$B$2:$B$113,MATCH(M575,Elemek!$C$2:$C$113,0))</f>
        <v>Eu</v>
      </c>
      <c r="R575" t="str">
        <f t="shared" si="25"/>
        <v>8.59956</v>
      </c>
      <c r="S575" t="str">
        <f t="shared" si="26"/>
        <v>8.59956</v>
      </c>
    </row>
    <row r="576" spans="1:19" x14ac:dyDescent="0.25">
      <c r="A576">
        <v>388</v>
      </c>
      <c r="B576" t="s">
        <v>167</v>
      </c>
      <c r="C576">
        <v>174</v>
      </c>
      <c r="D576">
        <v>71</v>
      </c>
      <c r="E576">
        <v>103</v>
      </c>
      <c r="F576" s="18" t="s">
        <v>692</v>
      </c>
      <c r="H576" t="str">
        <f>IF(B576=$H$1,COUNT($H$2:H577)+1," ")</f>
        <v xml:space="preserve"> </v>
      </c>
      <c r="L576">
        <v>575</v>
      </c>
      <c r="M576">
        <v>20</v>
      </c>
      <c r="N576">
        <v>27</v>
      </c>
      <c r="O576" s="18" t="s">
        <v>860</v>
      </c>
      <c r="P576">
        <f t="shared" si="24"/>
        <v>47</v>
      </c>
      <c r="Q576" t="str">
        <f>INDEX(Elemek!$B$2:$B$113,MATCH(M576,Elemek!$C$2:$C$113,0))</f>
        <v>Ca</v>
      </c>
      <c r="R576" t="str">
        <f t="shared" si="25"/>
        <v>8.972181</v>
      </c>
      <c r="S576" t="str">
        <f t="shared" si="26"/>
        <v>8.972181</v>
      </c>
    </row>
    <row r="577" spans="1:19" x14ac:dyDescent="0.25">
      <c r="A577">
        <v>170</v>
      </c>
      <c r="B577" t="s">
        <v>167</v>
      </c>
      <c r="C577">
        <v>175</v>
      </c>
      <c r="D577">
        <v>71</v>
      </c>
      <c r="E577">
        <v>104</v>
      </c>
      <c r="F577" s="18" t="s">
        <v>477</v>
      </c>
      <c r="H577" t="str">
        <f>IF(B577=$H$1,COUNT($H$2:H578)+1," ")</f>
        <v xml:space="preserve"> </v>
      </c>
      <c r="L577">
        <v>576</v>
      </c>
      <c r="M577">
        <v>93</v>
      </c>
      <c r="N577">
        <v>141</v>
      </c>
      <c r="O577" s="18" t="s">
        <v>861</v>
      </c>
      <c r="P577">
        <f t="shared" si="24"/>
        <v>234</v>
      </c>
      <c r="Q577" t="str">
        <f>INDEX(Elemek!$B$2:$B$113,MATCH(M577,Elemek!$C$2:$C$113,0))</f>
        <v>Np</v>
      </c>
      <c r="R577" t="str">
        <f t="shared" si="25"/>
        <v>7.900571</v>
      </c>
      <c r="S577" t="str">
        <f t="shared" si="26"/>
        <v>7.900571</v>
      </c>
    </row>
    <row r="578" spans="1:19" x14ac:dyDescent="0.25">
      <c r="A578">
        <v>581</v>
      </c>
      <c r="B578" t="s">
        <v>126</v>
      </c>
      <c r="C578">
        <v>175</v>
      </c>
      <c r="D578">
        <v>70</v>
      </c>
      <c r="E578">
        <v>105</v>
      </c>
      <c r="F578" s="18" t="s">
        <v>864</v>
      </c>
      <c r="H578" t="str">
        <f>IF(B578=$H$1,COUNT($H$2:H579)+1," ")</f>
        <v xml:space="preserve"> </v>
      </c>
      <c r="L578">
        <v>577</v>
      </c>
      <c r="M578">
        <v>45</v>
      </c>
      <c r="N578">
        <v>56</v>
      </c>
      <c r="O578" s="18"/>
      <c r="P578">
        <f t="shared" si="24"/>
        <v>101</v>
      </c>
      <c r="Q578" t="str">
        <f>INDEX(Elemek!$B$2:$B$113,MATCH(M578,Elemek!$C$2:$C$113,0))</f>
        <v>Rh</v>
      </c>
      <c r="R578" t="e">
        <f t="shared" si="25"/>
        <v>#DIV/0!</v>
      </c>
      <c r="S578" t="e">
        <f t="shared" si="26"/>
        <v>#DIV/0!</v>
      </c>
    </row>
    <row r="579" spans="1:19" x14ac:dyDescent="0.25">
      <c r="A579">
        <v>461</v>
      </c>
      <c r="B579" t="s">
        <v>104</v>
      </c>
      <c r="C579">
        <v>175</v>
      </c>
      <c r="D579">
        <v>72</v>
      </c>
      <c r="E579">
        <v>103</v>
      </c>
      <c r="F579" s="18" t="s">
        <v>759</v>
      </c>
      <c r="H579" t="str">
        <f>IF(B579=$H$1,COUNT($H$2:H580)+1," ")</f>
        <v xml:space="preserve"> </v>
      </c>
      <c r="L579">
        <v>578</v>
      </c>
      <c r="M579">
        <v>78</v>
      </c>
      <c r="N579">
        <v>115</v>
      </c>
      <c r="O579" s="18"/>
      <c r="P579">
        <f t="shared" ref="P579:P642" si="27">N579+M579</f>
        <v>193</v>
      </c>
      <c r="Q579" t="str">
        <f>INDEX(Elemek!$B$2:$B$113,MATCH(M579,Elemek!$C$2:$C$113,0))</f>
        <v>Pt</v>
      </c>
      <c r="R579" t="e">
        <f t="shared" ref="R579:R642" si="28">IF(NOT(ISBLANK(O579)),O579,ROUNDDOWN(AVERAGE($O$2:$O$990),2))</f>
        <v>#DIV/0!</v>
      </c>
      <c r="S579" t="e">
        <f t="shared" ref="S579:S642" si="29">IF(ISBLANK(O579),ROUNDDOWN(AVERAGEIF($M$2:$M$990,M579,$O$2:$O$990),2),O579)</f>
        <v>#DIV/0!</v>
      </c>
    </row>
    <row r="580" spans="1:19" x14ac:dyDescent="0.25">
      <c r="A580">
        <v>231</v>
      </c>
      <c r="B580" t="s">
        <v>104</v>
      </c>
      <c r="C580">
        <v>176</v>
      </c>
      <c r="D580">
        <v>72</v>
      </c>
      <c r="E580">
        <v>104</v>
      </c>
      <c r="F580" s="18" t="s">
        <v>538</v>
      </c>
      <c r="H580" t="str">
        <f>IF(B580=$H$1,COUNT($H$2:H581)+1," ")</f>
        <v xml:space="preserve"> </v>
      </c>
      <c r="L580">
        <v>579</v>
      </c>
      <c r="M580">
        <v>43</v>
      </c>
      <c r="N580">
        <v>53</v>
      </c>
      <c r="O580" s="18" t="s">
        <v>862</v>
      </c>
      <c r="P580">
        <f t="shared" si="27"/>
        <v>96</v>
      </c>
      <c r="Q580" t="str">
        <f>INDEX(Elemek!$B$2:$B$113,MATCH(M580,Elemek!$C$2:$C$113,0))</f>
        <v>Tc</v>
      </c>
      <c r="R580" t="str">
        <f t="shared" si="28"/>
        <v>8.965255</v>
      </c>
      <c r="S580" t="str">
        <f t="shared" si="29"/>
        <v>8.965255</v>
      </c>
    </row>
    <row r="581" spans="1:19" x14ac:dyDescent="0.25">
      <c r="A581">
        <v>233</v>
      </c>
      <c r="B581" t="s">
        <v>126</v>
      </c>
      <c r="C581">
        <v>176</v>
      </c>
      <c r="D581">
        <v>70</v>
      </c>
      <c r="E581">
        <v>106</v>
      </c>
      <c r="F581" s="18" t="s">
        <v>540</v>
      </c>
      <c r="H581" t="str">
        <f>IF(B581=$H$1,COUNT($H$2:H582)+1," ")</f>
        <v xml:space="preserve"> </v>
      </c>
      <c r="L581">
        <v>580</v>
      </c>
      <c r="M581">
        <v>92</v>
      </c>
      <c r="N581">
        <v>139</v>
      </c>
      <c r="O581" s="18" t="s">
        <v>863</v>
      </c>
      <c r="P581">
        <f t="shared" si="27"/>
        <v>231</v>
      </c>
      <c r="Q581" t="str">
        <f>INDEX(Elemek!$B$2:$B$113,MATCH(M581,Elemek!$C$2:$C$113,0))</f>
        <v>U</v>
      </c>
      <c r="R581" t="str">
        <f t="shared" si="28"/>
        <v>7.924977</v>
      </c>
      <c r="S581" t="str">
        <f t="shared" si="29"/>
        <v>7.924977</v>
      </c>
    </row>
    <row r="582" spans="1:19" x14ac:dyDescent="0.25">
      <c r="A582">
        <v>282</v>
      </c>
      <c r="B582" t="s">
        <v>167</v>
      </c>
      <c r="C582">
        <v>176</v>
      </c>
      <c r="D582">
        <v>71</v>
      </c>
      <c r="E582">
        <v>105</v>
      </c>
      <c r="F582" s="18" t="s">
        <v>589</v>
      </c>
      <c r="H582" t="str">
        <f>IF(B582=$H$1,COUNT($H$2:H583)+1," ")</f>
        <v xml:space="preserve"> </v>
      </c>
      <c r="L582">
        <v>581</v>
      </c>
      <c r="M582">
        <v>70</v>
      </c>
      <c r="N582">
        <v>105</v>
      </c>
      <c r="O582" s="18" t="s">
        <v>864</v>
      </c>
      <c r="P582">
        <f t="shared" si="27"/>
        <v>175</v>
      </c>
      <c r="Q582" t="str">
        <f>INDEX(Elemek!$B$2:$B$113,MATCH(M582,Elemek!$C$2:$C$113,0))</f>
        <v>Yb</v>
      </c>
      <c r="R582" t="str">
        <f t="shared" si="28"/>
        <v>8.383902</v>
      </c>
      <c r="S582" t="str">
        <f t="shared" si="29"/>
        <v>8.383902</v>
      </c>
    </row>
    <row r="583" spans="1:19" x14ac:dyDescent="0.25">
      <c r="A583">
        <v>858</v>
      </c>
      <c r="B583" t="s">
        <v>273</v>
      </c>
      <c r="C583">
        <v>173</v>
      </c>
      <c r="D583">
        <v>73</v>
      </c>
      <c r="E583">
        <v>100</v>
      </c>
      <c r="F583" s="18" t="s">
        <v>1094</v>
      </c>
      <c r="H583" t="str">
        <f>IF(B583=$H$1,COUNT($H$2:H584)+1," ")</f>
        <v xml:space="preserve"> </v>
      </c>
      <c r="L583">
        <v>582</v>
      </c>
      <c r="M583">
        <v>53</v>
      </c>
      <c r="N583">
        <v>71</v>
      </c>
      <c r="O583" s="18" t="s">
        <v>865</v>
      </c>
      <c r="P583">
        <f t="shared" si="27"/>
        <v>124</v>
      </c>
      <c r="Q583" t="str">
        <f>INDEX(Elemek!$B$2:$B$113,MATCH(M583,Elemek!$C$2:$C$113,0))</f>
        <v>I</v>
      </c>
      <c r="R583" t="str">
        <f t="shared" si="28"/>
        <v>8.775884</v>
      </c>
      <c r="S583" t="str">
        <f t="shared" si="29"/>
        <v>8.775884</v>
      </c>
    </row>
    <row r="584" spans="1:19" x14ac:dyDescent="0.25">
      <c r="A584">
        <v>747</v>
      </c>
      <c r="B584" t="s">
        <v>273</v>
      </c>
      <c r="C584">
        <v>175</v>
      </c>
      <c r="D584">
        <v>73</v>
      </c>
      <c r="E584">
        <v>102</v>
      </c>
      <c r="F584" s="18" t="s">
        <v>1005</v>
      </c>
      <c r="H584" t="str">
        <f>IF(B584=$H$1,COUNT($H$2:H585)+1," ")</f>
        <v xml:space="preserve"> </v>
      </c>
      <c r="L584">
        <v>583</v>
      </c>
      <c r="M584">
        <v>78</v>
      </c>
      <c r="N584">
        <v>117</v>
      </c>
      <c r="O584" s="18"/>
      <c r="P584">
        <f t="shared" si="27"/>
        <v>195</v>
      </c>
      <c r="Q584" t="str">
        <f>INDEX(Elemek!$B$2:$B$113,MATCH(M584,Elemek!$C$2:$C$113,0))</f>
        <v>Pt</v>
      </c>
      <c r="R584" t="e">
        <f t="shared" si="28"/>
        <v>#DIV/0!</v>
      </c>
      <c r="S584" t="e">
        <f t="shared" si="29"/>
        <v>#DIV/0!</v>
      </c>
    </row>
    <row r="585" spans="1:19" x14ac:dyDescent="0.25">
      <c r="A585">
        <v>224</v>
      </c>
      <c r="B585" t="s">
        <v>104</v>
      </c>
      <c r="C585">
        <v>177</v>
      </c>
      <c r="D585">
        <v>72</v>
      </c>
      <c r="E585">
        <v>105</v>
      </c>
      <c r="F585" s="18" t="s">
        <v>531</v>
      </c>
      <c r="H585" t="str">
        <f>IF(B585=$H$1,COUNT($H$2:H586)+1," ")</f>
        <v xml:space="preserve"> </v>
      </c>
      <c r="L585">
        <v>584</v>
      </c>
      <c r="M585">
        <v>51</v>
      </c>
      <c r="N585">
        <v>76</v>
      </c>
      <c r="O585" s="18" t="s">
        <v>866</v>
      </c>
      <c r="P585">
        <f t="shared" si="27"/>
        <v>127</v>
      </c>
      <c r="Q585" t="str">
        <f>INDEX(Elemek!$B$2:$B$113,MATCH(M585,Elemek!$C$2:$C$113,0))</f>
        <v>Sb</v>
      </c>
      <c r="R585" t="str">
        <f t="shared" si="28"/>
        <v>8.754005</v>
      </c>
      <c r="S585" t="str">
        <f t="shared" si="29"/>
        <v>8.754005</v>
      </c>
    </row>
    <row r="586" spans="1:19" x14ac:dyDescent="0.25">
      <c r="A586">
        <v>972</v>
      </c>
      <c r="B586" t="s">
        <v>273</v>
      </c>
      <c r="C586">
        <v>174</v>
      </c>
      <c r="D586">
        <v>73</v>
      </c>
      <c r="E586">
        <v>101</v>
      </c>
      <c r="F586" s="18" t="s">
        <v>1186</v>
      </c>
      <c r="H586" t="str">
        <f>IF(B586=$H$1,COUNT($H$2:H587)+1," ")</f>
        <v xml:space="preserve"> </v>
      </c>
      <c r="L586">
        <v>585</v>
      </c>
      <c r="M586">
        <v>86</v>
      </c>
      <c r="N586">
        <v>136</v>
      </c>
      <c r="O586" s="18" t="s">
        <v>867</v>
      </c>
      <c r="P586">
        <f t="shared" si="27"/>
        <v>222</v>
      </c>
      <c r="Q586" t="str">
        <f>INDEX(Elemek!$B$2:$B$113,MATCH(M586,Elemek!$C$2:$C$113,0))</f>
        <v>Rn</v>
      </c>
      <c r="R586" t="str">
        <f t="shared" si="28"/>
        <v>7.997573</v>
      </c>
      <c r="S586" t="str">
        <f t="shared" si="29"/>
        <v>7.997573</v>
      </c>
    </row>
    <row r="587" spans="1:19" x14ac:dyDescent="0.25">
      <c r="A587">
        <v>129</v>
      </c>
      <c r="B587" t="s">
        <v>209</v>
      </c>
      <c r="C587">
        <v>16</v>
      </c>
      <c r="D587">
        <v>8</v>
      </c>
      <c r="E587">
        <v>8</v>
      </c>
      <c r="F587" s="18" t="s">
        <v>436</v>
      </c>
      <c r="H587" t="str">
        <f>IF(B587=$H$1,COUNT($H$2:H588)+1," ")</f>
        <v xml:space="preserve"> </v>
      </c>
      <c r="L587">
        <v>586</v>
      </c>
      <c r="M587">
        <v>75</v>
      </c>
      <c r="N587">
        <v>111</v>
      </c>
      <c r="O587" s="18"/>
      <c r="P587">
        <f t="shared" si="27"/>
        <v>186</v>
      </c>
      <c r="Q587" t="str">
        <f>INDEX(Elemek!$B$2:$B$113,MATCH(M587,Elemek!$C$2:$C$113,0))</f>
        <v>Re</v>
      </c>
      <c r="R587" t="e">
        <f t="shared" si="28"/>
        <v>#DIV/0!</v>
      </c>
      <c r="S587" t="e">
        <f t="shared" si="29"/>
        <v>#DIV/0!</v>
      </c>
    </row>
    <row r="588" spans="1:19" x14ac:dyDescent="0.25">
      <c r="A588">
        <v>223</v>
      </c>
      <c r="B588" t="s">
        <v>104</v>
      </c>
      <c r="C588">
        <v>178</v>
      </c>
      <c r="D588">
        <v>72</v>
      </c>
      <c r="E588">
        <v>106</v>
      </c>
      <c r="F588" s="18" t="s">
        <v>530</v>
      </c>
      <c r="H588" t="str">
        <f>IF(B588=$H$1,COUNT($H$2:H589)+1," ")</f>
        <v xml:space="preserve"> </v>
      </c>
      <c r="L588">
        <v>587</v>
      </c>
      <c r="M588">
        <v>88</v>
      </c>
      <c r="N588">
        <v>136</v>
      </c>
      <c r="O588" s="18" t="s">
        <v>868</v>
      </c>
      <c r="P588">
        <f t="shared" si="27"/>
        <v>224</v>
      </c>
      <c r="Q588" t="str">
        <f>INDEX(Elemek!$B$2:$B$113,MATCH(M588,Elemek!$C$2:$C$113,0))</f>
        <v>Ra</v>
      </c>
      <c r="R588" t="str">
        <f t="shared" si="28"/>
        <v>7.987277</v>
      </c>
      <c r="S588" t="str">
        <f t="shared" si="29"/>
        <v>7.987277</v>
      </c>
    </row>
    <row r="589" spans="1:19" x14ac:dyDescent="0.25">
      <c r="A589">
        <v>617</v>
      </c>
      <c r="B589" t="s">
        <v>273</v>
      </c>
      <c r="C589">
        <v>177</v>
      </c>
      <c r="D589">
        <v>73</v>
      </c>
      <c r="E589">
        <v>104</v>
      </c>
      <c r="F589" s="18" t="s">
        <v>897</v>
      </c>
      <c r="H589" t="str">
        <f>IF(B589=$H$1,COUNT($H$2:H590)+1," ")</f>
        <v xml:space="preserve"> </v>
      </c>
      <c r="L589">
        <v>588</v>
      </c>
      <c r="M589">
        <v>46</v>
      </c>
      <c r="N589">
        <v>54</v>
      </c>
      <c r="O589" s="18" t="s">
        <v>869</v>
      </c>
      <c r="P589">
        <f t="shared" si="27"/>
        <v>100</v>
      </c>
      <c r="Q589" t="str">
        <f>INDEX(Elemek!$B$2:$B$113,MATCH(M589,Elemek!$C$2:$C$113,0))</f>
        <v>Pd</v>
      </c>
      <c r="R589" t="str">
        <f t="shared" si="28"/>
        <v>8.923587</v>
      </c>
      <c r="S589" t="str">
        <f t="shared" si="29"/>
        <v>8.923587</v>
      </c>
    </row>
    <row r="590" spans="1:19" x14ac:dyDescent="0.25">
      <c r="A590">
        <v>778</v>
      </c>
      <c r="B590" t="s">
        <v>273</v>
      </c>
      <c r="C590">
        <v>176</v>
      </c>
      <c r="D590">
        <v>73</v>
      </c>
      <c r="E590">
        <v>103</v>
      </c>
      <c r="F590" s="18" t="s">
        <v>1027</v>
      </c>
      <c r="H590" t="str">
        <f>IF(B590=$H$1,COUNT($H$2:H591)+1," ")</f>
        <v xml:space="preserve"> </v>
      </c>
      <c r="L590">
        <v>589</v>
      </c>
      <c r="M590">
        <v>41</v>
      </c>
      <c r="N590">
        <v>54</v>
      </c>
      <c r="O590" s="18"/>
      <c r="P590">
        <f t="shared" si="27"/>
        <v>95</v>
      </c>
      <c r="Q590" t="str">
        <f>INDEX(Elemek!$B$2:$B$113,MATCH(M590,Elemek!$C$2:$C$113,0))</f>
        <v>Nb</v>
      </c>
      <c r="R590" t="e">
        <f t="shared" si="28"/>
        <v>#DIV/0!</v>
      </c>
      <c r="S590" t="e">
        <f t="shared" si="29"/>
        <v>#DIV/0!</v>
      </c>
    </row>
    <row r="591" spans="1:19" x14ac:dyDescent="0.25">
      <c r="A591">
        <v>429</v>
      </c>
      <c r="B591" t="s">
        <v>167</v>
      </c>
      <c r="C591">
        <v>177</v>
      </c>
      <c r="D591">
        <v>71</v>
      </c>
      <c r="E591">
        <v>106</v>
      </c>
      <c r="F591" s="18" t="s">
        <v>731</v>
      </c>
      <c r="H591" t="str">
        <f>IF(B591=$H$1,COUNT($H$2:H592)+1," ")</f>
        <v xml:space="preserve"> </v>
      </c>
      <c r="L591">
        <v>590</v>
      </c>
      <c r="M591">
        <v>66</v>
      </c>
      <c r="N591">
        <v>100</v>
      </c>
      <c r="O591" s="18" t="s">
        <v>870</v>
      </c>
      <c r="P591">
        <f t="shared" si="27"/>
        <v>166</v>
      </c>
      <c r="Q591" t="str">
        <f>INDEX(Elemek!$B$2:$B$113,MATCH(M591,Elemek!$C$2:$C$113,0))</f>
        <v>Dy</v>
      </c>
      <c r="R591" t="str">
        <f t="shared" si="28"/>
        <v>8.448376</v>
      </c>
      <c r="S591" t="str">
        <f t="shared" si="29"/>
        <v>8.448376</v>
      </c>
    </row>
    <row r="592" spans="1:19" x14ac:dyDescent="0.25">
      <c r="A592">
        <v>914</v>
      </c>
      <c r="B592" t="s">
        <v>126</v>
      </c>
      <c r="C592">
        <v>177</v>
      </c>
      <c r="D592">
        <v>70</v>
      </c>
      <c r="E592">
        <v>107</v>
      </c>
      <c r="F592" s="18" t="s">
        <v>1139</v>
      </c>
      <c r="H592" t="str">
        <f>IF(B592=$H$1,COUNT($H$2:H593)+1," ")</f>
        <v xml:space="preserve"> </v>
      </c>
      <c r="L592">
        <v>591</v>
      </c>
      <c r="M592">
        <v>60</v>
      </c>
      <c r="N592">
        <v>80</v>
      </c>
      <c r="O592" s="18" t="s">
        <v>871</v>
      </c>
      <c r="P592">
        <f t="shared" si="27"/>
        <v>140</v>
      </c>
      <c r="Q592" t="str">
        <f>INDEX(Elemek!$B$2:$B$113,MATCH(M592,Elemek!$C$2:$C$113,0))</f>
        <v>Nd</v>
      </c>
      <c r="R592" t="str">
        <f t="shared" si="28"/>
        <v>8.673113</v>
      </c>
      <c r="S592" t="str">
        <f t="shared" si="29"/>
        <v>8.673113</v>
      </c>
    </row>
    <row r="593" spans="1:19" x14ac:dyDescent="0.25">
      <c r="A593">
        <v>883</v>
      </c>
      <c r="B593" t="s">
        <v>299</v>
      </c>
      <c r="C593">
        <v>176</v>
      </c>
      <c r="D593">
        <v>74</v>
      </c>
      <c r="E593">
        <v>102</v>
      </c>
      <c r="F593" s="18" t="s">
        <v>1113</v>
      </c>
      <c r="H593" t="str">
        <f>IF(B593=$H$1,COUNT($H$2:H594)+1," ")</f>
        <v xml:space="preserve"> </v>
      </c>
      <c r="L593">
        <v>592</v>
      </c>
      <c r="M593">
        <v>21</v>
      </c>
      <c r="N593">
        <v>26</v>
      </c>
      <c r="O593" s="18" t="s">
        <v>872</v>
      </c>
      <c r="P593">
        <f t="shared" si="27"/>
        <v>47</v>
      </c>
      <c r="Q593" t="str">
        <f>INDEX(Elemek!$B$2:$B$113,MATCH(M593,Elemek!$C$2:$C$113,0))</f>
        <v>Sc</v>
      </c>
      <c r="R593" t="str">
        <f t="shared" si="28"/>
        <v>9.014564</v>
      </c>
      <c r="S593" t="str">
        <f t="shared" si="29"/>
        <v>9.014564</v>
      </c>
    </row>
    <row r="594" spans="1:19" x14ac:dyDescent="0.25">
      <c r="A594">
        <v>893</v>
      </c>
      <c r="B594" t="s">
        <v>273</v>
      </c>
      <c r="C594">
        <v>178</v>
      </c>
      <c r="D594">
        <v>73</v>
      </c>
      <c r="E594">
        <v>105</v>
      </c>
      <c r="F594" s="18" t="s">
        <v>1122</v>
      </c>
      <c r="H594" t="str">
        <f>IF(B594=$H$1,COUNT($H$2:H595)+1," ")</f>
        <v xml:space="preserve"> </v>
      </c>
      <c r="L594">
        <v>593</v>
      </c>
      <c r="M594">
        <v>39</v>
      </c>
      <c r="N594">
        <v>48</v>
      </c>
      <c r="O594" s="18" t="s">
        <v>873</v>
      </c>
      <c r="P594">
        <f t="shared" si="27"/>
        <v>87</v>
      </c>
      <c r="Q594" t="str">
        <f>INDEX(Elemek!$B$2:$B$113,MATCH(M594,Elemek!$C$2:$C$113,0))</f>
        <v>Y</v>
      </c>
      <c r="R594" t="str">
        <f t="shared" si="28"/>
        <v>9.025565</v>
      </c>
      <c r="S594" t="str">
        <f t="shared" si="29"/>
        <v>9.025565</v>
      </c>
    </row>
    <row r="595" spans="1:19" x14ac:dyDescent="0.25">
      <c r="A595">
        <v>505</v>
      </c>
      <c r="B595" t="s">
        <v>299</v>
      </c>
      <c r="C595">
        <v>178</v>
      </c>
      <c r="D595">
        <v>74</v>
      </c>
      <c r="E595">
        <v>104</v>
      </c>
      <c r="F595" s="18" t="s">
        <v>799</v>
      </c>
      <c r="H595" t="str">
        <f>IF(B595=$H$1,COUNT($H$2:H596)+1," ")</f>
        <v xml:space="preserve"> </v>
      </c>
      <c r="L595">
        <v>594</v>
      </c>
      <c r="M595">
        <v>40</v>
      </c>
      <c r="N595">
        <v>49</v>
      </c>
      <c r="O595" s="18" t="s">
        <v>874</v>
      </c>
      <c r="P595">
        <f t="shared" si="27"/>
        <v>89</v>
      </c>
      <c r="Q595" t="str">
        <f>INDEX(Elemek!$B$2:$B$113,MATCH(M595,Elemek!$C$2:$C$113,0))</f>
        <v>Zr</v>
      </c>
      <c r="R595" t="str">
        <f t="shared" si="28"/>
        <v>9.024912</v>
      </c>
      <c r="S595" t="str">
        <f t="shared" si="29"/>
        <v>9.024912</v>
      </c>
    </row>
    <row r="596" spans="1:19" x14ac:dyDescent="0.25">
      <c r="A596">
        <v>218</v>
      </c>
      <c r="B596" t="s">
        <v>104</v>
      </c>
      <c r="C596">
        <v>179</v>
      </c>
      <c r="D596">
        <v>72</v>
      </c>
      <c r="E596">
        <v>107</v>
      </c>
      <c r="F596" s="18" t="s">
        <v>525</v>
      </c>
      <c r="H596" t="str">
        <f>IF(B596=$H$1,COUNT($H$2:H597)+1," ")</f>
        <v xml:space="preserve"> </v>
      </c>
      <c r="L596">
        <v>595</v>
      </c>
      <c r="M596">
        <v>31</v>
      </c>
      <c r="N596">
        <v>36</v>
      </c>
      <c r="O596" s="18" t="s">
        <v>875</v>
      </c>
      <c r="P596">
        <f t="shared" si="27"/>
        <v>67</v>
      </c>
      <c r="Q596" t="str">
        <f>INDEX(Elemek!$B$2:$B$113,MATCH(M596,Elemek!$C$2:$C$113,0))</f>
        <v>Ga</v>
      </c>
      <c r="R596" t="str">
        <f t="shared" si="28"/>
        <v>9.069532</v>
      </c>
      <c r="S596" t="str">
        <f t="shared" si="29"/>
        <v>9.069532</v>
      </c>
    </row>
    <row r="597" spans="1:19" x14ac:dyDescent="0.25">
      <c r="A597">
        <v>402</v>
      </c>
      <c r="B597" t="s">
        <v>273</v>
      </c>
      <c r="C597">
        <v>179</v>
      </c>
      <c r="D597">
        <v>73</v>
      </c>
      <c r="E597">
        <v>106</v>
      </c>
      <c r="F597" s="18" t="s">
        <v>706</v>
      </c>
      <c r="H597" t="str">
        <f>IF(B597=$H$1,COUNT($H$2:H598)+1," ")</f>
        <v xml:space="preserve"> </v>
      </c>
      <c r="L597">
        <v>596</v>
      </c>
      <c r="M597">
        <v>52</v>
      </c>
      <c r="N597">
        <v>80</v>
      </c>
      <c r="O597" s="18" t="s">
        <v>876</v>
      </c>
      <c r="P597">
        <f t="shared" si="27"/>
        <v>132</v>
      </c>
      <c r="Q597" t="str">
        <f>INDEX(Elemek!$B$2:$B$113,MATCH(M597,Elemek!$C$2:$C$113,0))</f>
        <v>Te</v>
      </c>
      <c r="R597" t="str">
        <f t="shared" si="28"/>
        <v>8.716646</v>
      </c>
      <c r="S597" t="str">
        <f t="shared" si="29"/>
        <v>8.716646</v>
      </c>
    </row>
    <row r="598" spans="1:19" x14ac:dyDescent="0.25">
      <c r="A598">
        <v>901</v>
      </c>
      <c r="B598" t="s">
        <v>299</v>
      </c>
      <c r="C598">
        <v>177</v>
      </c>
      <c r="D598">
        <v>74</v>
      </c>
      <c r="E598">
        <v>103</v>
      </c>
      <c r="F598" s="18" t="s">
        <v>1129</v>
      </c>
      <c r="H598" t="str">
        <f>IF(B598=$H$1,COUNT($H$2:H599)+1," ")</f>
        <v xml:space="preserve"> </v>
      </c>
      <c r="L598">
        <v>597</v>
      </c>
      <c r="M598">
        <v>58</v>
      </c>
      <c r="N598">
        <v>76</v>
      </c>
      <c r="O598" s="18" t="s">
        <v>877</v>
      </c>
      <c r="P598">
        <f t="shared" si="27"/>
        <v>134</v>
      </c>
      <c r="Q598" t="str">
        <f>INDEX(Elemek!$B$2:$B$113,MATCH(M598,Elemek!$C$2:$C$113,0))</f>
        <v>Ce</v>
      </c>
      <c r="R598" t="str">
        <f t="shared" si="28"/>
        <v>8.704432</v>
      </c>
      <c r="S598" t="str">
        <f t="shared" si="29"/>
        <v>8.704432</v>
      </c>
    </row>
    <row r="599" spans="1:19" x14ac:dyDescent="0.25">
      <c r="A599">
        <v>963</v>
      </c>
      <c r="B599" t="s">
        <v>126</v>
      </c>
      <c r="C599">
        <v>178</v>
      </c>
      <c r="D599">
        <v>70</v>
      </c>
      <c r="E599">
        <v>108</v>
      </c>
      <c r="F599" s="18" t="s">
        <v>1179</v>
      </c>
      <c r="H599" t="str">
        <f>IF(B599=$H$1,COUNT($H$2:H600)+1," ")</f>
        <v xml:space="preserve"> </v>
      </c>
      <c r="L599">
        <v>598</v>
      </c>
      <c r="M599">
        <v>79</v>
      </c>
      <c r="N599">
        <v>120</v>
      </c>
      <c r="O599" s="18" t="s">
        <v>878</v>
      </c>
      <c r="P599">
        <f t="shared" si="27"/>
        <v>199</v>
      </c>
      <c r="Q599" t="str">
        <f>INDEX(Elemek!$B$2:$B$113,MATCH(M599,Elemek!$C$2:$C$113,0))</f>
        <v>Au</v>
      </c>
      <c r="R599" t="str">
        <f t="shared" si="28"/>
        <v>8.217534</v>
      </c>
      <c r="S599" t="str">
        <f t="shared" si="29"/>
        <v>8.217534</v>
      </c>
    </row>
    <row r="600" spans="1:19" x14ac:dyDescent="0.25">
      <c r="A600">
        <v>227</v>
      </c>
      <c r="B600" t="s">
        <v>104</v>
      </c>
      <c r="C600">
        <v>180</v>
      </c>
      <c r="D600">
        <v>72</v>
      </c>
      <c r="E600">
        <v>108</v>
      </c>
      <c r="F600" s="18" t="s">
        <v>534</v>
      </c>
      <c r="H600" t="str">
        <f>IF(B600=$H$1,COUNT($H$2:H601)+1," ")</f>
        <v xml:space="preserve"> </v>
      </c>
      <c r="L600">
        <v>599</v>
      </c>
      <c r="M600">
        <v>81</v>
      </c>
      <c r="N600">
        <v>120</v>
      </c>
      <c r="O600" s="18" t="s">
        <v>879</v>
      </c>
      <c r="P600">
        <f t="shared" si="27"/>
        <v>201</v>
      </c>
      <c r="Q600" t="str">
        <f>INDEX(Elemek!$B$2:$B$113,MATCH(M600,Elemek!$C$2:$C$113,0))</f>
        <v>Tl</v>
      </c>
      <c r="R600" t="str">
        <f t="shared" si="28"/>
        <v>8.206561</v>
      </c>
      <c r="S600" t="str">
        <f t="shared" si="29"/>
        <v>8.206561</v>
      </c>
    </row>
    <row r="601" spans="1:19" x14ac:dyDescent="0.25">
      <c r="A601">
        <v>267</v>
      </c>
      <c r="B601" t="s">
        <v>299</v>
      </c>
      <c r="C601">
        <v>180</v>
      </c>
      <c r="D601">
        <v>74</v>
      </c>
      <c r="E601">
        <v>106</v>
      </c>
      <c r="F601" s="18" t="s">
        <v>574</v>
      </c>
      <c r="H601" t="str">
        <f>IF(B601=$H$1,COUNT($H$2:H602)+1," ")</f>
        <v xml:space="preserve"> </v>
      </c>
      <c r="L601">
        <v>600</v>
      </c>
      <c r="M601">
        <v>100</v>
      </c>
      <c r="N601">
        <v>153</v>
      </c>
      <c r="O601" s="18" t="s">
        <v>880</v>
      </c>
      <c r="P601">
        <f t="shared" si="27"/>
        <v>253</v>
      </c>
      <c r="Q601" t="str">
        <f>INDEX(Elemek!$B$2:$B$113,MATCH(M601,Elemek!$C$2:$C$113,0))</f>
        <v>Fm</v>
      </c>
      <c r="R601" t="str">
        <f t="shared" si="28"/>
        <v>7.757691</v>
      </c>
      <c r="S601" t="str">
        <f t="shared" si="29"/>
        <v>7.757691</v>
      </c>
    </row>
    <row r="602" spans="1:19" x14ac:dyDescent="0.25">
      <c r="A602">
        <v>821</v>
      </c>
      <c r="B602" t="s">
        <v>167</v>
      </c>
      <c r="C602">
        <v>179</v>
      </c>
      <c r="D602">
        <v>71</v>
      </c>
      <c r="E602">
        <v>108</v>
      </c>
      <c r="F602" s="18" t="s">
        <v>1064</v>
      </c>
      <c r="H602" t="str">
        <f>IF(B602=$H$1,COUNT($H$2:H603)+1," ")</f>
        <v xml:space="preserve"> </v>
      </c>
      <c r="L602">
        <v>601</v>
      </c>
      <c r="M602">
        <v>78</v>
      </c>
      <c r="N602">
        <v>113</v>
      </c>
      <c r="O602" s="18" t="s">
        <v>881</v>
      </c>
      <c r="P602">
        <f t="shared" si="27"/>
        <v>191</v>
      </c>
      <c r="Q602" t="str">
        <f>INDEX(Elemek!$B$2:$B$113,MATCH(M602,Elemek!$C$2:$C$113,0))</f>
        <v>Pt</v>
      </c>
      <c r="R602" t="str">
        <f t="shared" si="28"/>
        <v>8.258228</v>
      </c>
      <c r="S602" t="str">
        <f t="shared" si="29"/>
        <v>8.258228</v>
      </c>
    </row>
    <row r="603" spans="1:19" x14ac:dyDescent="0.25">
      <c r="A603">
        <v>130</v>
      </c>
      <c r="B603" t="s">
        <v>189</v>
      </c>
      <c r="C603">
        <v>21</v>
      </c>
      <c r="D603">
        <v>10</v>
      </c>
      <c r="E603">
        <v>11</v>
      </c>
      <c r="F603" s="18" t="s">
        <v>437</v>
      </c>
      <c r="H603" t="str">
        <f>IF(B603=$H$1,COUNT($H$2:H604)+1," ")</f>
        <v xml:space="preserve"> </v>
      </c>
      <c r="L603">
        <v>602</v>
      </c>
      <c r="M603">
        <v>49</v>
      </c>
      <c r="N603">
        <v>62</v>
      </c>
      <c r="O603" s="18" t="s">
        <v>882</v>
      </c>
      <c r="P603">
        <f t="shared" si="27"/>
        <v>111</v>
      </c>
      <c r="Q603" t="str">
        <f>INDEX(Elemek!$B$2:$B$113,MATCH(M603,Elemek!$C$2:$C$113,0))</f>
        <v>In</v>
      </c>
      <c r="R603" t="str">
        <f t="shared" si="28"/>
        <v>8.867688</v>
      </c>
      <c r="S603" t="str">
        <f t="shared" si="29"/>
        <v>8.867688</v>
      </c>
    </row>
    <row r="604" spans="1:19" x14ac:dyDescent="0.25">
      <c r="A604">
        <v>242</v>
      </c>
      <c r="B604" t="s">
        <v>273</v>
      </c>
      <c r="C604">
        <v>180</v>
      </c>
      <c r="D604">
        <v>73</v>
      </c>
      <c r="E604">
        <v>107</v>
      </c>
      <c r="F604" s="18" t="s">
        <v>549</v>
      </c>
      <c r="H604" t="str">
        <f>IF(B604=$H$1,COUNT($H$2:H605)+1," ")</f>
        <v xml:space="preserve"> </v>
      </c>
      <c r="L604">
        <v>603</v>
      </c>
      <c r="M604">
        <v>44</v>
      </c>
      <c r="N604">
        <v>53</v>
      </c>
      <c r="O604" s="18" t="s">
        <v>883</v>
      </c>
      <c r="P604">
        <f t="shared" si="27"/>
        <v>97</v>
      </c>
      <c r="Q604" t="str">
        <f>INDEX(Elemek!$B$2:$B$113,MATCH(M604,Elemek!$C$2:$C$113,0))</f>
        <v>Ru</v>
      </c>
      <c r="R604" t="str">
        <f t="shared" si="28"/>
        <v>8.95908</v>
      </c>
      <c r="S604" t="str">
        <f t="shared" si="29"/>
        <v>8.95908</v>
      </c>
    </row>
    <row r="605" spans="1:19" x14ac:dyDescent="0.25">
      <c r="A605">
        <v>171</v>
      </c>
      <c r="B605" t="s">
        <v>273</v>
      </c>
      <c r="C605">
        <v>181</v>
      </c>
      <c r="D605">
        <v>73</v>
      </c>
      <c r="E605">
        <v>108</v>
      </c>
      <c r="F605" s="18" t="s">
        <v>478</v>
      </c>
      <c r="H605" t="str">
        <f>IF(B605=$H$1,COUNT($H$2:H606)+1," ")</f>
        <v xml:space="preserve"> </v>
      </c>
      <c r="L605">
        <v>604</v>
      </c>
      <c r="M605">
        <v>42</v>
      </c>
      <c r="N605">
        <v>57</v>
      </c>
      <c r="O605" s="18" t="s">
        <v>884</v>
      </c>
      <c r="P605">
        <f t="shared" si="27"/>
        <v>99</v>
      </c>
      <c r="Q605" t="str">
        <f>INDEX(Elemek!$B$2:$B$113,MATCH(M605,Elemek!$C$2:$C$113,0))</f>
        <v>Mo</v>
      </c>
      <c r="R605" t="str">
        <f t="shared" si="28"/>
        <v>8.939669</v>
      </c>
      <c r="S605" t="str">
        <f t="shared" si="29"/>
        <v>8.939669</v>
      </c>
    </row>
    <row r="606" spans="1:19" x14ac:dyDescent="0.25">
      <c r="A606">
        <v>438</v>
      </c>
      <c r="B606" t="s">
        <v>299</v>
      </c>
      <c r="C606">
        <v>181</v>
      </c>
      <c r="D606">
        <v>74</v>
      </c>
      <c r="E606">
        <v>107</v>
      </c>
      <c r="F606" s="18" t="s">
        <v>739</v>
      </c>
      <c r="H606" t="str">
        <f>IF(B606=$H$1,COUNT($H$2:H607)+1," ")</f>
        <v xml:space="preserve"> </v>
      </c>
      <c r="L606">
        <v>605</v>
      </c>
      <c r="M606">
        <v>51</v>
      </c>
      <c r="N606">
        <v>71</v>
      </c>
      <c r="O606" s="18" t="s">
        <v>885</v>
      </c>
      <c r="P606">
        <f t="shared" si="27"/>
        <v>122</v>
      </c>
      <c r="Q606" t="str">
        <f>INDEX(Elemek!$B$2:$B$113,MATCH(M606,Elemek!$C$2:$C$113,0))</f>
        <v>Sb</v>
      </c>
      <c r="R606" t="str">
        <f t="shared" si="28"/>
        <v>8.795346</v>
      </c>
      <c r="S606" t="str">
        <f t="shared" si="29"/>
        <v>8.795346</v>
      </c>
    </row>
    <row r="607" spans="1:19" x14ac:dyDescent="0.25">
      <c r="A607">
        <v>189</v>
      </c>
      <c r="B607" t="s">
        <v>299</v>
      </c>
      <c r="C607">
        <v>182</v>
      </c>
      <c r="D607">
        <v>74</v>
      </c>
      <c r="E607">
        <v>108</v>
      </c>
      <c r="F607" s="18" t="s">
        <v>496</v>
      </c>
      <c r="H607" t="str">
        <f>IF(B607=$H$1,COUNT($H$2:H608)+1," ")</f>
        <v xml:space="preserve"> </v>
      </c>
      <c r="L607">
        <v>606</v>
      </c>
      <c r="M607">
        <v>33</v>
      </c>
      <c r="N607">
        <v>38</v>
      </c>
      <c r="O607" s="18" t="s">
        <v>886</v>
      </c>
      <c r="P607">
        <f t="shared" si="27"/>
        <v>71</v>
      </c>
      <c r="Q607" t="str">
        <f>INDEX(Elemek!$B$2:$B$113,MATCH(M607,Elemek!$C$2:$C$113,0))</f>
        <v>As</v>
      </c>
      <c r="R607" t="str">
        <f t="shared" si="28"/>
        <v>9.027581</v>
      </c>
      <c r="S607" t="str">
        <f t="shared" si="29"/>
        <v>9.027581</v>
      </c>
    </row>
    <row r="608" spans="1:19" x14ac:dyDescent="0.25">
      <c r="A608">
        <v>482</v>
      </c>
      <c r="B608" t="s">
        <v>104</v>
      </c>
      <c r="C608">
        <v>181</v>
      </c>
      <c r="D608">
        <v>72</v>
      </c>
      <c r="E608">
        <v>109</v>
      </c>
      <c r="F608" s="18" t="s">
        <v>778</v>
      </c>
      <c r="H608" t="str">
        <f>IF(B608=$H$1,COUNT($H$2:H609)+1," ")</f>
        <v xml:space="preserve"> </v>
      </c>
      <c r="L608">
        <v>607</v>
      </c>
      <c r="M608">
        <v>79</v>
      </c>
      <c r="N608">
        <v>119</v>
      </c>
      <c r="O608" s="18" t="s">
        <v>887</v>
      </c>
      <c r="P608">
        <f t="shared" si="27"/>
        <v>198</v>
      </c>
      <c r="Q608" t="str">
        <f>INDEX(Elemek!$B$2:$B$113,MATCH(M608,Elemek!$C$2:$C$113,0))</f>
        <v>Au</v>
      </c>
      <c r="R608" t="str">
        <f t="shared" si="28"/>
        <v>8.220732</v>
      </c>
      <c r="S608" t="str">
        <f t="shared" si="29"/>
        <v>8.220732</v>
      </c>
    </row>
    <row r="609" spans="1:19" x14ac:dyDescent="0.25">
      <c r="A609">
        <v>696</v>
      </c>
      <c r="B609" t="s">
        <v>240</v>
      </c>
      <c r="C609">
        <v>181</v>
      </c>
      <c r="D609">
        <v>75</v>
      </c>
      <c r="E609">
        <v>106</v>
      </c>
      <c r="F609" s="18" t="s">
        <v>962</v>
      </c>
      <c r="H609" t="str">
        <f>IF(B609=$H$1,COUNT($H$2:H610)+1," ")</f>
        <v xml:space="preserve"> </v>
      </c>
      <c r="L609">
        <v>608</v>
      </c>
      <c r="M609">
        <v>80</v>
      </c>
      <c r="N609">
        <v>117</v>
      </c>
      <c r="O609" s="18" t="s">
        <v>888</v>
      </c>
      <c r="P609">
        <f t="shared" si="27"/>
        <v>197</v>
      </c>
      <c r="Q609" t="str">
        <f>INDEX(Elemek!$B$2:$B$113,MATCH(M609,Elemek!$C$2:$C$113,0))</f>
        <v>Hg</v>
      </c>
      <c r="R609" t="str">
        <f t="shared" si="28"/>
        <v>8.226358</v>
      </c>
      <c r="S609" t="str">
        <f t="shared" si="29"/>
        <v>8.226358</v>
      </c>
    </row>
    <row r="610" spans="1:19" x14ac:dyDescent="0.25">
      <c r="A610">
        <v>442</v>
      </c>
      <c r="B610" t="s">
        <v>273</v>
      </c>
      <c r="C610">
        <v>182</v>
      </c>
      <c r="D610">
        <v>73</v>
      </c>
      <c r="E610">
        <v>109</v>
      </c>
      <c r="F610" s="18" t="s">
        <v>742</v>
      </c>
      <c r="H610" t="str">
        <f>IF(B610=$H$1,COUNT($H$2:H611)+1," ")</f>
        <v xml:space="preserve"> </v>
      </c>
      <c r="L610">
        <v>609</v>
      </c>
      <c r="M610">
        <v>39</v>
      </c>
      <c r="N610">
        <v>51</v>
      </c>
      <c r="O610" s="18" t="s">
        <v>889</v>
      </c>
      <c r="P610">
        <f t="shared" si="27"/>
        <v>90</v>
      </c>
      <c r="Q610" t="str">
        <f>INDEX(Elemek!$B$2:$B$113,MATCH(M610,Elemek!$C$2:$C$113,0))</f>
        <v>Y</v>
      </c>
      <c r="R610" t="str">
        <f t="shared" si="28"/>
        <v>9.032294</v>
      </c>
      <c r="S610" t="str">
        <f t="shared" si="29"/>
        <v>9.032294</v>
      </c>
    </row>
    <row r="611" spans="1:19" x14ac:dyDescent="0.25">
      <c r="A611">
        <v>198</v>
      </c>
      <c r="B611" t="s">
        <v>299</v>
      </c>
      <c r="C611">
        <v>183</v>
      </c>
      <c r="D611">
        <v>74</v>
      </c>
      <c r="E611">
        <v>109</v>
      </c>
      <c r="F611" s="18" t="s">
        <v>505</v>
      </c>
      <c r="H611" t="str">
        <f>IF(B611=$H$1,COUNT($H$2:H612)+1," ")</f>
        <v xml:space="preserve"> </v>
      </c>
      <c r="L611">
        <v>610</v>
      </c>
      <c r="M611">
        <v>75</v>
      </c>
      <c r="N611">
        <v>107</v>
      </c>
      <c r="O611" s="18" t="s">
        <v>890</v>
      </c>
      <c r="P611">
        <f t="shared" si="27"/>
        <v>182</v>
      </c>
      <c r="Q611" t="str">
        <f>INDEX(Elemek!$B$2:$B$113,MATCH(M611,Elemek!$C$2:$C$113,0))</f>
        <v>Re</v>
      </c>
      <c r="R611" t="str">
        <f t="shared" si="28"/>
        <v>8.321053</v>
      </c>
      <c r="S611" t="str">
        <f t="shared" si="29"/>
        <v>8.321053</v>
      </c>
    </row>
    <row r="612" spans="1:19" x14ac:dyDescent="0.25">
      <c r="A612">
        <v>294</v>
      </c>
      <c r="B612" t="s">
        <v>104</v>
      </c>
      <c r="C612">
        <v>182</v>
      </c>
      <c r="D612">
        <v>72</v>
      </c>
      <c r="E612">
        <v>110</v>
      </c>
      <c r="F612" s="18" t="s">
        <v>601</v>
      </c>
      <c r="H612" t="str">
        <f>IF(B612=$H$1,COUNT($H$2:H613)+1," ")</f>
        <v xml:space="preserve"> </v>
      </c>
      <c r="L612">
        <v>611</v>
      </c>
      <c r="M612">
        <v>69</v>
      </c>
      <c r="N612">
        <v>103</v>
      </c>
      <c r="O612" s="18" t="s">
        <v>891</v>
      </c>
      <c r="P612">
        <f t="shared" si="27"/>
        <v>172</v>
      </c>
      <c r="Q612" t="str">
        <f>INDEX(Elemek!$B$2:$B$113,MATCH(M612,Elemek!$C$2:$C$113,0))</f>
        <v>Tm</v>
      </c>
      <c r="R612" t="str">
        <f t="shared" si="28"/>
        <v>8.404932</v>
      </c>
      <c r="S612" t="str">
        <f t="shared" si="29"/>
        <v>8.404932</v>
      </c>
    </row>
    <row r="613" spans="1:19" x14ac:dyDescent="0.25">
      <c r="A613">
        <v>460</v>
      </c>
      <c r="B613" t="s">
        <v>240</v>
      </c>
      <c r="C613">
        <v>183</v>
      </c>
      <c r="D613">
        <v>75</v>
      </c>
      <c r="E613">
        <v>108</v>
      </c>
      <c r="F613" s="18" t="s">
        <v>758</v>
      </c>
      <c r="H613" t="str">
        <f>IF(B613=$H$1,COUNT($H$2:H614)+1," ")</f>
        <v xml:space="preserve"> </v>
      </c>
      <c r="L613">
        <v>612</v>
      </c>
      <c r="M613">
        <v>29</v>
      </c>
      <c r="N613">
        <v>38</v>
      </c>
      <c r="O613" s="18" t="s">
        <v>892</v>
      </c>
      <c r="P613">
        <f t="shared" si="27"/>
        <v>67</v>
      </c>
      <c r="Q613" t="str">
        <f>INDEX(Elemek!$B$2:$B$113,MATCH(M613,Elemek!$C$2:$C$113,0))</f>
        <v>Cu</v>
      </c>
      <c r="R613" t="str">
        <f t="shared" si="28"/>
        <v>9.076086</v>
      </c>
      <c r="S613" t="str">
        <f t="shared" si="29"/>
        <v>9.076086</v>
      </c>
    </row>
    <row r="614" spans="1:19" x14ac:dyDescent="0.25">
      <c r="A614">
        <v>610</v>
      </c>
      <c r="B614" t="s">
        <v>240</v>
      </c>
      <c r="C614">
        <v>182</v>
      </c>
      <c r="D614">
        <v>75</v>
      </c>
      <c r="E614">
        <v>107</v>
      </c>
      <c r="F614" s="18" t="s">
        <v>890</v>
      </c>
      <c r="H614" t="str">
        <f>IF(B614=$H$1,COUNT($H$2:H615)+1," ")</f>
        <v xml:space="preserve"> </v>
      </c>
      <c r="L614">
        <v>613</v>
      </c>
      <c r="M614">
        <v>21</v>
      </c>
      <c r="N614">
        <v>23</v>
      </c>
      <c r="O614" s="18" t="s">
        <v>893</v>
      </c>
      <c r="P614">
        <f t="shared" si="27"/>
        <v>44</v>
      </c>
      <c r="Q614" t="str">
        <f>INDEX(Elemek!$B$2:$B$113,MATCH(M614,Elemek!$C$2:$C$113,0))</f>
        <v>Sc</v>
      </c>
      <c r="R614" t="str">
        <f t="shared" si="28"/>
        <v>8.924627</v>
      </c>
      <c r="S614" t="str">
        <f t="shared" si="29"/>
        <v>8.924627</v>
      </c>
    </row>
    <row r="615" spans="1:19" x14ac:dyDescent="0.25">
      <c r="A615">
        <v>188</v>
      </c>
      <c r="B615" t="s">
        <v>299</v>
      </c>
      <c r="C615">
        <v>184</v>
      </c>
      <c r="D615">
        <v>74</v>
      </c>
      <c r="E615">
        <v>110</v>
      </c>
      <c r="F615" s="18" t="s">
        <v>495</v>
      </c>
      <c r="H615" t="str">
        <f>IF(B615=$H$1,COUNT($H$2:H616)+1," ")</f>
        <v xml:space="preserve"> </v>
      </c>
      <c r="L615">
        <v>614</v>
      </c>
      <c r="M615">
        <v>56</v>
      </c>
      <c r="N615">
        <v>72</v>
      </c>
      <c r="O615" s="18" t="s">
        <v>894</v>
      </c>
      <c r="P615">
        <f t="shared" si="27"/>
        <v>128</v>
      </c>
      <c r="Q615" t="str">
        <f>INDEX(Elemek!$B$2:$B$113,MATCH(M615,Elemek!$C$2:$C$113,0))</f>
        <v>Ba</v>
      </c>
      <c r="R615" t="str">
        <f t="shared" si="28"/>
        <v>8.738523</v>
      </c>
      <c r="S615" t="str">
        <f t="shared" si="29"/>
        <v>8.738523</v>
      </c>
    </row>
    <row r="616" spans="1:19" x14ac:dyDescent="0.25">
      <c r="A616">
        <v>570</v>
      </c>
      <c r="B616" t="s">
        <v>273</v>
      </c>
      <c r="C616">
        <v>183</v>
      </c>
      <c r="D616">
        <v>73</v>
      </c>
      <c r="E616">
        <v>110</v>
      </c>
      <c r="F616" s="18" t="s">
        <v>856</v>
      </c>
      <c r="H616" t="str">
        <f>IF(B616=$H$1,COUNT($H$2:H617)+1," ")</f>
        <v xml:space="preserve"> </v>
      </c>
      <c r="L616">
        <v>615</v>
      </c>
      <c r="M616">
        <v>35</v>
      </c>
      <c r="N616">
        <v>42</v>
      </c>
      <c r="O616" s="18" t="s">
        <v>895</v>
      </c>
      <c r="P616">
        <f t="shared" si="27"/>
        <v>77</v>
      </c>
      <c r="Q616" t="str">
        <f>INDEX(Elemek!$B$2:$B$113,MATCH(M616,Elemek!$C$2:$C$113,0))</f>
        <v>Br</v>
      </c>
      <c r="R616" t="str">
        <f t="shared" si="28"/>
        <v>9.022431</v>
      </c>
      <c r="S616" t="str">
        <f t="shared" si="29"/>
        <v>9.022431</v>
      </c>
    </row>
    <row r="617" spans="1:19" x14ac:dyDescent="0.25">
      <c r="A617">
        <v>684</v>
      </c>
      <c r="B617" t="s">
        <v>212</v>
      </c>
      <c r="C617">
        <v>182</v>
      </c>
      <c r="D617">
        <v>76</v>
      </c>
      <c r="E617">
        <v>106</v>
      </c>
      <c r="F617" s="18" t="s">
        <v>952</v>
      </c>
      <c r="H617" t="str">
        <f>IF(B617=$H$1,COUNT($H$2:H618)+1," ")</f>
        <v xml:space="preserve"> </v>
      </c>
      <c r="L617">
        <v>616</v>
      </c>
      <c r="M617">
        <v>70</v>
      </c>
      <c r="N617">
        <v>96</v>
      </c>
      <c r="O617" s="18" t="s">
        <v>896</v>
      </c>
      <c r="P617">
        <f t="shared" si="27"/>
        <v>166</v>
      </c>
      <c r="Q617" t="str">
        <f>INDEX(Elemek!$B$2:$B$113,MATCH(M617,Elemek!$C$2:$C$113,0))</f>
        <v>Yb</v>
      </c>
      <c r="R617" t="str">
        <f t="shared" si="28"/>
        <v>8.44234</v>
      </c>
      <c r="S617" t="str">
        <f t="shared" si="29"/>
        <v>8.44234</v>
      </c>
    </row>
    <row r="618" spans="1:19" x14ac:dyDescent="0.25">
      <c r="A618">
        <v>926</v>
      </c>
      <c r="B618" t="s">
        <v>212</v>
      </c>
      <c r="C618">
        <v>181</v>
      </c>
      <c r="D618">
        <v>76</v>
      </c>
      <c r="E618">
        <v>105</v>
      </c>
      <c r="F618" s="18" t="s">
        <v>1149</v>
      </c>
      <c r="H618" t="str">
        <f>IF(B618=$H$1,COUNT($H$2:H619)+1," ")</f>
        <v xml:space="preserve"> </v>
      </c>
      <c r="L618">
        <v>617</v>
      </c>
      <c r="M618">
        <v>73</v>
      </c>
      <c r="N618">
        <v>104</v>
      </c>
      <c r="O618" s="18" t="s">
        <v>897</v>
      </c>
      <c r="P618">
        <f t="shared" si="27"/>
        <v>177</v>
      </c>
      <c r="Q618" t="str">
        <f>INDEX(Elemek!$B$2:$B$113,MATCH(M618,Elemek!$C$2:$C$113,0))</f>
        <v>Ta</v>
      </c>
      <c r="R618" t="str">
        <f t="shared" si="28"/>
        <v>8.363553</v>
      </c>
      <c r="S618" t="str">
        <f t="shared" si="29"/>
        <v>8.363553</v>
      </c>
    </row>
    <row r="619" spans="1:19" x14ac:dyDescent="0.25">
      <c r="A619">
        <v>276</v>
      </c>
      <c r="B619" t="s">
        <v>212</v>
      </c>
      <c r="C619">
        <v>184</v>
      </c>
      <c r="D619">
        <v>76</v>
      </c>
      <c r="E619">
        <v>108</v>
      </c>
      <c r="F619" s="18" t="s">
        <v>583</v>
      </c>
      <c r="H619" t="str">
        <f>IF(B619=$H$1,COUNT($H$2:H620)+1," ")</f>
        <v xml:space="preserve"> </v>
      </c>
      <c r="L619">
        <v>618</v>
      </c>
      <c r="M619">
        <v>93</v>
      </c>
      <c r="N619">
        <v>146</v>
      </c>
      <c r="O619" s="18" t="s">
        <v>898</v>
      </c>
      <c r="P619">
        <f t="shared" si="27"/>
        <v>239</v>
      </c>
      <c r="Q619" t="str">
        <f>INDEX(Elemek!$B$2:$B$113,MATCH(M619,Elemek!$C$2:$C$113,0))</f>
        <v>Np</v>
      </c>
      <c r="R619" t="str">
        <f t="shared" si="28"/>
        <v>7.864999</v>
      </c>
      <c r="S619" t="str">
        <f t="shared" si="29"/>
        <v>7.864999</v>
      </c>
    </row>
    <row r="620" spans="1:19" x14ac:dyDescent="0.25">
      <c r="A620">
        <v>426</v>
      </c>
      <c r="B620" t="s">
        <v>240</v>
      </c>
      <c r="C620">
        <v>184</v>
      </c>
      <c r="D620">
        <v>75</v>
      </c>
      <c r="E620">
        <v>109</v>
      </c>
      <c r="F620" s="18" t="s">
        <v>728</v>
      </c>
      <c r="H620" t="str">
        <f>IF(B620=$H$1,COUNT($H$2:H621)+1," ")</f>
        <v xml:space="preserve"> </v>
      </c>
      <c r="L620">
        <v>619</v>
      </c>
      <c r="M620">
        <v>65</v>
      </c>
      <c r="N620">
        <v>88</v>
      </c>
      <c r="O620" s="18" t="s">
        <v>899</v>
      </c>
      <c r="P620">
        <f t="shared" si="27"/>
        <v>153</v>
      </c>
      <c r="Q620" t="str">
        <f>INDEX(Elemek!$B$2:$B$113,MATCH(M620,Elemek!$C$2:$C$113,0))</f>
        <v>Tb</v>
      </c>
      <c r="R620" t="str">
        <f t="shared" si="28"/>
        <v>8.537471</v>
      </c>
      <c r="S620" t="str">
        <f t="shared" si="29"/>
        <v>8.537471</v>
      </c>
    </row>
    <row r="621" spans="1:19" x14ac:dyDescent="0.25">
      <c r="A621">
        <v>731</v>
      </c>
      <c r="B621" t="s">
        <v>212</v>
      </c>
      <c r="C621">
        <v>183</v>
      </c>
      <c r="D621">
        <v>76</v>
      </c>
      <c r="E621">
        <v>107</v>
      </c>
      <c r="F621" s="18" t="s">
        <v>992</v>
      </c>
      <c r="H621" t="str">
        <f>IF(B621=$H$1,COUNT($H$2:H622)+1," ")</f>
        <v xml:space="preserve"> </v>
      </c>
      <c r="L621">
        <v>620</v>
      </c>
      <c r="M621">
        <v>28</v>
      </c>
      <c r="N621">
        <v>38</v>
      </c>
      <c r="O621" s="18" t="s">
        <v>900</v>
      </c>
      <c r="P621">
        <f t="shared" si="27"/>
        <v>66</v>
      </c>
      <c r="Q621" t="str">
        <f>INDEX(Elemek!$B$2:$B$113,MATCH(M621,Elemek!$C$2:$C$113,0))</f>
        <v>Ni</v>
      </c>
      <c r="R621" t="str">
        <f t="shared" si="28"/>
        <v>9.071423</v>
      </c>
      <c r="S621" t="str">
        <f t="shared" si="29"/>
        <v>9.071423</v>
      </c>
    </row>
    <row r="622" spans="1:19" x14ac:dyDescent="0.25">
      <c r="A622">
        <v>172</v>
      </c>
      <c r="B622" t="s">
        <v>240</v>
      </c>
      <c r="C622">
        <v>185</v>
      </c>
      <c r="D622">
        <v>75</v>
      </c>
      <c r="E622">
        <v>110</v>
      </c>
      <c r="F622" s="18" t="s">
        <v>479</v>
      </c>
      <c r="H622" t="str">
        <f>IF(B622=$H$1,COUNT($H$2:H623)+1," ")</f>
        <v xml:space="preserve"> </v>
      </c>
      <c r="L622">
        <v>621</v>
      </c>
      <c r="M622">
        <v>94</v>
      </c>
      <c r="N622">
        <v>153</v>
      </c>
      <c r="O622" s="18" t="s">
        <v>901</v>
      </c>
      <c r="P622">
        <f t="shared" si="27"/>
        <v>247</v>
      </c>
      <c r="Q622" t="str">
        <f>INDEX(Elemek!$B$2:$B$113,MATCH(M622,Elemek!$C$2:$C$113,0))</f>
        <v>Pu</v>
      </c>
      <c r="R622" t="str">
        <f t="shared" si="28"/>
        <v>7.791975</v>
      </c>
      <c r="S622" t="str">
        <f t="shared" si="29"/>
        <v>7.791975</v>
      </c>
    </row>
    <row r="623" spans="1:19" x14ac:dyDescent="0.25">
      <c r="A623">
        <v>981</v>
      </c>
      <c r="B623" t="s">
        <v>104</v>
      </c>
      <c r="C623">
        <v>183</v>
      </c>
      <c r="D623">
        <v>72</v>
      </c>
      <c r="E623">
        <v>111</v>
      </c>
      <c r="F623" s="18" t="s">
        <v>1191</v>
      </c>
      <c r="H623" t="str">
        <f>IF(B623=$H$1,COUNT($H$2:H624)+1," ")</f>
        <v xml:space="preserve"> </v>
      </c>
      <c r="L623">
        <v>622</v>
      </c>
      <c r="M623">
        <v>79</v>
      </c>
      <c r="N623">
        <v>119</v>
      </c>
      <c r="O623" s="18"/>
      <c r="P623">
        <f t="shared" si="27"/>
        <v>198</v>
      </c>
      <c r="Q623" t="str">
        <f>INDEX(Elemek!$B$2:$B$113,MATCH(M623,Elemek!$C$2:$C$113,0))</f>
        <v>Au</v>
      </c>
      <c r="R623" t="e">
        <f t="shared" si="28"/>
        <v>#DIV/0!</v>
      </c>
      <c r="S623" t="e">
        <f t="shared" si="29"/>
        <v>#DIV/0!</v>
      </c>
    </row>
    <row r="624" spans="1:19" x14ac:dyDescent="0.25">
      <c r="A624">
        <v>397</v>
      </c>
      <c r="B624" t="s">
        <v>184</v>
      </c>
      <c r="C624">
        <v>22</v>
      </c>
      <c r="D624">
        <v>11</v>
      </c>
      <c r="E624">
        <v>11</v>
      </c>
      <c r="F624" s="18" t="s">
        <v>701</v>
      </c>
      <c r="H624" t="str">
        <f>IF(B624=$H$1,COUNT($H$2:H625)+1," ")</f>
        <v xml:space="preserve"> </v>
      </c>
      <c r="L624">
        <v>623</v>
      </c>
      <c r="M624">
        <v>48</v>
      </c>
      <c r="N624">
        <v>67</v>
      </c>
      <c r="O624" s="18"/>
      <c r="P624">
        <f t="shared" si="27"/>
        <v>115</v>
      </c>
      <c r="Q624" t="str">
        <f>INDEX(Elemek!$B$2:$B$113,MATCH(M624,Elemek!$C$2:$C$113,0))</f>
        <v>Cd</v>
      </c>
      <c r="R624" t="e">
        <f t="shared" si="28"/>
        <v>#DIV/0!</v>
      </c>
      <c r="S624" t="e">
        <f t="shared" si="29"/>
        <v>#DIV/0!</v>
      </c>
    </row>
    <row r="625" spans="1:19" x14ac:dyDescent="0.25">
      <c r="A625">
        <v>456</v>
      </c>
      <c r="B625" t="s">
        <v>299</v>
      </c>
      <c r="C625">
        <v>185</v>
      </c>
      <c r="D625">
        <v>74</v>
      </c>
      <c r="E625">
        <v>111</v>
      </c>
      <c r="F625" s="18" t="s">
        <v>755</v>
      </c>
      <c r="H625" t="str">
        <f>IF(B625=$H$1,COUNT($H$2:H626)+1," ")</f>
        <v xml:space="preserve"> </v>
      </c>
      <c r="L625">
        <v>624</v>
      </c>
      <c r="M625">
        <v>61</v>
      </c>
      <c r="N625">
        <v>88</v>
      </c>
      <c r="O625" s="18" t="s">
        <v>902</v>
      </c>
      <c r="P625">
        <f t="shared" si="27"/>
        <v>149</v>
      </c>
      <c r="Q625" t="str">
        <f>INDEX(Elemek!$B$2:$B$113,MATCH(M625,Elemek!$C$2:$C$113,0))</f>
        <v>Pm</v>
      </c>
      <c r="R625" t="str">
        <f t="shared" si="28"/>
        <v>8.581871</v>
      </c>
      <c r="S625" t="str">
        <f t="shared" si="29"/>
        <v>8.581871</v>
      </c>
    </row>
    <row r="626" spans="1:19" x14ac:dyDescent="0.25">
      <c r="A626">
        <v>770</v>
      </c>
      <c r="B626" t="s">
        <v>273</v>
      </c>
      <c r="C626">
        <v>184</v>
      </c>
      <c r="D626">
        <v>73</v>
      </c>
      <c r="E626">
        <v>111</v>
      </c>
      <c r="F626" s="18" t="s">
        <v>1020</v>
      </c>
      <c r="H626" t="str">
        <f>IF(B626=$H$1,COUNT($H$2:H627)+1," ")</f>
        <v xml:space="preserve"> </v>
      </c>
      <c r="L626">
        <v>625</v>
      </c>
      <c r="M626">
        <v>54</v>
      </c>
      <c r="N626">
        <v>79</v>
      </c>
      <c r="O626" s="18"/>
      <c r="P626">
        <f t="shared" si="27"/>
        <v>133</v>
      </c>
      <c r="Q626" t="str">
        <f>INDEX(Elemek!$B$2:$B$113,MATCH(M626,Elemek!$C$2:$C$113,0))</f>
        <v>Xe</v>
      </c>
      <c r="R626" t="e">
        <f t="shared" si="28"/>
        <v>#DIV/0!</v>
      </c>
      <c r="S626" t="e">
        <f t="shared" si="29"/>
        <v>#DIV/0!</v>
      </c>
    </row>
    <row r="627" spans="1:19" x14ac:dyDescent="0.25">
      <c r="A627">
        <v>446</v>
      </c>
      <c r="B627" t="s">
        <v>212</v>
      </c>
      <c r="C627">
        <v>185</v>
      </c>
      <c r="D627">
        <v>76</v>
      </c>
      <c r="E627">
        <v>109</v>
      </c>
      <c r="F627" s="18" t="s">
        <v>746</v>
      </c>
      <c r="H627" t="str">
        <f>IF(B627=$H$1,COUNT($H$2:H628)+1," ")</f>
        <v xml:space="preserve"> </v>
      </c>
      <c r="L627">
        <v>626</v>
      </c>
      <c r="M627">
        <v>82</v>
      </c>
      <c r="N627">
        <v>121</v>
      </c>
      <c r="O627" s="18" t="s">
        <v>903</v>
      </c>
      <c r="P627">
        <f t="shared" si="27"/>
        <v>203</v>
      </c>
      <c r="Q627" t="str">
        <f>INDEX(Elemek!$B$2:$B$113,MATCH(M627,Elemek!$C$2:$C$113,0))</f>
        <v>Pb</v>
      </c>
      <c r="R627" t="str">
        <f t="shared" si="28"/>
        <v>8.193431</v>
      </c>
      <c r="S627" t="str">
        <f t="shared" si="29"/>
        <v>8.193431</v>
      </c>
    </row>
    <row r="628" spans="1:19" x14ac:dyDescent="0.25">
      <c r="A628">
        <v>273</v>
      </c>
      <c r="B628" t="s">
        <v>212</v>
      </c>
      <c r="C628">
        <v>186</v>
      </c>
      <c r="D628">
        <v>76</v>
      </c>
      <c r="E628">
        <v>110</v>
      </c>
      <c r="F628" s="18" t="s">
        <v>580</v>
      </c>
      <c r="H628" t="str">
        <f>IF(B628=$H$1,COUNT($H$2:H629)+1," ")</f>
        <v xml:space="preserve"> </v>
      </c>
      <c r="L628">
        <v>627</v>
      </c>
      <c r="M628">
        <v>93</v>
      </c>
      <c r="N628">
        <v>145</v>
      </c>
      <c r="O628" s="18" t="s">
        <v>904</v>
      </c>
      <c r="P628">
        <f t="shared" si="27"/>
        <v>238</v>
      </c>
      <c r="Q628" t="str">
        <f>INDEX(Elemek!$B$2:$B$113,MATCH(M628,Elemek!$C$2:$C$113,0))</f>
        <v>Np</v>
      </c>
      <c r="R628" t="str">
        <f t="shared" si="28"/>
        <v>7.871931</v>
      </c>
      <c r="S628" t="str">
        <f t="shared" si="29"/>
        <v>7.871931</v>
      </c>
    </row>
    <row r="629" spans="1:19" x14ac:dyDescent="0.25">
      <c r="A629">
        <v>213</v>
      </c>
      <c r="B629" t="s">
        <v>299</v>
      </c>
      <c r="C629">
        <v>186</v>
      </c>
      <c r="D629">
        <v>74</v>
      </c>
      <c r="E629">
        <v>112</v>
      </c>
      <c r="F629" s="18" t="s">
        <v>520</v>
      </c>
      <c r="H629" t="str">
        <f>IF(B629=$H$1,COUNT($H$2:H630)+1," ")</f>
        <v xml:space="preserve"> </v>
      </c>
      <c r="L629">
        <v>628</v>
      </c>
      <c r="M629">
        <v>95</v>
      </c>
      <c r="N629">
        <v>145</v>
      </c>
      <c r="O629" s="18" t="s">
        <v>905</v>
      </c>
      <c r="P629">
        <f t="shared" si="27"/>
        <v>240</v>
      </c>
      <c r="Q629" t="str">
        <f>INDEX(Elemek!$B$2:$B$113,MATCH(M629,Elemek!$C$2:$C$113,0))</f>
        <v>Am</v>
      </c>
      <c r="R629" t="str">
        <f t="shared" si="28"/>
        <v>7.856694</v>
      </c>
      <c r="S629" t="str">
        <f t="shared" si="29"/>
        <v>7.856694</v>
      </c>
    </row>
    <row r="630" spans="1:19" x14ac:dyDescent="0.25">
      <c r="A630">
        <v>832</v>
      </c>
      <c r="B630" t="s">
        <v>104</v>
      </c>
      <c r="C630">
        <v>184</v>
      </c>
      <c r="D630">
        <v>72</v>
      </c>
      <c r="E630">
        <v>112</v>
      </c>
      <c r="F630" s="18" t="s">
        <v>1073</v>
      </c>
      <c r="H630" t="str">
        <f>IF(B630=$H$1,COUNT($H$2:H631)+1," ")</f>
        <v xml:space="preserve"> </v>
      </c>
      <c r="L630">
        <v>629</v>
      </c>
      <c r="M630">
        <v>68</v>
      </c>
      <c r="N630">
        <v>104</v>
      </c>
      <c r="O630" s="18" t="s">
        <v>906</v>
      </c>
      <c r="P630">
        <f t="shared" si="27"/>
        <v>172</v>
      </c>
      <c r="Q630" t="str">
        <f>INDEX(Elemek!$B$2:$B$113,MATCH(M630,Elemek!$C$2:$C$113,0))</f>
        <v>Er</v>
      </c>
      <c r="R630" t="str">
        <f t="shared" si="28"/>
        <v>8.399752</v>
      </c>
      <c r="S630" t="str">
        <f t="shared" si="29"/>
        <v>8.399752</v>
      </c>
    </row>
    <row r="631" spans="1:19" x14ac:dyDescent="0.25">
      <c r="A631">
        <v>317</v>
      </c>
      <c r="B631" t="s">
        <v>240</v>
      </c>
      <c r="C631">
        <v>186</v>
      </c>
      <c r="D631">
        <v>75</v>
      </c>
      <c r="E631">
        <v>111</v>
      </c>
      <c r="F631" s="18" t="s">
        <v>624</v>
      </c>
      <c r="H631" t="str">
        <f>IF(B631=$H$1,COUNT($H$2:H632)+1," ")</f>
        <v xml:space="preserve"> </v>
      </c>
      <c r="L631">
        <v>630</v>
      </c>
      <c r="M631">
        <v>71</v>
      </c>
      <c r="N631">
        <v>99</v>
      </c>
      <c r="O631" s="18" t="s">
        <v>907</v>
      </c>
      <c r="P631">
        <f t="shared" si="27"/>
        <v>170</v>
      </c>
      <c r="Q631" t="str">
        <f>INDEX(Elemek!$B$2:$B$113,MATCH(M631,Elemek!$C$2:$C$113,0))</f>
        <v>Lu</v>
      </c>
      <c r="R631" t="str">
        <f t="shared" si="28"/>
        <v>8.408445</v>
      </c>
      <c r="S631" t="str">
        <f t="shared" si="29"/>
        <v>8.408445</v>
      </c>
    </row>
    <row r="632" spans="1:19" x14ac:dyDescent="0.25">
      <c r="A632">
        <v>246</v>
      </c>
      <c r="B632" t="s">
        <v>212</v>
      </c>
      <c r="C632">
        <v>187</v>
      </c>
      <c r="D632">
        <v>76</v>
      </c>
      <c r="E632">
        <v>111</v>
      </c>
      <c r="F632" s="18" t="s">
        <v>553</v>
      </c>
      <c r="H632" t="str">
        <f>IF(B632=$H$1,COUNT($H$2:H633)+1," ")</f>
        <v xml:space="preserve"> </v>
      </c>
      <c r="L632">
        <v>631</v>
      </c>
      <c r="M632">
        <v>30</v>
      </c>
      <c r="N632">
        <v>42</v>
      </c>
      <c r="O632" s="18" t="s">
        <v>908</v>
      </c>
      <c r="P632">
        <f t="shared" si="27"/>
        <v>72</v>
      </c>
      <c r="Q632" t="str">
        <f>INDEX(Elemek!$B$2:$B$113,MATCH(M632,Elemek!$C$2:$C$113,0))</f>
        <v>Zn</v>
      </c>
      <c r="R632" t="str">
        <f t="shared" si="28"/>
        <v>9.017591</v>
      </c>
      <c r="S632" t="str">
        <f t="shared" si="29"/>
        <v>9.017591</v>
      </c>
    </row>
    <row r="633" spans="1:19" x14ac:dyDescent="0.25">
      <c r="A633">
        <v>281</v>
      </c>
      <c r="B633" t="s">
        <v>240</v>
      </c>
      <c r="C633">
        <v>187</v>
      </c>
      <c r="D633">
        <v>75</v>
      </c>
      <c r="E633">
        <v>112</v>
      </c>
      <c r="F633" s="18" t="s">
        <v>588</v>
      </c>
      <c r="H633" t="str">
        <f>IF(B633=$H$1,COUNT($H$2:H634)+1," ")</f>
        <v xml:space="preserve"> </v>
      </c>
      <c r="L633">
        <v>632</v>
      </c>
      <c r="M633">
        <v>62</v>
      </c>
      <c r="N633">
        <v>91</v>
      </c>
      <c r="O633" s="18" t="s">
        <v>909</v>
      </c>
      <c r="P633">
        <f t="shared" si="27"/>
        <v>153</v>
      </c>
      <c r="Q633" t="str">
        <f>INDEX(Elemek!$B$2:$B$113,MATCH(M633,Elemek!$C$2:$C$113,0))</f>
        <v>Sm</v>
      </c>
      <c r="R633" t="str">
        <f t="shared" si="28"/>
        <v>8.545614</v>
      </c>
      <c r="S633" t="str">
        <f t="shared" si="29"/>
        <v>8.545614</v>
      </c>
    </row>
    <row r="634" spans="1:19" x14ac:dyDescent="0.25">
      <c r="A634">
        <v>215</v>
      </c>
      <c r="B634" t="s">
        <v>212</v>
      </c>
      <c r="C634">
        <v>188</v>
      </c>
      <c r="D634">
        <v>76</v>
      </c>
      <c r="E634">
        <v>112</v>
      </c>
      <c r="F634" s="18" t="s">
        <v>522</v>
      </c>
      <c r="H634" t="str">
        <f>IF(B634=$H$1,COUNT($H$2:H635)+1," ")</f>
        <v xml:space="preserve"> </v>
      </c>
      <c r="L634">
        <v>633</v>
      </c>
      <c r="M634">
        <v>78</v>
      </c>
      <c r="N634">
        <v>124</v>
      </c>
      <c r="O634" s="18" t="s">
        <v>910</v>
      </c>
      <c r="P634">
        <f t="shared" si="27"/>
        <v>202</v>
      </c>
      <c r="Q634" t="str">
        <f>INDEX(Elemek!$B$2:$B$113,MATCH(M634,Elemek!$C$2:$C$113,0))</f>
        <v>Pt</v>
      </c>
      <c r="R634" t="str">
        <f t="shared" si="28"/>
        <v>8.183209</v>
      </c>
      <c r="S634" t="str">
        <f t="shared" si="29"/>
        <v>8.183209</v>
      </c>
    </row>
    <row r="635" spans="1:19" x14ac:dyDescent="0.25">
      <c r="A635">
        <v>723</v>
      </c>
      <c r="B635" t="s">
        <v>123</v>
      </c>
      <c r="C635">
        <v>185</v>
      </c>
      <c r="D635">
        <v>77</v>
      </c>
      <c r="E635">
        <v>108</v>
      </c>
      <c r="F635" s="18" t="s">
        <v>986</v>
      </c>
      <c r="H635" t="str">
        <f>IF(B635=$H$1,COUNT($H$2:H636)+1," ")</f>
        <v xml:space="preserve"> </v>
      </c>
      <c r="L635">
        <v>634</v>
      </c>
      <c r="M635">
        <v>21</v>
      </c>
      <c r="N635">
        <v>27</v>
      </c>
      <c r="O635" s="18" t="s">
        <v>911</v>
      </c>
      <c r="P635">
        <f t="shared" si="27"/>
        <v>48</v>
      </c>
      <c r="Q635" t="str">
        <f>INDEX(Elemek!$B$2:$B$113,MATCH(M635,Elemek!$C$2:$C$113,0))</f>
        <v>Sc</v>
      </c>
      <c r="R635" t="str">
        <f t="shared" si="28"/>
        <v>8.998327</v>
      </c>
      <c r="S635" t="str">
        <f t="shared" si="29"/>
        <v>8.998327</v>
      </c>
    </row>
    <row r="636" spans="1:19" x14ac:dyDescent="0.25">
      <c r="A636">
        <v>861</v>
      </c>
      <c r="B636" t="s">
        <v>123</v>
      </c>
      <c r="C636">
        <v>184</v>
      </c>
      <c r="D636">
        <v>77</v>
      </c>
      <c r="E636">
        <v>107</v>
      </c>
      <c r="F636" s="18" t="s">
        <v>1097</v>
      </c>
      <c r="H636" t="str">
        <f>IF(B636=$H$1,COUNT($H$2:H637)+1," ")</f>
        <v xml:space="preserve"> </v>
      </c>
      <c r="L636">
        <v>635</v>
      </c>
      <c r="M636">
        <v>97</v>
      </c>
      <c r="N636">
        <v>149</v>
      </c>
      <c r="O636" s="18" t="s">
        <v>912</v>
      </c>
      <c r="P636">
        <f t="shared" si="27"/>
        <v>246</v>
      </c>
      <c r="Q636" t="str">
        <f>INDEX(Elemek!$B$2:$B$113,MATCH(M636,Elemek!$C$2:$C$113,0))</f>
        <v>Bk</v>
      </c>
      <c r="R636" t="str">
        <f t="shared" si="28"/>
        <v>7.811287</v>
      </c>
      <c r="S636" t="str">
        <f t="shared" si="29"/>
        <v>7.811287</v>
      </c>
    </row>
    <row r="637" spans="1:19" x14ac:dyDescent="0.25">
      <c r="A637">
        <v>677</v>
      </c>
      <c r="B637" t="s">
        <v>299</v>
      </c>
      <c r="C637">
        <v>187</v>
      </c>
      <c r="D637">
        <v>74</v>
      </c>
      <c r="E637">
        <v>113</v>
      </c>
      <c r="F637" s="18" t="s">
        <v>947</v>
      </c>
      <c r="H637" t="str">
        <f>IF(B637=$H$1,COUNT($H$2:H638)+1," ")</f>
        <v xml:space="preserve"> </v>
      </c>
      <c r="L637">
        <v>636</v>
      </c>
      <c r="M637">
        <v>80</v>
      </c>
      <c r="N637">
        <v>115</v>
      </c>
      <c r="O637" s="18" t="s">
        <v>913</v>
      </c>
      <c r="P637">
        <f t="shared" si="27"/>
        <v>195</v>
      </c>
      <c r="Q637" t="str">
        <f>INDEX(Elemek!$B$2:$B$113,MATCH(M637,Elemek!$C$2:$C$113,0))</f>
        <v>Hg</v>
      </c>
      <c r="R637" t="str">
        <f t="shared" si="28"/>
        <v>8.229399</v>
      </c>
      <c r="S637" t="str">
        <f t="shared" si="29"/>
        <v>8.229399</v>
      </c>
    </row>
    <row r="638" spans="1:19" x14ac:dyDescent="0.25">
      <c r="A638">
        <v>749</v>
      </c>
      <c r="B638" t="s">
        <v>123</v>
      </c>
      <c r="C638">
        <v>187</v>
      </c>
      <c r="D638">
        <v>77</v>
      </c>
      <c r="E638">
        <v>110</v>
      </c>
      <c r="F638" s="18" t="s">
        <v>1007</v>
      </c>
      <c r="H638" t="str">
        <f>IF(B638=$H$1,COUNT($H$2:H639)+1," ")</f>
        <v xml:space="preserve"> </v>
      </c>
      <c r="L638">
        <v>637</v>
      </c>
      <c r="M638">
        <v>77</v>
      </c>
      <c r="N638">
        <v>111</v>
      </c>
      <c r="O638" s="18" t="s">
        <v>914</v>
      </c>
      <c r="P638">
        <f t="shared" si="27"/>
        <v>188</v>
      </c>
      <c r="Q638" t="str">
        <f>INDEX(Elemek!$B$2:$B$113,MATCH(M638,Elemek!$C$2:$C$113,0))</f>
        <v>Ir</v>
      </c>
      <c r="R638" t="str">
        <f t="shared" si="28"/>
        <v>8.2752</v>
      </c>
      <c r="S638" t="str">
        <f t="shared" si="29"/>
        <v>8.2752</v>
      </c>
    </row>
    <row r="639" spans="1:19" x14ac:dyDescent="0.25">
      <c r="A639">
        <v>711</v>
      </c>
      <c r="B639" t="s">
        <v>123</v>
      </c>
      <c r="C639">
        <v>186</v>
      </c>
      <c r="D639">
        <v>77</v>
      </c>
      <c r="E639">
        <v>109</v>
      </c>
      <c r="F639" s="18" t="s">
        <v>976</v>
      </c>
      <c r="H639" t="str">
        <f>IF(B639=$H$1,COUNT($H$2:H640)+1," ")</f>
        <v xml:space="preserve"> </v>
      </c>
      <c r="L639">
        <v>638</v>
      </c>
      <c r="M639">
        <v>57</v>
      </c>
      <c r="N639">
        <v>83</v>
      </c>
      <c r="O639" s="18" t="s">
        <v>915</v>
      </c>
      <c r="P639">
        <f t="shared" si="27"/>
        <v>140</v>
      </c>
      <c r="Q639" t="str">
        <f>INDEX(Elemek!$B$2:$B$113,MATCH(M639,Elemek!$C$2:$C$113,0))</f>
        <v>La</v>
      </c>
      <c r="R639" t="str">
        <f t="shared" si="28"/>
        <v>8.67362</v>
      </c>
      <c r="S639" t="str">
        <f t="shared" si="29"/>
        <v>8.67362</v>
      </c>
    </row>
    <row r="640" spans="1:19" x14ac:dyDescent="0.25">
      <c r="A640">
        <v>708</v>
      </c>
      <c r="B640" t="s">
        <v>240</v>
      </c>
      <c r="C640">
        <v>188</v>
      </c>
      <c r="D640">
        <v>75</v>
      </c>
      <c r="E640">
        <v>113</v>
      </c>
      <c r="F640" s="18" t="s">
        <v>973</v>
      </c>
      <c r="H640" t="str">
        <f>IF(B640=$H$1,COUNT($H$2:H641)+1," ")</f>
        <v xml:space="preserve"> </v>
      </c>
      <c r="L640">
        <v>639</v>
      </c>
      <c r="M640">
        <v>99</v>
      </c>
      <c r="N640">
        <v>155</v>
      </c>
      <c r="O640" s="18"/>
      <c r="P640">
        <f t="shared" si="27"/>
        <v>254</v>
      </c>
      <c r="Q640" t="str">
        <f>INDEX(Elemek!$B$2:$B$113,MATCH(M640,Elemek!$C$2:$C$113,0))</f>
        <v>Es</v>
      </c>
      <c r="R640" t="e">
        <f t="shared" si="28"/>
        <v>#DIV/0!</v>
      </c>
      <c r="S640" t="e">
        <f t="shared" si="29"/>
        <v>#DIV/0!</v>
      </c>
    </row>
    <row r="641" spans="1:19" x14ac:dyDescent="0.25">
      <c r="A641">
        <v>245</v>
      </c>
      <c r="B641" t="s">
        <v>212</v>
      </c>
      <c r="C641">
        <v>189</v>
      </c>
      <c r="D641">
        <v>76</v>
      </c>
      <c r="E641">
        <v>113</v>
      </c>
      <c r="F641" s="18" t="s">
        <v>552</v>
      </c>
      <c r="H641" t="str">
        <f>IF(B641=$H$1,COUNT($H$2:H642)+1," ")</f>
        <v xml:space="preserve"> </v>
      </c>
      <c r="L641">
        <v>640</v>
      </c>
      <c r="M641">
        <v>32</v>
      </c>
      <c r="N641">
        <v>37</v>
      </c>
      <c r="O641" s="18" t="s">
        <v>916</v>
      </c>
      <c r="P641">
        <f t="shared" si="27"/>
        <v>69</v>
      </c>
      <c r="Q641" t="str">
        <f>INDEX(Elemek!$B$2:$B$113,MATCH(M641,Elemek!$C$2:$C$113,0))</f>
        <v>Ge</v>
      </c>
      <c r="R641" t="str">
        <f t="shared" si="28"/>
        <v>9.0438</v>
      </c>
      <c r="S641" t="str">
        <f t="shared" si="29"/>
        <v>9.0438</v>
      </c>
    </row>
    <row r="642" spans="1:19" x14ac:dyDescent="0.25">
      <c r="A642">
        <v>462</v>
      </c>
      <c r="B642" t="s">
        <v>299</v>
      </c>
      <c r="C642">
        <v>188</v>
      </c>
      <c r="D642">
        <v>74</v>
      </c>
      <c r="E642">
        <v>114</v>
      </c>
      <c r="F642" s="18" t="s">
        <v>760</v>
      </c>
      <c r="H642" t="str">
        <f>IF(B642=$H$1,COUNT($H$2:H643)+1," ")</f>
        <v xml:space="preserve"> </v>
      </c>
      <c r="L642">
        <v>641</v>
      </c>
      <c r="M642">
        <v>56</v>
      </c>
      <c r="N642">
        <v>77</v>
      </c>
      <c r="O642" s="18"/>
      <c r="P642">
        <f t="shared" si="27"/>
        <v>133</v>
      </c>
      <c r="Q642" t="str">
        <f>INDEX(Elemek!$B$2:$B$113,MATCH(M642,Elemek!$C$2:$C$113,0))</f>
        <v>Ba</v>
      </c>
      <c r="R642" t="e">
        <f t="shared" si="28"/>
        <v>#DIV/0!</v>
      </c>
      <c r="S642" t="e">
        <f t="shared" si="29"/>
        <v>#DIV/0!</v>
      </c>
    </row>
    <row r="643" spans="1:19" x14ac:dyDescent="0.25">
      <c r="A643">
        <v>637</v>
      </c>
      <c r="B643" t="s">
        <v>123</v>
      </c>
      <c r="C643">
        <v>188</v>
      </c>
      <c r="D643">
        <v>77</v>
      </c>
      <c r="E643">
        <v>111</v>
      </c>
      <c r="F643" s="18" t="s">
        <v>914</v>
      </c>
      <c r="H643" t="str">
        <f>IF(B643=$H$1,COUNT($H$2:H644)+1," ")</f>
        <v xml:space="preserve"> </v>
      </c>
      <c r="L643">
        <v>642</v>
      </c>
      <c r="M643">
        <v>33</v>
      </c>
      <c r="N643">
        <v>44</v>
      </c>
      <c r="O643" s="18" t="s">
        <v>917</v>
      </c>
      <c r="P643">
        <f t="shared" ref="P643:P706" si="30">N643+M643</f>
        <v>77</v>
      </c>
      <c r="Q643" t="str">
        <f>INDEX(Elemek!$B$2:$B$113,MATCH(M643,Elemek!$C$2:$C$113,0))</f>
        <v>As</v>
      </c>
      <c r="R643" t="str">
        <f t="shared" ref="R643:R706" si="31">IF(NOT(ISBLANK(O643)),O643,ROUNDDOWN(AVERAGE($O$2:$O$990),2))</f>
        <v>9.031283</v>
      </c>
      <c r="S643" t="str">
        <f t="shared" ref="S643:S706" si="32">IF(ISBLANK(O643),ROUNDDOWN(AVERAGEIF($M$2:$M$990,M643,$O$2:$O$990),2),O643)</f>
        <v>9.031283</v>
      </c>
    </row>
    <row r="644" spans="1:19" x14ac:dyDescent="0.25">
      <c r="A644">
        <v>210</v>
      </c>
      <c r="B644" t="s">
        <v>212</v>
      </c>
      <c r="C644">
        <v>190</v>
      </c>
      <c r="D644">
        <v>76</v>
      </c>
      <c r="E644">
        <v>114</v>
      </c>
      <c r="F644" s="18" t="s">
        <v>517</v>
      </c>
      <c r="H644" t="str">
        <f>IF(B644=$H$1,COUNT($H$2:H645)+1," ")</f>
        <v xml:space="preserve"> </v>
      </c>
      <c r="L644">
        <v>643</v>
      </c>
      <c r="M644">
        <v>51</v>
      </c>
      <c r="N644">
        <v>68</v>
      </c>
      <c r="O644" s="18" t="s">
        <v>918</v>
      </c>
      <c r="P644">
        <f t="shared" si="30"/>
        <v>119</v>
      </c>
      <c r="Q644" t="str">
        <f>INDEX(Elemek!$B$2:$B$113,MATCH(M644,Elemek!$C$2:$C$113,0))</f>
        <v>Sb</v>
      </c>
      <c r="R644" t="str">
        <f t="shared" si="31"/>
        <v>8.823235</v>
      </c>
      <c r="S644" t="str">
        <f t="shared" si="32"/>
        <v>8.823235</v>
      </c>
    </row>
    <row r="645" spans="1:19" x14ac:dyDescent="0.25">
      <c r="A645">
        <v>908</v>
      </c>
      <c r="B645" t="s">
        <v>217</v>
      </c>
      <c r="C645">
        <v>186</v>
      </c>
      <c r="D645">
        <v>78</v>
      </c>
      <c r="E645">
        <v>108</v>
      </c>
      <c r="F645" s="18" t="s">
        <v>1135</v>
      </c>
      <c r="H645" t="str">
        <f>IF(B645=$H$1,COUNT($H$2:H646)+1," ")</f>
        <v xml:space="preserve"> </v>
      </c>
      <c r="L645">
        <v>644</v>
      </c>
      <c r="M645">
        <v>64</v>
      </c>
      <c r="N645">
        <v>83</v>
      </c>
      <c r="O645" s="18" t="s">
        <v>919</v>
      </c>
      <c r="P645">
        <f t="shared" si="30"/>
        <v>147</v>
      </c>
      <c r="Q645" t="str">
        <f>INDEX(Elemek!$B$2:$B$113,MATCH(M645,Elemek!$C$2:$C$113,0))</f>
        <v>Gd</v>
      </c>
      <c r="R645" t="str">
        <f t="shared" si="31"/>
        <v>8.584001</v>
      </c>
      <c r="S645" t="str">
        <f t="shared" si="32"/>
        <v>8.584001</v>
      </c>
    </row>
    <row r="646" spans="1:19" x14ac:dyDescent="0.25">
      <c r="A646">
        <v>524</v>
      </c>
      <c r="B646" t="s">
        <v>123</v>
      </c>
      <c r="C646">
        <v>189</v>
      </c>
      <c r="D646">
        <v>77</v>
      </c>
      <c r="E646">
        <v>112</v>
      </c>
      <c r="F646" s="18" t="s">
        <v>816</v>
      </c>
      <c r="H646" t="str">
        <f>IF(B646=$H$1,COUNT($H$2:H647)+1," ")</f>
        <v xml:space="preserve"> </v>
      </c>
      <c r="L646">
        <v>645</v>
      </c>
      <c r="M646">
        <v>79</v>
      </c>
      <c r="N646">
        <v>115</v>
      </c>
      <c r="O646" s="18" t="s">
        <v>920</v>
      </c>
      <c r="P646">
        <f t="shared" si="30"/>
        <v>194</v>
      </c>
      <c r="Q646" t="str">
        <f>INDEX(Elemek!$B$2:$B$113,MATCH(M646,Elemek!$C$2:$C$113,0))</f>
        <v>Au</v>
      </c>
      <c r="R646" t="str">
        <f t="shared" si="31"/>
        <v>8.237626</v>
      </c>
      <c r="S646" t="str">
        <f t="shared" si="32"/>
        <v>8.237626</v>
      </c>
    </row>
    <row r="647" spans="1:19" x14ac:dyDescent="0.25">
      <c r="A647">
        <v>538</v>
      </c>
      <c r="B647" t="s">
        <v>217</v>
      </c>
      <c r="C647">
        <v>188</v>
      </c>
      <c r="D647">
        <v>78</v>
      </c>
      <c r="E647">
        <v>110</v>
      </c>
      <c r="F647" s="18" t="s">
        <v>828</v>
      </c>
      <c r="H647" t="str">
        <f>IF(B647=$H$1,COUNT($H$2:H648)+1," ")</f>
        <v xml:space="preserve"> </v>
      </c>
      <c r="L647">
        <v>646</v>
      </c>
      <c r="M647">
        <v>91</v>
      </c>
      <c r="N647">
        <v>138</v>
      </c>
      <c r="O647" s="18" t="s">
        <v>921</v>
      </c>
      <c r="P647">
        <f t="shared" si="30"/>
        <v>229</v>
      </c>
      <c r="Q647" t="str">
        <f>INDEX(Elemek!$B$2:$B$113,MATCH(M647,Elemek!$C$2:$C$113,0))</f>
        <v>Pa</v>
      </c>
      <c r="R647" t="str">
        <f t="shared" si="31"/>
        <v>7.940769</v>
      </c>
      <c r="S647" t="str">
        <f t="shared" si="32"/>
        <v>7.940769</v>
      </c>
    </row>
    <row r="648" spans="1:19" x14ac:dyDescent="0.25">
      <c r="A648">
        <v>675</v>
      </c>
      <c r="B648" t="s">
        <v>240</v>
      </c>
      <c r="C648">
        <v>189</v>
      </c>
      <c r="D648">
        <v>75</v>
      </c>
      <c r="E648">
        <v>114</v>
      </c>
      <c r="F648" s="18" t="s">
        <v>946</v>
      </c>
      <c r="H648" t="str">
        <f>IF(B648=$H$1,COUNT($H$2:H649)+1," ")</f>
        <v xml:space="preserve"> </v>
      </c>
      <c r="L648">
        <v>647</v>
      </c>
      <c r="M648">
        <v>98</v>
      </c>
      <c r="N648">
        <v>148</v>
      </c>
      <c r="O648" s="18" t="s">
        <v>922</v>
      </c>
      <c r="P648">
        <f t="shared" si="30"/>
        <v>246</v>
      </c>
      <c r="Q648" t="str">
        <f>INDEX(Elemek!$B$2:$B$113,MATCH(M648,Elemek!$C$2:$C$113,0))</f>
        <v>Cf</v>
      </c>
      <c r="R648" t="str">
        <f t="shared" si="31"/>
        <v>7.810792</v>
      </c>
      <c r="S648" t="str">
        <f t="shared" si="32"/>
        <v>7.810792</v>
      </c>
    </row>
    <row r="649" spans="1:19" x14ac:dyDescent="0.25">
      <c r="A649">
        <v>967</v>
      </c>
      <c r="B649" t="s">
        <v>217</v>
      </c>
      <c r="C649">
        <v>185</v>
      </c>
      <c r="D649">
        <v>78</v>
      </c>
      <c r="E649">
        <v>107</v>
      </c>
      <c r="F649" s="18" t="s">
        <v>1183</v>
      </c>
      <c r="H649" t="str">
        <f>IF(B649=$H$1,COUNT($H$2:H650)+1," ")</f>
        <v xml:space="preserve"> </v>
      </c>
      <c r="L649">
        <v>648</v>
      </c>
      <c r="M649">
        <v>28</v>
      </c>
      <c r="N649">
        <v>29</v>
      </c>
      <c r="O649" s="18" t="s">
        <v>923</v>
      </c>
      <c r="P649">
        <f t="shared" si="30"/>
        <v>57</v>
      </c>
      <c r="Q649" t="str">
        <f>INDEX(Elemek!$B$2:$B$113,MATCH(M649,Elemek!$C$2:$C$113,0))</f>
        <v>Ni</v>
      </c>
      <c r="R649" t="str">
        <f t="shared" si="31"/>
        <v>9.055222</v>
      </c>
      <c r="S649" t="str">
        <f t="shared" si="32"/>
        <v>9.055222</v>
      </c>
    </row>
    <row r="650" spans="1:19" x14ac:dyDescent="0.25">
      <c r="A650">
        <v>277</v>
      </c>
      <c r="B650" t="s">
        <v>217</v>
      </c>
      <c r="C650">
        <v>190</v>
      </c>
      <c r="D650">
        <v>78</v>
      </c>
      <c r="E650">
        <v>112</v>
      </c>
      <c r="F650" s="18" t="s">
        <v>584</v>
      </c>
      <c r="H650" t="str">
        <f>IF(B650=$H$1,COUNT($H$2:H651)+1," ")</f>
        <v xml:space="preserve"> </v>
      </c>
      <c r="L650">
        <v>649</v>
      </c>
      <c r="M650">
        <v>45</v>
      </c>
      <c r="N650">
        <v>60</v>
      </c>
      <c r="O650" s="18" t="s">
        <v>924</v>
      </c>
      <c r="P650">
        <f t="shared" si="30"/>
        <v>105</v>
      </c>
      <c r="Q650" t="str">
        <f>INDEX(Elemek!$B$2:$B$113,MATCH(M650,Elemek!$C$2:$C$113,0))</f>
        <v>Rh</v>
      </c>
      <c r="R650" t="str">
        <f t="shared" si="31"/>
        <v>8.907956</v>
      </c>
      <c r="S650" t="str">
        <f t="shared" si="32"/>
        <v>8.907956</v>
      </c>
    </row>
    <row r="651" spans="1:19" x14ac:dyDescent="0.25">
      <c r="A651">
        <v>894</v>
      </c>
      <c r="B651" t="s">
        <v>217</v>
      </c>
      <c r="C651">
        <v>187</v>
      </c>
      <c r="D651">
        <v>78</v>
      </c>
      <c r="E651">
        <v>109</v>
      </c>
      <c r="F651" s="18" t="s">
        <v>1123</v>
      </c>
      <c r="H651" t="str">
        <f>IF(B651=$H$1,COUNT($H$2:H652)+1," ")</f>
        <v xml:space="preserve"> </v>
      </c>
      <c r="L651">
        <v>650</v>
      </c>
      <c r="M651">
        <v>35</v>
      </c>
      <c r="N651">
        <v>47</v>
      </c>
      <c r="O651" s="18" t="s">
        <v>925</v>
      </c>
      <c r="P651">
        <f t="shared" si="30"/>
        <v>82</v>
      </c>
      <c r="Q651" t="str">
        <f>INDEX(Elemek!$B$2:$B$113,MATCH(M651,Elemek!$C$2:$C$113,0))</f>
        <v>Br</v>
      </c>
      <c r="R651" t="str">
        <f t="shared" si="31"/>
        <v>9.016407</v>
      </c>
      <c r="S651" t="str">
        <f t="shared" si="32"/>
        <v>9.016407</v>
      </c>
    </row>
    <row r="652" spans="1:19" x14ac:dyDescent="0.25">
      <c r="A652">
        <v>531</v>
      </c>
      <c r="B652" t="s">
        <v>123</v>
      </c>
      <c r="C652">
        <v>190</v>
      </c>
      <c r="D652">
        <v>77</v>
      </c>
      <c r="E652">
        <v>113</v>
      </c>
      <c r="F652" s="18" t="s">
        <v>822</v>
      </c>
      <c r="H652" t="str">
        <f>IF(B652=$H$1,COUNT($H$2:H653)+1," ")</f>
        <v xml:space="preserve"> </v>
      </c>
      <c r="L652">
        <v>651</v>
      </c>
      <c r="M652">
        <v>36</v>
      </c>
      <c r="N652">
        <v>43</v>
      </c>
      <c r="O652" s="18" t="s">
        <v>926</v>
      </c>
      <c r="P652">
        <f t="shared" si="30"/>
        <v>79</v>
      </c>
      <c r="Q652" t="str">
        <f>INDEX(Elemek!$B$2:$B$113,MATCH(M652,Elemek!$C$2:$C$113,0))</f>
        <v>Kr</v>
      </c>
      <c r="R652" t="str">
        <f t="shared" si="31"/>
        <v>9.013644</v>
      </c>
      <c r="S652" t="str">
        <f t="shared" si="32"/>
        <v>9.013644</v>
      </c>
    </row>
    <row r="653" spans="1:19" x14ac:dyDescent="0.25">
      <c r="A653">
        <v>744</v>
      </c>
      <c r="B653" t="s">
        <v>217</v>
      </c>
      <c r="C653">
        <v>189</v>
      </c>
      <c r="D653">
        <v>78</v>
      </c>
      <c r="E653">
        <v>111</v>
      </c>
      <c r="F653" s="18" t="s">
        <v>1003</v>
      </c>
      <c r="H653" t="str">
        <f>IF(B653=$H$1,COUNT($H$2:H654)+1," ")</f>
        <v xml:space="preserve"> </v>
      </c>
      <c r="L653">
        <v>652</v>
      </c>
      <c r="M653">
        <v>58</v>
      </c>
      <c r="N653">
        <v>79</v>
      </c>
      <c r="O653" s="18" t="s">
        <v>927</v>
      </c>
      <c r="P653">
        <f t="shared" si="30"/>
        <v>137</v>
      </c>
      <c r="Q653" t="str">
        <f>INDEX(Elemek!$B$2:$B$113,MATCH(M653,Elemek!$C$2:$C$113,0))</f>
        <v>Ce</v>
      </c>
      <c r="R653" t="str">
        <f t="shared" si="31"/>
        <v>8.696327</v>
      </c>
      <c r="S653" t="str">
        <f t="shared" si="32"/>
        <v>8.696327</v>
      </c>
    </row>
    <row r="654" spans="1:19" x14ac:dyDescent="0.25">
      <c r="A654">
        <v>173</v>
      </c>
      <c r="B654" t="s">
        <v>123</v>
      </c>
      <c r="C654">
        <v>191</v>
      </c>
      <c r="D654">
        <v>77</v>
      </c>
      <c r="E654">
        <v>114</v>
      </c>
      <c r="F654" s="18" t="s">
        <v>480</v>
      </c>
      <c r="H654" t="str">
        <f>IF(B654=$H$1,COUNT($H$2:H655)+1," ")</f>
        <v xml:space="preserve"> </v>
      </c>
      <c r="L654">
        <v>653</v>
      </c>
      <c r="M654">
        <v>71</v>
      </c>
      <c r="N654">
        <v>98</v>
      </c>
      <c r="O654" s="18" t="s">
        <v>928</v>
      </c>
      <c r="P654">
        <f t="shared" si="30"/>
        <v>169</v>
      </c>
      <c r="Q654" t="str">
        <f>INDEX(Elemek!$B$2:$B$113,MATCH(M654,Elemek!$C$2:$C$113,0))</f>
        <v>Lu</v>
      </c>
      <c r="R654" t="str">
        <f t="shared" si="31"/>
        <v>8.414978</v>
      </c>
      <c r="S654" t="str">
        <f t="shared" si="32"/>
        <v>8.414978</v>
      </c>
    </row>
    <row r="655" spans="1:19" x14ac:dyDescent="0.25">
      <c r="A655">
        <v>517</v>
      </c>
      <c r="B655" t="s">
        <v>212</v>
      </c>
      <c r="C655">
        <v>191</v>
      </c>
      <c r="D655">
        <v>76</v>
      </c>
      <c r="E655">
        <v>115</v>
      </c>
      <c r="F655" s="18" t="s">
        <v>810</v>
      </c>
      <c r="H655" t="str">
        <f>IF(B655=$H$1,COUNT($H$2:H656)+1," ")</f>
        <v xml:space="preserve"> </v>
      </c>
      <c r="L655">
        <v>654</v>
      </c>
      <c r="M655">
        <v>58</v>
      </c>
      <c r="N655">
        <v>85</v>
      </c>
      <c r="O655" s="18" t="s">
        <v>929</v>
      </c>
      <c r="P655">
        <f t="shared" si="30"/>
        <v>143</v>
      </c>
      <c r="Q655" t="str">
        <f>INDEX(Elemek!$B$2:$B$113,MATCH(M655,Elemek!$C$2:$C$113,0))</f>
        <v>Ce</v>
      </c>
      <c r="R655" t="str">
        <f t="shared" si="31"/>
        <v>8.642041</v>
      </c>
      <c r="S655" t="str">
        <f t="shared" si="32"/>
        <v>8.642041</v>
      </c>
    </row>
    <row r="656" spans="1:19" x14ac:dyDescent="0.25">
      <c r="A656">
        <v>241</v>
      </c>
      <c r="B656" t="s">
        <v>217</v>
      </c>
      <c r="C656">
        <v>192</v>
      </c>
      <c r="D656">
        <v>78</v>
      </c>
      <c r="E656">
        <v>114</v>
      </c>
      <c r="F656" s="18" t="s">
        <v>548</v>
      </c>
      <c r="H656" t="str">
        <f>IF(B656=$H$1,COUNT($H$2:H657)+1," ")</f>
        <v xml:space="preserve"> </v>
      </c>
      <c r="L656">
        <v>655</v>
      </c>
      <c r="M656">
        <v>99</v>
      </c>
      <c r="N656">
        <v>152</v>
      </c>
      <c r="O656" s="18" t="s">
        <v>930</v>
      </c>
      <c r="P656">
        <f t="shared" si="30"/>
        <v>251</v>
      </c>
      <c r="Q656" t="str">
        <f>INDEX(Elemek!$B$2:$B$113,MATCH(M656,Elemek!$C$2:$C$113,0))</f>
        <v>Es</v>
      </c>
      <c r="R656" t="str">
        <f t="shared" si="31"/>
        <v>7.774467</v>
      </c>
      <c r="S656" t="str">
        <f t="shared" si="32"/>
        <v>7.774467</v>
      </c>
    </row>
    <row r="657" spans="1:19" x14ac:dyDescent="0.25">
      <c r="A657">
        <v>601</v>
      </c>
      <c r="B657" t="s">
        <v>217</v>
      </c>
      <c r="C657">
        <v>191</v>
      </c>
      <c r="D657">
        <v>78</v>
      </c>
      <c r="E657">
        <v>113</v>
      </c>
      <c r="F657" s="18" t="s">
        <v>881</v>
      </c>
      <c r="H657" t="str">
        <f>IF(B657=$H$1,COUNT($H$2:H658)+1," ")</f>
        <v xml:space="preserve"> </v>
      </c>
      <c r="L657">
        <v>656</v>
      </c>
      <c r="M657">
        <v>38</v>
      </c>
      <c r="N657">
        <v>45</v>
      </c>
      <c r="O657" s="18" t="s">
        <v>931</v>
      </c>
      <c r="P657">
        <f t="shared" si="30"/>
        <v>83</v>
      </c>
      <c r="Q657" t="str">
        <f>INDEX(Elemek!$B$2:$B$113,MATCH(M657,Elemek!$C$2:$C$113,0))</f>
        <v>Sr</v>
      </c>
      <c r="R657" t="str">
        <f t="shared" si="31"/>
        <v>8.996568</v>
      </c>
      <c r="S657" t="str">
        <f t="shared" si="32"/>
        <v>8.996568</v>
      </c>
    </row>
    <row r="658" spans="1:19" x14ac:dyDescent="0.25">
      <c r="A658">
        <v>206</v>
      </c>
      <c r="B658" t="s">
        <v>212</v>
      </c>
      <c r="C658">
        <v>192</v>
      </c>
      <c r="D658">
        <v>76</v>
      </c>
      <c r="E658">
        <v>116</v>
      </c>
      <c r="F658" s="18" t="s">
        <v>513</v>
      </c>
      <c r="H658" t="str">
        <f>IF(B658=$H$1,COUNT($H$2:H659)+1," ")</f>
        <v xml:space="preserve"> </v>
      </c>
      <c r="L658">
        <v>657</v>
      </c>
      <c r="M658">
        <v>55</v>
      </c>
      <c r="N658">
        <v>74</v>
      </c>
      <c r="O658" s="18" t="s">
        <v>932</v>
      </c>
      <c r="P658">
        <f t="shared" si="30"/>
        <v>129</v>
      </c>
      <c r="Q658" t="str">
        <f>INDEX(Elemek!$B$2:$B$113,MATCH(M658,Elemek!$C$2:$C$113,0))</f>
        <v>Cs</v>
      </c>
      <c r="R658" t="str">
        <f t="shared" si="31"/>
        <v>8.749622</v>
      </c>
      <c r="S658" t="str">
        <f t="shared" si="32"/>
        <v>8.749622</v>
      </c>
    </row>
    <row r="659" spans="1:19" x14ac:dyDescent="0.25">
      <c r="A659">
        <v>855</v>
      </c>
      <c r="B659" t="s">
        <v>240</v>
      </c>
      <c r="C659">
        <v>190</v>
      </c>
      <c r="D659">
        <v>75</v>
      </c>
      <c r="E659">
        <v>115</v>
      </c>
      <c r="F659" s="18" t="s">
        <v>1092</v>
      </c>
      <c r="H659" t="str">
        <f>IF(B659=$H$1,COUNT($H$2:H660)+1," ")</f>
        <v xml:space="preserve"> </v>
      </c>
      <c r="L659">
        <v>658</v>
      </c>
      <c r="M659">
        <v>105</v>
      </c>
      <c r="N659">
        <v>163</v>
      </c>
      <c r="O659" s="18" t="s">
        <v>933</v>
      </c>
      <c r="P659">
        <f t="shared" si="30"/>
        <v>268</v>
      </c>
      <c r="Q659" t="str">
        <f>INDEX(Elemek!$B$2:$B$113,MATCH(M659,Elemek!$C$2:$C$113,0))</f>
        <v>Db</v>
      </c>
      <c r="R659" t="str">
        <f t="shared" si="31"/>
        <v>7.635133</v>
      </c>
      <c r="S659" t="str">
        <f t="shared" si="32"/>
        <v>7.635133</v>
      </c>
    </row>
    <row r="660" spans="1:19" x14ac:dyDescent="0.25">
      <c r="A660">
        <v>348</v>
      </c>
      <c r="B660" t="s">
        <v>123</v>
      </c>
      <c r="C660">
        <v>192</v>
      </c>
      <c r="D660">
        <v>77</v>
      </c>
      <c r="E660">
        <v>115</v>
      </c>
      <c r="F660" s="18" t="s">
        <v>655</v>
      </c>
      <c r="H660" t="str">
        <f>IF(B660=$H$1,COUNT($H$2:H661)+1," ")</f>
        <v xml:space="preserve"> </v>
      </c>
      <c r="L660">
        <v>659</v>
      </c>
      <c r="M660">
        <v>91</v>
      </c>
      <c r="N660">
        <v>141</v>
      </c>
      <c r="O660" s="18" t="s">
        <v>934</v>
      </c>
      <c r="P660">
        <f t="shared" si="30"/>
        <v>232</v>
      </c>
      <c r="Q660" t="str">
        <f>INDEX(Elemek!$B$2:$B$113,MATCH(M660,Elemek!$C$2:$C$113,0))</f>
        <v>Pa</v>
      </c>
      <c r="R660" t="str">
        <f t="shared" si="31"/>
        <v>7.916379</v>
      </c>
      <c r="S660" t="str">
        <f t="shared" si="32"/>
        <v>7.916379</v>
      </c>
    </row>
    <row r="661" spans="1:19" x14ac:dyDescent="0.25">
      <c r="A661">
        <v>174</v>
      </c>
      <c r="B661" t="s">
        <v>217</v>
      </c>
      <c r="C661">
        <v>194</v>
      </c>
      <c r="D661">
        <v>78</v>
      </c>
      <c r="E661">
        <v>116</v>
      </c>
      <c r="F661" s="18" t="s">
        <v>481</v>
      </c>
      <c r="H661" t="str">
        <f>IF(B661=$H$1,COUNT($H$2:H662)+1," ")</f>
        <v xml:space="preserve"> </v>
      </c>
      <c r="L661">
        <v>660</v>
      </c>
      <c r="M661">
        <v>76</v>
      </c>
      <c r="N661">
        <v>117</v>
      </c>
      <c r="O661" s="18" t="s">
        <v>935</v>
      </c>
      <c r="P661">
        <f t="shared" si="30"/>
        <v>193</v>
      </c>
      <c r="Q661" t="str">
        <f>INDEX(Elemek!$B$2:$B$113,MATCH(M661,Elemek!$C$2:$C$113,0))</f>
        <v>Os</v>
      </c>
      <c r="R661" t="str">
        <f t="shared" si="31"/>
        <v>8.244348</v>
      </c>
      <c r="S661" t="str">
        <f t="shared" si="32"/>
        <v>8.244348</v>
      </c>
    </row>
    <row r="662" spans="1:19" x14ac:dyDescent="0.25">
      <c r="A662">
        <v>175</v>
      </c>
      <c r="B662" t="s">
        <v>123</v>
      </c>
      <c r="C662">
        <v>193</v>
      </c>
      <c r="D662">
        <v>77</v>
      </c>
      <c r="E662">
        <v>116</v>
      </c>
      <c r="F662" s="18" t="s">
        <v>482</v>
      </c>
      <c r="H662" t="str">
        <f>IF(B662=$H$1,COUNT($H$2:H663)+1," ")</f>
        <v xml:space="preserve"> </v>
      </c>
      <c r="L662">
        <v>661</v>
      </c>
      <c r="M662">
        <v>69</v>
      </c>
      <c r="N662">
        <v>96</v>
      </c>
      <c r="O662" s="18" t="s">
        <v>936</v>
      </c>
      <c r="P662">
        <f t="shared" si="30"/>
        <v>165</v>
      </c>
      <c r="Q662" t="str">
        <f>INDEX(Elemek!$B$2:$B$113,MATCH(M662,Elemek!$C$2:$C$113,0))</f>
        <v>Tm</v>
      </c>
      <c r="R662" t="str">
        <f t="shared" si="31"/>
        <v>8.452758</v>
      </c>
      <c r="S662" t="str">
        <f t="shared" si="32"/>
        <v>8.452758</v>
      </c>
    </row>
    <row r="663" spans="1:19" x14ac:dyDescent="0.25">
      <c r="A663">
        <v>360</v>
      </c>
      <c r="B663" t="s">
        <v>217</v>
      </c>
      <c r="C663">
        <v>193</v>
      </c>
      <c r="D663">
        <v>78</v>
      </c>
      <c r="E663">
        <v>115</v>
      </c>
      <c r="F663" s="18" t="s">
        <v>667</v>
      </c>
      <c r="H663" t="str">
        <f>IF(B663=$H$1,COUNT($H$2:H664)+1," ")</f>
        <v xml:space="preserve"> </v>
      </c>
      <c r="L663">
        <v>662</v>
      </c>
      <c r="M663">
        <v>52</v>
      </c>
      <c r="N663">
        <v>79</v>
      </c>
      <c r="O663" s="18" t="s">
        <v>937</v>
      </c>
      <c r="P663">
        <f t="shared" si="30"/>
        <v>131</v>
      </c>
      <c r="Q663" t="str">
        <f>INDEX(Elemek!$B$2:$B$113,MATCH(M663,Elemek!$C$2:$C$113,0))</f>
        <v>Te</v>
      </c>
      <c r="R663" t="str">
        <f t="shared" si="31"/>
        <v>8.720392</v>
      </c>
      <c r="S663" t="str">
        <f t="shared" si="32"/>
        <v>8.720392</v>
      </c>
    </row>
    <row r="664" spans="1:19" x14ac:dyDescent="0.25">
      <c r="A664">
        <v>857</v>
      </c>
      <c r="B664" t="s">
        <v>24</v>
      </c>
      <c r="C664">
        <v>191</v>
      </c>
      <c r="D664">
        <v>79</v>
      </c>
      <c r="E664">
        <v>112</v>
      </c>
      <c r="F664" s="18" t="s">
        <v>1093</v>
      </c>
      <c r="H664" t="str">
        <f>IF(B664=$H$1,COUNT($H$2:H665)+1," ")</f>
        <v xml:space="preserve"> </v>
      </c>
      <c r="L664">
        <v>663</v>
      </c>
      <c r="M664">
        <v>89</v>
      </c>
      <c r="N664">
        <v>137</v>
      </c>
      <c r="O664" s="18" t="s">
        <v>938</v>
      </c>
      <c r="P664">
        <f t="shared" si="30"/>
        <v>226</v>
      </c>
      <c r="Q664" t="str">
        <f>INDEX(Elemek!$B$2:$B$113,MATCH(M664,Elemek!$C$2:$C$113,0))</f>
        <v>Ac</v>
      </c>
      <c r="R664" t="str">
        <f t="shared" si="31"/>
        <v>7.963761</v>
      </c>
      <c r="S664" t="str">
        <f t="shared" si="32"/>
        <v>7.963761</v>
      </c>
    </row>
    <row r="665" spans="1:19" x14ac:dyDescent="0.25">
      <c r="A665">
        <v>704</v>
      </c>
      <c r="B665" t="s">
        <v>24</v>
      </c>
      <c r="C665">
        <v>193</v>
      </c>
      <c r="D665">
        <v>79</v>
      </c>
      <c r="E665">
        <v>114</v>
      </c>
      <c r="F665" s="18" t="s">
        <v>969</v>
      </c>
      <c r="H665" t="str">
        <f>IF(B665=$H$1,COUNT($H$2:H666)+1," ")</f>
        <v xml:space="preserve"> </v>
      </c>
      <c r="L665">
        <v>664</v>
      </c>
      <c r="M665">
        <v>68</v>
      </c>
      <c r="N665">
        <v>92</v>
      </c>
      <c r="O665" s="18" t="s">
        <v>939</v>
      </c>
      <c r="P665">
        <f t="shared" si="30"/>
        <v>160</v>
      </c>
      <c r="Q665" t="str">
        <f>INDEX(Elemek!$B$2:$B$113,MATCH(M665,Elemek!$C$2:$C$113,0))</f>
        <v>Er</v>
      </c>
      <c r="R665" t="str">
        <f t="shared" si="31"/>
        <v>8.48419</v>
      </c>
      <c r="S665" t="str">
        <f t="shared" si="32"/>
        <v>8.48419</v>
      </c>
    </row>
    <row r="666" spans="1:19" x14ac:dyDescent="0.25">
      <c r="A666">
        <v>660</v>
      </c>
      <c r="B666" t="s">
        <v>212</v>
      </c>
      <c r="C666">
        <v>193</v>
      </c>
      <c r="D666">
        <v>76</v>
      </c>
      <c r="E666">
        <v>117</v>
      </c>
      <c r="F666" s="18" t="s">
        <v>935</v>
      </c>
      <c r="H666" t="str">
        <f>IF(B666=$H$1,COUNT($H$2:H667)+1," ")</f>
        <v xml:space="preserve"> </v>
      </c>
      <c r="L666">
        <v>665</v>
      </c>
      <c r="M666">
        <v>61</v>
      </c>
      <c r="N666">
        <v>90</v>
      </c>
      <c r="O666" s="18" t="s">
        <v>940</v>
      </c>
      <c r="P666">
        <f t="shared" si="30"/>
        <v>151</v>
      </c>
      <c r="Q666" t="str">
        <f>INDEX(Elemek!$B$2:$B$113,MATCH(M666,Elemek!$C$2:$C$113,0))</f>
        <v>Pm</v>
      </c>
      <c r="R666" t="str">
        <f t="shared" si="31"/>
        <v>8.557387</v>
      </c>
      <c r="S666" t="str">
        <f t="shared" si="32"/>
        <v>8.557387</v>
      </c>
    </row>
    <row r="667" spans="1:19" x14ac:dyDescent="0.25">
      <c r="A667">
        <v>811</v>
      </c>
      <c r="B667" t="s">
        <v>24</v>
      </c>
      <c r="C667">
        <v>192</v>
      </c>
      <c r="D667">
        <v>79</v>
      </c>
      <c r="E667">
        <v>113</v>
      </c>
      <c r="F667" s="18" t="s">
        <v>1055</v>
      </c>
      <c r="H667" t="str">
        <f>IF(B667=$H$1,COUNT($H$2:H668)+1," ")</f>
        <v xml:space="preserve"> </v>
      </c>
      <c r="L667">
        <v>666</v>
      </c>
      <c r="M667">
        <v>56</v>
      </c>
      <c r="N667">
        <v>79</v>
      </c>
      <c r="O667" s="18"/>
      <c r="P667">
        <f t="shared" si="30"/>
        <v>135</v>
      </c>
      <c r="Q667" t="str">
        <f>INDEX(Elemek!$B$2:$B$113,MATCH(M667,Elemek!$C$2:$C$113,0))</f>
        <v>Ba</v>
      </c>
      <c r="R667" t="e">
        <f t="shared" si="31"/>
        <v>#DIV/0!</v>
      </c>
      <c r="S667" t="e">
        <f t="shared" si="32"/>
        <v>#DIV/0!</v>
      </c>
    </row>
    <row r="668" spans="1:19" x14ac:dyDescent="0.25">
      <c r="A668">
        <v>176</v>
      </c>
      <c r="B668" t="s">
        <v>217</v>
      </c>
      <c r="C668">
        <v>195</v>
      </c>
      <c r="D668">
        <v>78</v>
      </c>
      <c r="E668">
        <v>117</v>
      </c>
      <c r="F668" s="18" t="s">
        <v>483</v>
      </c>
      <c r="H668" t="str">
        <f>IF(B668=$H$1,COUNT($H$2:H669)+1," ")</f>
        <v xml:space="preserve"> </v>
      </c>
      <c r="L668">
        <v>667</v>
      </c>
      <c r="M668">
        <v>50</v>
      </c>
      <c r="N668">
        <v>71</v>
      </c>
      <c r="O668" s="18"/>
      <c r="P668">
        <f t="shared" si="30"/>
        <v>121</v>
      </c>
      <c r="Q668" t="str">
        <f>INDEX(Elemek!$B$2:$B$113,MATCH(M668,Elemek!$C$2:$C$113,0))</f>
        <v>Sn</v>
      </c>
      <c r="R668" t="e">
        <f t="shared" si="31"/>
        <v>#DIV/0!</v>
      </c>
      <c r="S668" t="e">
        <f t="shared" si="32"/>
        <v>#DIV/0!</v>
      </c>
    </row>
    <row r="669" spans="1:19" x14ac:dyDescent="0.25">
      <c r="A669">
        <v>382</v>
      </c>
      <c r="B669" t="s">
        <v>212</v>
      </c>
      <c r="C669">
        <v>194</v>
      </c>
      <c r="D669">
        <v>76</v>
      </c>
      <c r="E669">
        <v>118</v>
      </c>
      <c r="F669" s="18" t="s">
        <v>686</v>
      </c>
      <c r="H669" t="str">
        <f>IF(B669=$H$1,COUNT($H$2:H670)+1," ")</f>
        <v xml:space="preserve"> </v>
      </c>
      <c r="L669">
        <v>668</v>
      </c>
      <c r="M669">
        <v>67</v>
      </c>
      <c r="N669">
        <v>99</v>
      </c>
      <c r="O669" s="18"/>
      <c r="P669">
        <f t="shared" si="30"/>
        <v>166</v>
      </c>
      <c r="Q669" t="str">
        <f>INDEX(Elemek!$B$2:$B$113,MATCH(M669,Elemek!$C$2:$C$113,0))</f>
        <v>Ho</v>
      </c>
      <c r="R669" t="e">
        <f t="shared" si="31"/>
        <v>#DIV/0!</v>
      </c>
      <c r="S669" t="e">
        <f t="shared" si="32"/>
        <v>#DIV/0!</v>
      </c>
    </row>
    <row r="670" spans="1:19" x14ac:dyDescent="0.25">
      <c r="A670">
        <v>424</v>
      </c>
      <c r="B670" t="s">
        <v>24</v>
      </c>
      <c r="C670">
        <v>195</v>
      </c>
      <c r="D670">
        <v>79</v>
      </c>
      <c r="E670">
        <v>116</v>
      </c>
      <c r="F670" s="18" t="s">
        <v>726</v>
      </c>
      <c r="H670" t="str">
        <f>IF(B670=$H$1,COUNT($H$2:H671)+1," ")</f>
        <v xml:space="preserve"> </v>
      </c>
      <c r="L670">
        <v>669</v>
      </c>
      <c r="M670">
        <v>33</v>
      </c>
      <c r="N670">
        <v>43</v>
      </c>
      <c r="O670" s="18" t="s">
        <v>941</v>
      </c>
      <c r="P670">
        <f t="shared" si="30"/>
        <v>76</v>
      </c>
      <c r="Q670" t="str">
        <f>INDEX(Elemek!$B$2:$B$113,MATCH(M670,Elemek!$C$2:$C$113,0))</f>
        <v>As</v>
      </c>
      <c r="R670" t="str">
        <f t="shared" si="31"/>
        <v>9.022505</v>
      </c>
      <c r="S670" t="str">
        <f t="shared" si="32"/>
        <v>9.022505</v>
      </c>
    </row>
    <row r="671" spans="1:19" x14ac:dyDescent="0.25">
      <c r="A671">
        <v>817</v>
      </c>
      <c r="B671" t="s">
        <v>115</v>
      </c>
      <c r="C671">
        <v>192</v>
      </c>
      <c r="D671">
        <v>80</v>
      </c>
      <c r="E671">
        <v>112</v>
      </c>
      <c r="F671" s="18" t="s">
        <v>1061</v>
      </c>
      <c r="H671" t="str">
        <f>IF(B671=$H$1,COUNT($H$2:H672)+1," ")</f>
        <v xml:space="preserve"> </v>
      </c>
      <c r="L671">
        <v>670</v>
      </c>
      <c r="M671">
        <v>81</v>
      </c>
      <c r="N671">
        <v>119</v>
      </c>
      <c r="O671" s="18" t="s">
        <v>942</v>
      </c>
      <c r="P671">
        <f t="shared" si="30"/>
        <v>200</v>
      </c>
      <c r="Q671" t="str">
        <f>INDEX(Elemek!$B$2:$B$113,MATCH(M671,Elemek!$C$2:$C$113,0))</f>
        <v>Tl</v>
      </c>
      <c r="R671" t="str">
        <f t="shared" si="31"/>
        <v>8.206567</v>
      </c>
      <c r="S671" t="str">
        <f t="shared" si="32"/>
        <v>8.206567</v>
      </c>
    </row>
    <row r="672" spans="1:19" x14ac:dyDescent="0.25">
      <c r="A672">
        <v>425</v>
      </c>
      <c r="B672" t="s">
        <v>123</v>
      </c>
      <c r="C672">
        <v>194</v>
      </c>
      <c r="D672">
        <v>77</v>
      </c>
      <c r="E672">
        <v>117</v>
      </c>
      <c r="F672" s="18" t="s">
        <v>727</v>
      </c>
      <c r="H672" t="str">
        <f>IF(B672=$H$1,COUNT($H$2:H673)+1," ")</f>
        <v xml:space="preserve"> </v>
      </c>
      <c r="L672">
        <v>671</v>
      </c>
      <c r="M672">
        <v>33</v>
      </c>
      <c r="N672">
        <v>39</v>
      </c>
      <c r="O672" s="18" t="s">
        <v>943</v>
      </c>
      <c r="P672">
        <f t="shared" si="30"/>
        <v>72</v>
      </c>
      <c r="Q672" t="str">
        <f>INDEX(Elemek!$B$2:$B$113,MATCH(M672,Elemek!$C$2:$C$113,0))</f>
        <v>As</v>
      </c>
      <c r="R672" t="str">
        <f t="shared" si="31"/>
        <v>9.018966</v>
      </c>
      <c r="S672" t="str">
        <f t="shared" si="32"/>
        <v>9.018966</v>
      </c>
    </row>
    <row r="673" spans="1:19" x14ac:dyDescent="0.25">
      <c r="A673">
        <v>177</v>
      </c>
      <c r="B673" t="s">
        <v>217</v>
      </c>
      <c r="C673">
        <v>196</v>
      </c>
      <c r="D673">
        <v>78</v>
      </c>
      <c r="E673">
        <v>118</v>
      </c>
      <c r="F673" s="18" t="s">
        <v>484</v>
      </c>
      <c r="H673" t="str">
        <f>IF(B673=$H$1,COUNT($H$2:H674)+1," ")</f>
        <v xml:space="preserve"> </v>
      </c>
      <c r="L673">
        <v>672</v>
      </c>
      <c r="M673">
        <v>90</v>
      </c>
      <c r="N673">
        <v>141</v>
      </c>
      <c r="O673" s="18" t="s">
        <v>944</v>
      </c>
      <c r="P673">
        <f t="shared" si="30"/>
        <v>231</v>
      </c>
      <c r="Q673" t="str">
        <f>INDEX(Elemek!$B$2:$B$113,MATCH(M673,Elemek!$C$2:$C$113,0))</f>
        <v>Th</v>
      </c>
      <c r="R673" t="str">
        <f t="shared" si="31"/>
        <v>7.924932</v>
      </c>
      <c r="S673" t="str">
        <f t="shared" si="32"/>
        <v>7.924932</v>
      </c>
    </row>
    <row r="674" spans="1:19" x14ac:dyDescent="0.25">
      <c r="A674">
        <v>645</v>
      </c>
      <c r="B674" t="s">
        <v>24</v>
      </c>
      <c r="C674">
        <v>194</v>
      </c>
      <c r="D674">
        <v>79</v>
      </c>
      <c r="E674">
        <v>115</v>
      </c>
      <c r="F674" s="18" t="s">
        <v>920</v>
      </c>
      <c r="H674" t="str">
        <f>IF(B674=$H$1,COUNT($H$2:H675)+1," ")</f>
        <v xml:space="preserve"> </v>
      </c>
      <c r="L674">
        <v>673</v>
      </c>
      <c r="M674">
        <v>100</v>
      </c>
      <c r="N674">
        <v>152</v>
      </c>
      <c r="O674" s="18" t="s">
        <v>945</v>
      </c>
      <c r="P674">
        <f t="shared" si="30"/>
        <v>252</v>
      </c>
      <c r="Q674" t="str">
        <f>INDEX(Elemek!$B$2:$B$113,MATCH(M674,Elemek!$C$2:$C$113,0))</f>
        <v>Fm</v>
      </c>
      <c r="R674" t="str">
        <f t="shared" si="31"/>
        <v>7.766498</v>
      </c>
      <c r="S674" t="str">
        <f t="shared" si="32"/>
        <v>7.766498</v>
      </c>
    </row>
    <row r="675" spans="1:19" x14ac:dyDescent="0.25">
      <c r="A675">
        <v>342</v>
      </c>
      <c r="B675" t="s">
        <v>115</v>
      </c>
      <c r="C675">
        <v>194</v>
      </c>
      <c r="D675">
        <v>80</v>
      </c>
      <c r="E675">
        <v>114</v>
      </c>
      <c r="F675" s="18" t="s">
        <v>649</v>
      </c>
      <c r="H675" t="str">
        <f>IF(B675=$H$1,COUNT($H$2:H676)+1," ")</f>
        <v xml:space="preserve"> </v>
      </c>
      <c r="L675">
        <v>674</v>
      </c>
      <c r="M675">
        <v>65</v>
      </c>
      <c r="N675">
        <v>91</v>
      </c>
      <c r="O675" s="18"/>
      <c r="P675">
        <f t="shared" si="30"/>
        <v>156</v>
      </c>
      <c r="Q675" t="str">
        <f>INDEX(Elemek!$B$2:$B$113,MATCH(M675,Elemek!$C$2:$C$113,0))</f>
        <v>Tb</v>
      </c>
      <c r="R675" t="e">
        <f t="shared" si="31"/>
        <v>#DIV/0!</v>
      </c>
      <c r="S675" t="e">
        <f t="shared" si="32"/>
        <v>#DIV/0!</v>
      </c>
    </row>
    <row r="676" spans="1:19" x14ac:dyDescent="0.25">
      <c r="A676">
        <v>219</v>
      </c>
      <c r="B676" t="s">
        <v>115</v>
      </c>
      <c r="C676">
        <v>196</v>
      </c>
      <c r="D676">
        <v>80</v>
      </c>
      <c r="E676">
        <v>116</v>
      </c>
      <c r="F676" s="18" t="s">
        <v>526</v>
      </c>
      <c r="H676" t="str">
        <f>IF(B676=$H$1,COUNT($H$2:H677)+1," ")</f>
        <v xml:space="preserve"> </v>
      </c>
      <c r="L676">
        <v>675</v>
      </c>
      <c r="M676">
        <v>75</v>
      </c>
      <c r="N676">
        <v>114</v>
      </c>
      <c r="O676" s="18" t="s">
        <v>946</v>
      </c>
      <c r="P676">
        <f t="shared" si="30"/>
        <v>189</v>
      </c>
      <c r="Q676" t="str">
        <f>INDEX(Elemek!$B$2:$B$113,MATCH(M676,Elemek!$C$2:$C$113,0))</f>
        <v>Re</v>
      </c>
      <c r="R676" t="str">
        <f t="shared" si="31"/>
        <v>8.272269</v>
      </c>
      <c r="S676" t="str">
        <f t="shared" si="32"/>
        <v>8.272269</v>
      </c>
    </row>
    <row r="677" spans="1:19" x14ac:dyDescent="0.25">
      <c r="A677">
        <v>840</v>
      </c>
      <c r="B677" t="s">
        <v>123</v>
      </c>
      <c r="C677">
        <v>195</v>
      </c>
      <c r="D677">
        <v>77</v>
      </c>
      <c r="E677">
        <v>118</v>
      </c>
      <c r="F677" s="18" t="s">
        <v>1080</v>
      </c>
      <c r="H677" t="str">
        <f>IF(B677=$H$1,COUNT($H$2:H678)+1," ")</f>
        <v xml:space="preserve"> </v>
      </c>
      <c r="L677">
        <v>676</v>
      </c>
      <c r="M677">
        <v>80</v>
      </c>
      <c r="N677">
        <v>117</v>
      </c>
      <c r="O677" s="18"/>
      <c r="P677">
        <f t="shared" si="30"/>
        <v>197</v>
      </c>
      <c r="Q677" t="str">
        <f>INDEX(Elemek!$B$2:$B$113,MATCH(M677,Elemek!$C$2:$C$113,0))</f>
        <v>Hg</v>
      </c>
      <c r="R677" t="e">
        <f t="shared" si="31"/>
        <v>#DIV/0!</v>
      </c>
      <c r="S677" t="e">
        <f t="shared" si="32"/>
        <v>#DIV/0!</v>
      </c>
    </row>
    <row r="678" spans="1:19" x14ac:dyDescent="0.25">
      <c r="A678">
        <v>740</v>
      </c>
      <c r="B678" t="s">
        <v>115</v>
      </c>
      <c r="C678">
        <v>193</v>
      </c>
      <c r="D678">
        <v>80</v>
      </c>
      <c r="E678">
        <v>113</v>
      </c>
      <c r="F678" s="18" t="s">
        <v>999</v>
      </c>
      <c r="H678" t="str">
        <f>IF(B678=$H$1,COUNT($H$2:H679)+1," ")</f>
        <v xml:space="preserve"> </v>
      </c>
      <c r="L678">
        <v>677</v>
      </c>
      <c r="M678">
        <v>74</v>
      </c>
      <c r="N678">
        <v>113</v>
      </c>
      <c r="O678" s="18" t="s">
        <v>947</v>
      </c>
      <c r="P678">
        <f t="shared" si="30"/>
        <v>187</v>
      </c>
      <c r="Q678" t="str">
        <f>INDEX(Elemek!$B$2:$B$113,MATCH(M678,Elemek!$C$2:$C$113,0))</f>
        <v>W</v>
      </c>
      <c r="R678" t="str">
        <f t="shared" si="31"/>
        <v>8.284722</v>
      </c>
      <c r="S678" t="str">
        <f t="shared" si="32"/>
        <v>8.284722</v>
      </c>
    </row>
    <row r="679" spans="1:19" x14ac:dyDescent="0.25">
      <c r="A679">
        <v>560</v>
      </c>
      <c r="B679" t="s">
        <v>24</v>
      </c>
      <c r="C679">
        <v>196</v>
      </c>
      <c r="D679">
        <v>79</v>
      </c>
      <c r="E679">
        <v>117</v>
      </c>
      <c r="F679" s="18" t="s">
        <v>847</v>
      </c>
      <c r="H679" t="str">
        <f>IF(B679=$H$1,COUNT($H$2:H680)+1," ")</f>
        <v xml:space="preserve"> </v>
      </c>
      <c r="L679">
        <v>678</v>
      </c>
      <c r="M679">
        <v>97</v>
      </c>
      <c r="N679">
        <v>151</v>
      </c>
      <c r="O679" s="18"/>
      <c r="P679">
        <f t="shared" si="30"/>
        <v>248</v>
      </c>
      <c r="Q679" t="str">
        <f>INDEX(Elemek!$B$2:$B$113,MATCH(M679,Elemek!$C$2:$C$113,0))</f>
        <v>Bk</v>
      </c>
      <c r="R679" t="e">
        <f t="shared" si="31"/>
        <v>#DIV/0!</v>
      </c>
      <c r="S679" t="e">
        <f t="shared" si="32"/>
        <v>#DIV/0!</v>
      </c>
    </row>
    <row r="680" spans="1:19" x14ac:dyDescent="0.25">
      <c r="A680">
        <v>178</v>
      </c>
      <c r="B680" t="s">
        <v>24</v>
      </c>
      <c r="C680">
        <v>197</v>
      </c>
      <c r="D680">
        <v>79</v>
      </c>
      <c r="E680">
        <v>118</v>
      </c>
      <c r="F680" s="18" t="s">
        <v>485</v>
      </c>
      <c r="H680" t="str">
        <f>IF(B680=$H$1,COUNT($H$2:H681)+1," ")</f>
        <v xml:space="preserve"> </v>
      </c>
      <c r="L680">
        <v>679</v>
      </c>
      <c r="M680">
        <v>72</v>
      </c>
      <c r="N680">
        <v>101</v>
      </c>
      <c r="O680" s="18" t="s">
        <v>948</v>
      </c>
      <c r="P680">
        <f t="shared" si="30"/>
        <v>173</v>
      </c>
      <c r="Q680" t="str">
        <f>INDEX(Elemek!$B$2:$B$113,MATCH(M680,Elemek!$C$2:$C$113,0))</f>
        <v>Hf</v>
      </c>
      <c r="R680" t="str">
        <f t="shared" si="31"/>
        <v>8.391617</v>
      </c>
      <c r="S680" t="str">
        <f t="shared" si="32"/>
        <v>8.391617</v>
      </c>
    </row>
    <row r="681" spans="1:19" x14ac:dyDescent="0.25">
      <c r="A681">
        <v>636</v>
      </c>
      <c r="B681" t="s">
        <v>115</v>
      </c>
      <c r="C681">
        <v>195</v>
      </c>
      <c r="D681">
        <v>80</v>
      </c>
      <c r="E681">
        <v>115</v>
      </c>
      <c r="F681" s="18" t="s">
        <v>913</v>
      </c>
      <c r="H681" t="str">
        <f>IF(B681=$H$1,COUNT($H$2:H682)+1," ")</f>
        <v xml:space="preserve"> </v>
      </c>
      <c r="L681">
        <v>680</v>
      </c>
      <c r="M681">
        <v>41</v>
      </c>
      <c r="N681">
        <v>55</v>
      </c>
      <c r="O681" s="18" t="s">
        <v>949</v>
      </c>
      <c r="P681">
        <f t="shared" si="30"/>
        <v>96</v>
      </c>
      <c r="Q681" t="str">
        <f>INDEX(Elemek!$B$2:$B$113,MATCH(M681,Elemek!$C$2:$C$113,0))</f>
        <v>Nb</v>
      </c>
      <c r="R681" t="str">
        <f t="shared" si="31"/>
        <v>8.963036</v>
      </c>
      <c r="S681" t="str">
        <f t="shared" si="32"/>
        <v>8.963036</v>
      </c>
    </row>
    <row r="682" spans="1:19" x14ac:dyDescent="0.25">
      <c r="A682">
        <v>179</v>
      </c>
      <c r="B682" t="s">
        <v>115</v>
      </c>
      <c r="C682">
        <v>198</v>
      </c>
      <c r="D682">
        <v>80</v>
      </c>
      <c r="E682">
        <v>118</v>
      </c>
      <c r="F682" s="18" t="s">
        <v>486</v>
      </c>
      <c r="H682" t="str">
        <f>IF(B682=$H$1,COUNT($H$2:H683)+1," ")</f>
        <v xml:space="preserve"> </v>
      </c>
      <c r="L682">
        <v>681</v>
      </c>
      <c r="M682">
        <v>65</v>
      </c>
      <c r="N682">
        <v>89</v>
      </c>
      <c r="O682" s="18" t="s">
        <v>950</v>
      </c>
      <c r="P682">
        <f t="shared" si="30"/>
        <v>154</v>
      </c>
      <c r="Q682" t="str">
        <f>INDEX(Elemek!$B$2:$B$113,MATCH(M682,Elemek!$C$2:$C$113,0))</f>
        <v>Tb</v>
      </c>
      <c r="R682" t="str">
        <f t="shared" si="31"/>
        <v>8.526912</v>
      </c>
      <c r="S682" t="str">
        <f t="shared" si="32"/>
        <v>8.526912</v>
      </c>
    </row>
    <row r="683" spans="1:19" x14ac:dyDescent="0.25">
      <c r="A683">
        <v>608</v>
      </c>
      <c r="B683" t="s">
        <v>115</v>
      </c>
      <c r="C683">
        <v>197</v>
      </c>
      <c r="D683">
        <v>80</v>
      </c>
      <c r="E683">
        <v>117</v>
      </c>
      <c r="F683" s="18" t="s">
        <v>888</v>
      </c>
      <c r="H683" t="str">
        <f>IF(B683=$H$1,COUNT($H$2:H684)+1," ")</f>
        <v xml:space="preserve"> </v>
      </c>
      <c r="L683">
        <v>682</v>
      </c>
      <c r="M683">
        <v>93</v>
      </c>
      <c r="N683">
        <v>143</v>
      </c>
      <c r="O683" s="18"/>
      <c r="P683">
        <f t="shared" si="30"/>
        <v>236</v>
      </c>
      <c r="Q683" t="str">
        <f>INDEX(Elemek!$B$2:$B$113,MATCH(M683,Elemek!$C$2:$C$113,0))</f>
        <v>Np</v>
      </c>
      <c r="R683" t="e">
        <f t="shared" si="31"/>
        <v>#DIV/0!</v>
      </c>
      <c r="S683" t="e">
        <f t="shared" si="32"/>
        <v>#DIV/0!</v>
      </c>
    </row>
    <row r="684" spans="1:19" x14ac:dyDescent="0.25">
      <c r="A684">
        <v>697</v>
      </c>
      <c r="B684" t="s">
        <v>217</v>
      </c>
      <c r="C684">
        <v>197</v>
      </c>
      <c r="D684">
        <v>78</v>
      </c>
      <c r="E684">
        <v>119</v>
      </c>
      <c r="F684" s="18" t="s">
        <v>963</v>
      </c>
      <c r="H684" t="str">
        <f>IF(B684=$H$1,COUNT($H$2:H685)+1," ")</f>
        <v xml:space="preserve"> </v>
      </c>
      <c r="L684">
        <v>683</v>
      </c>
      <c r="M684">
        <v>19</v>
      </c>
      <c r="N684">
        <v>24</v>
      </c>
      <c r="O684" s="18" t="s">
        <v>951</v>
      </c>
      <c r="P684">
        <f t="shared" si="30"/>
        <v>43</v>
      </c>
      <c r="Q684" t="str">
        <f>INDEX(Elemek!$B$2:$B$113,MATCH(M684,Elemek!$C$2:$C$113,0))</f>
        <v>K</v>
      </c>
      <c r="R684" t="str">
        <f t="shared" si="31"/>
        <v>8.922327</v>
      </c>
      <c r="S684" t="str">
        <f t="shared" si="32"/>
        <v>8.922327</v>
      </c>
    </row>
    <row r="685" spans="1:19" x14ac:dyDescent="0.25">
      <c r="A685">
        <v>207</v>
      </c>
      <c r="B685" t="s">
        <v>217</v>
      </c>
      <c r="C685">
        <v>198</v>
      </c>
      <c r="D685">
        <v>78</v>
      </c>
      <c r="E685">
        <v>120</v>
      </c>
      <c r="F685" s="18" t="s">
        <v>514</v>
      </c>
      <c r="H685" t="str">
        <f>IF(B685=$H$1,COUNT($H$2:H686)+1," ")</f>
        <v xml:space="preserve"> </v>
      </c>
      <c r="L685">
        <v>684</v>
      </c>
      <c r="M685">
        <v>76</v>
      </c>
      <c r="N685">
        <v>106</v>
      </c>
      <c r="O685" s="18" t="s">
        <v>952</v>
      </c>
      <c r="P685">
        <f t="shared" si="30"/>
        <v>182</v>
      </c>
      <c r="Q685" t="str">
        <f>INDEX(Elemek!$B$2:$B$113,MATCH(M685,Elemek!$C$2:$C$113,0))</f>
        <v>Os</v>
      </c>
      <c r="R685" t="str">
        <f t="shared" si="31"/>
        <v>8.316432</v>
      </c>
      <c r="S685" t="str">
        <f t="shared" si="32"/>
        <v>8.316432</v>
      </c>
    </row>
    <row r="686" spans="1:19" x14ac:dyDescent="0.25">
      <c r="A686">
        <v>607</v>
      </c>
      <c r="B686" t="s">
        <v>24</v>
      </c>
      <c r="C686">
        <v>198</v>
      </c>
      <c r="D686">
        <v>79</v>
      </c>
      <c r="E686">
        <v>119</v>
      </c>
      <c r="F686" s="18" t="s">
        <v>887</v>
      </c>
      <c r="H686" t="str">
        <f>IF(B686=$H$1,COUNT($H$2:H687)+1," ")</f>
        <v xml:space="preserve"> </v>
      </c>
      <c r="L686">
        <v>685</v>
      </c>
      <c r="M686">
        <v>91</v>
      </c>
      <c r="N686">
        <v>137</v>
      </c>
      <c r="O686" s="18" t="s">
        <v>953</v>
      </c>
      <c r="P686">
        <f t="shared" si="30"/>
        <v>228</v>
      </c>
      <c r="Q686" t="str">
        <f>INDEX(Elemek!$B$2:$B$113,MATCH(M686,Elemek!$C$2:$C$113,0))</f>
        <v>Pa</v>
      </c>
      <c r="R686" t="str">
        <f t="shared" si="31"/>
        <v>7.944468</v>
      </c>
      <c r="S686" t="str">
        <f t="shared" si="32"/>
        <v>7.944468</v>
      </c>
    </row>
    <row r="687" spans="1:19" x14ac:dyDescent="0.25">
      <c r="A687">
        <v>180</v>
      </c>
      <c r="B687" t="s">
        <v>115</v>
      </c>
      <c r="C687">
        <v>199</v>
      </c>
      <c r="D687">
        <v>80</v>
      </c>
      <c r="E687">
        <v>119</v>
      </c>
      <c r="F687" s="18" t="s">
        <v>487</v>
      </c>
      <c r="H687" t="str">
        <f>IF(B687=$H$1,COUNT($H$2:H688)+1," ")</f>
        <v xml:space="preserve"> </v>
      </c>
      <c r="L687">
        <v>686</v>
      </c>
      <c r="M687">
        <v>24</v>
      </c>
      <c r="N687">
        <v>24</v>
      </c>
      <c r="O687" s="18" t="s">
        <v>954</v>
      </c>
      <c r="P687">
        <f t="shared" si="30"/>
        <v>48</v>
      </c>
      <c r="Q687" t="str">
        <f>INDEX(Elemek!$B$2:$B$113,MATCH(M687,Elemek!$C$2:$C$113,0))</f>
        <v>Cr</v>
      </c>
      <c r="R687" t="str">
        <f t="shared" si="31"/>
        <v>8.96339</v>
      </c>
      <c r="S687" t="str">
        <f t="shared" si="32"/>
        <v>8.96339</v>
      </c>
    </row>
    <row r="688" spans="1:19" x14ac:dyDescent="0.25">
      <c r="A688">
        <v>951</v>
      </c>
      <c r="B688" t="s">
        <v>123</v>
      </c>
      <c r="C688">
        <v>196</v>
      </c>
      <c r="D688">
        <v>77</v>
      </c>
      <c r="E688">
        <v>119</v>
      </c>
      <c r="F688" s="18" t="s">
        <v>1169</v>
      </c>
      <c r="H688" t="str">
        <f>IF(B688=$H$1,COUNT($H$2:H689)+1," ")</f>
        <v xml:space="preserve"> </v>
      </c>
      <c r="L688">
        <v>687</v>
      </c>
      <c r="M688">
        <v>65</v>
      </c>
      <c r="N688">
        <v>89</v>
      </c>
      <c r="O688" s="18"/>
      <c r="P688">
        <f t="shared" si="30"/>
        <v>154</v>
      </c>
      <c r="Q688" t="str">
        <f>INDEX(Elemek!$B$2:$B$113,MATCH(M688,Elemek!$C$2:$C$113,0))</f>
        <v>Tb</v>
      </c>
      <c r="R688" t="e">
        <f t="shared" si="31"/>
        <v>#DIV/0!</v>
      </c>
      <c r="S688" t="e">
        <f t="shared" si="32"/>
        <v>#DIV/0!</v>
      </c>
    </row>
    <row r="689" spans="1:19" x14ac:dyDescent="0.25">
      <c r="A689">
        <v>181</v>
      </c>
      <c r="B689" t="s">
        <v>115</v>
      </c>
      <c r="C689">
        <v>200</v>
      </c>
      <c r="D689">
        <v>80</v>
      </c>
      <c r="E689">
        <v>120</v>
      </c>
      <c r="F689" s="18" t="s">
        <v>488</v>
      </c>
      <c r="H689" t="str">
        <f>IF(B689=$H$1,COUNT($H$2:H690)+1," ")</f>
        <v xml:space="preserve"> </v>
      </c>
      <c r="L689">
        <v>688</v>
      </c>
      <c r="M689">
        <v>82</v>
      </c>
      <c r="N689">
        <v>118</v>
      </c>
      <c r="O689" s="18" t="s">
        <v>955</v>
      </c>
      <c r="P689">
        <f t="shared" si="30"/>
        <v>200</v>
      </c>
      <c r="Q689" t="str">
        <f>INDEX(Elemek!$B$2:$B$113,MATCH(M689,Elemek!$C$2:$C$113,0))</f>
        <v>Pb</v>
      </c>
      <c r="R689" t="str">
        <f t="shared" si="31"/>
        <v>8.202542</v>
      </c>
      <c r="S689" t="str">
        <f t="shared" si="32"/>
        <v>8.202542</v>
      </c>
    </row>
    <row r="690" spans="1:19" x14ac:dyDescent="0.25">
      <c r="A690">
        <v>598</v>
      </c>
      <c r="B690" t="s">
        <v>24</v>
      </c>
      <c r="C690">
        <v>199</v>
      </c>
      <c r="D690">
        <v>79</v>
      </c>
      <c r="E690">
        <v>120</v>
      </c>
      <c r="F690" s="18" t="s">
        <v>878</v>
      </c>
      <c r="H690" t="str">
        <f>IF(B690=$H$1,COUNT($H$2:H691)+1," ")</f>
        <v xml:space="preserve"> </v>
      </c>
      <c r="L690">
        <v>689</v>
      </c>
      <c r="M690">
        <v>46</v>
      </c>
      <c r="N690">
        <v>66</v>
      </c>
      <c r="O690" s="18" t="s">
        <v>956</v>
      </c>
      <c r="P690">
        <f t="shared" si="30"/>
        <v>112</v>
      </c>
      <c r="Q690" t="str">
        <f>INDEX(Elemek!$B$2:$B$113,MATCH(M690,Elemek!$C$2:$C$113,0))</f>
        <v>Pd</v>
      </c>
      <c r="R690" t="str">
        <f t="shared" si="31"/>
        <v>8.842185</v>
      </c>
      <c r="S690" t="str">
        <f t="shared" si="32"/>
        <v>8.842185</v>
      </c>
    </row>
    <row r="691" spans="1:19" x14ac:dyDescent="0.25">
      <c r="A691">
        <v>968</v>
      </c>
      <c r="B691" t="s">
        <v>270</v>
      </c>
      <c r="C691">
        <v>195</v>
      </c>
      <c r="D691">
        <v>81</v>
      </c>
      <c r="E691">
        <v>114</v>
      </c>
      <c r="F691" s="18" t="s">
        <v>1184</v>
      </c>
      <c r="H691" t="str">
        <f>IF(B691=$H$1,COUNT($H$2:H692)+1," ")</f>
        <v xml:space="preserve"> </v>
      </c>
      <c r="L691">
        <v>690</v>
      </c>
      <c r="M691">
        <v>12</v>
      </c>
      <c r="N691">
        <v>16</v>
      </c>
      <c r="O691" s="18" t="s">
        <v>957</v>
      </c>
      <c r="P691">
        <f t="shared" si="30"/>
        <v>28</v>
      </c>
      <c r="Q691" t="str">
        <f>INDEX(Elemek!$B$2:$B$113,MATCH(M691,Elemek!$C$2:$C$113,0))</f>
        <v>Mg</v>
      </c>
      <c r="R691" t="str">
        <f t="shared" si="31"/>
        <v>8.607706</v>
      </c>
      <c r="S691" t="str">
        <f t="shared" si="32"/>
        <v>8.607706</v>
      </c>
    </row>
    <row r="692" spans="1:19" x14ac:dyDescent="0.25">
      <c r="A692">
        <v>868</v>
      </c>
      <c r="B692" t="s">
        <v>270</v>
      </c>
      <c r="C692">
        <v>197</v>
      </c>
      <c r="D692">
        <v>81</v>
      </c>
      <c r="E692">
        <v>116</v>
      </c>
      <c r="F692" s="18" t="s">
        <v>1101</v>
      </c>
      <c r="H692" t="str">
        <f>IF(B692=$H$1,COUNT($H$2:H693)+1," ")</f>
        <v xml:space="preserve"> </v>
      </c>
      <c r="L692">
        <v>691</v>
      </c>
      <c r="M692">
        <v>45</v>
      </c>
      <c r="N692">
        <v>55</v>
      </c>
      <c r="O692" s="18" t="s">
        <v>958</v>
      </c>
      <c r="P692">
        <f t="shared" si="30"/>
        <v>100</v>
      </c>
      <c r="Q692" t="str">
        <f>INDEX(Elemek!$B$2:$B$113,MATCH(M692,Elemek!$C$2:$C$113,0))</f>
        <v>Rh</v>
      </c>
      <c r="R692" t="str">
        <f t="shared" si="31"/>
        <v>8.927167</v>
      </c>
      <c r="S692" t="str">
        <f t="shared" si="32"/>
        <v>8.927167</v>
      </c>
    </row>
    <row r="693" spans="1:19" x14ac:dyDescent="0.25">
      <c r="A693">
        <v>782</v>
      </c>
      <c r="B693" t="s">
        <v>270</v>
      </c>
      <c r="C693">
        <v>199</v>
      </c>
      <c r="D693">
        <v>81</v>
      </c>
      <c r="E693">
        <v>118</v>
      </c>
      <c r="F693" s="18" t="s">
        <v>1031</v>
      </c>
      <c r="H693" t="str">
        <f>IF(B693=$H$1,COUNT($H$2:H694)+1," ")</f>
        <v xml:space="preserve"> </v>
      </c>
      <c r="L693">
        <v>692</v>
      </c>
      <c r="M693">
        <v>53</v>
      </c>
      <c r="N693">
        <v>80</v>
      </c>
      <c r="O693" s="18" t="s">
        <v>959</v>
      </c>
      <c r="P693">
        <f t="shared" si="30"/>
        <v>133</v>
      </c>
      <c r="Q693" t="str">
        <f>INDEX(Elemek!$B$2:$B$113,MATCH(M693,Elemek!$C$2:$C$113,0))</f>
        <v>I</v>
      </c>
      <c r="R693" t="str">
        <f t="shared" si="31"/>
        <v>8.717094</v>
      </c>
      <c r="S693" t="str">
        <f t="shared" si="32"/>
        <v>8.717094</v>
      </c>
    </row>
    <row r="694" spans="1:19" x14ac:dyDescent="0.25">
      <c r="A694">
        <v>916</v>
      </c>
      <c r="B694" t="s">
        <v>270</v>
      </c>
      <c r="C694">
        <v>196</v>
      </c>
      <c r="D694">
        <v>81</v>
      </c>
      <c r="E694">
        <v>115</v>
      </c>
      <c r="F694" s="18" t="s">
        <v>1140</v>
      </c>
      <c r="H694" t="str">
        <f>IF(B694=$H$1,COUNT($H$2:H695)+1," ")</f>
        <v xml:space="preserve"> </v>
      </c>
      <c r="L694">
        <v>693</v>
      </c>
      <c r="M694">
        <v>54</v>
      </c>
      <c r="N694">
        <v>68</v>
      </c>
      <c r="O694" s="18" t="s">
        <v>960</v>
      </c>
      <c r="P694">
        <f t="shared" si="30"/>
        <v>122</v>
      </c>
      <c r="Q694" t="str">
        <f>INDEX(Elemek!$B$2:$B$113,MATCH(M694,Elemek!$C$2:$C$113,0))</f>
        <v>Xe</v>
      </c>
      <c r="R694" t="str">
        <f t="shared" si="31"/>
        <v>8.770959</v>
      </c>
      <c r="S694" t="str">
        <f t="shared" si="32"/>
        <v>8.770959</v>
      </c>
    </row>
    <row r="695" spans="1:19" x14ac:dyDescent="0.25">
      <c r="A695">
        <v>805</v>
      </c>
      <c r="B695" t="s">
        <v>270</v>
      </c>
      <c r="C695">
        <v>198</v>
      </c>
      <c r="D695">
        <v>81</v>
      </c>
      <c r="E695">
        <v>117</v>
      </c>
      <c r="F695" s="18" t="s">
        <v>1049</v>
      </c>
      <c r="H695" t="str">
        <f>IF(B695=$H$1,COUNT($H$2:H696)+1," ")</f>
        <v xml:space="preserve"> </v>
      </c>
      <c r="L695">
        <v>694</v>
      </c>
      <c r="M695">
        <v>100</v>
      </c>
      <c r="N695">
        <v>155</v>
      </c>
      <c r="O695" s="18" t="s">
        <v>961</v>
      </c>
      <c r="P695">
        <f t="shared" si="30"/>
        <v>255</v>
      </c>
      <c r="Q695" t="str">
        <f>INDEX(Elemek!$B$2:$B$113,MATCH(M695,Elemek!$C$2:$C$113,0))</f>
        <v>Fm</v>
      </c>
      <c r="R695" t="str">
        <f t="shared" si="31"/>
        <v>7.742704</v>
      </c>
      <c r="S695" t="str">
        <f t="shared" si="32"/>
        <v>7.742704</v>
      </c>
    </row>
    <row r="696" spans="1:19" x14ac:dyDescent="0.25">
      <c r="A696">
        <v>182</v>
      </c>
      <c r="B696" t="s">
        <v>115</v>
      </c>
      <c r="C696">
        <v>201</v>
      </c>
      <c r="D696">
        <v>80</v>
      </c>
      <c r="E696">
        <v>121</v>
      </c>
      <c r="F696" s="18" t="s">
        <v>489</v>
      </c>
      <c r="H696" t="str">
        <f>IF(B696=$H$1,COUNT($H$2:H697)+1," ")</f>
        <v xml:space="preserve"> </v>
      </c>
      <c r="L696">
        <v>695</v>
      </c>
      <c r="M696">
        <v>43</v>
      </c>
      <c r="N696">
        <v>52</v>
      </c>
      <c r="O696" s="18"/>
      <c r="P696">
        <f t="shared" si="30"/>
        <v>95</v>
      </c>
      <c r="Q696" t="str">
        <f>INDEX(Elemek!$B$2:$B$113,MATCH(M696,Elemek!$C$2:$C$113,0))</f>
        <v>Tc</v>
      </c>
      <c r="R696" t="e">
        <f t="shared" si="31"/>
        <v>#DIV/0!</v>
      </c>
      <c r="S696" t="e">
        <f t="shared" si="32"/>
        <v>#DIV/0!</v>
      </c>
    </row>
    <row r="697" spans="1:19" x14ac:dyDescent="0.25">
      <c r="A697">
        <v>183</v>
      </c>
      <c r="B697" t="s">
        <v>115</v>
      </c>
      <c r="C697">
        <v>202</v>
      </c>
      <c r="D697">
        <v>80</v>
      </c>
      <c r="E697">
        <v>122</v>
      </c>
      <c r="F697" s="18" t="s">
        <v>490</v>
      </c>
      <c r="H697" t="str">
        <f>IF(B697=$H$1,COUNT($H$2:H698)+1," ")</f>
        <v xml:space="preserve"> </v>
      </c>
      <c r="L697">
        <v>696</v>
      </c>
      <c r="M697">
        <v>75</v>
      </c>
      <c r="N697">
        <v>106</v>
      </c>
      <c r="O697" s="18" t="s">
        <v>962</v>
      </c>
      <c r="P697">
        <f t="shared" si="30"/>
        <v>181</v>
      </c>
      <c r="Q697" t="str">
        <f>INDEX(Elemek!$B$2:$B$113,MATCH(M697,Elemek!$C$2:$C$113,0))</f>
        <v>Re</v>
      </c>
      <c r="R697" t="str">
        <f t="shared" si="31"/>
        <v>8.328294</v>
      </c>
      <c r="S697" t="str">
        <f t="shared" si="32"/>
        <v>8.328294</v>
      </c>
    </row>
    <row r="698" spans="1:19" x14ac:dyDescent="0.25">
      <c r="A698">
        <v>670</v>
      </c>
      <c r="B698" t="s">
        <v>270</v>
      </c>
      <c r="C698">
        <v>200</v>
      </c>
      <c r="D698">
        <v>81</v>
      </c>
      <c r="E698">
        <v>119</v>
      </c>
      <c r="F698" s="18" t="s">
        <v>942</v>
      </c>
      <c r="H698" t="str">
        <f>IF(B698=$H$1,COUNT($H$2:H699)+1," ")</f>
        <v xml:space="preserve"> </v>
      </c>
      <c r="L698">
        <v>697</v>
      </c>
      <c r="M698">
        <v>78</v>
      </c>
      <c r="N698">
        <v>119</v>
      </c>
      <c r="O698" s="18" t="s">
        <v>963</v>
      </c>
      <c r="P698">
        <f t="shared" si="30"/>
        <v>197</v>
      </c>
      <c r="Q698" t="str">
        <f>INDEX(Elemek!$B$2:$B$113,MATCH(M698,Elemek!$C$2:$C$113,0))</f>
        <v>Pt</v>
      </c>
      <c r="R698" t="str">
        <f t="shared" si="31"/>
        <v>8.225756</v>
      </c>
      <c r="S698" t="str">
        <f t="shared" si="32"/>
        <v>8.225756</v>
      </c>
    </row>
    <row r="699" spans="1:19" x14ac:dyDescent="0.25">
      <c r="A699">
        <v>599</v>
      </c>
      <c r="B699" t="s">
        <v>270</v>
      </c>
      <c r="C699">
        <v>201</v>
      </c>
      <c r="D699">
        <v>81</v>
      </c>
      <c r="E699">
        <v>120</v>
      </c>
      <c r="F699" s="18" t="s">
        <v>879</v>
      </c>
      <c r="H699" t="str">
        <f>IF(B699=$H$1,COUNT($H$2:H700)+1," ")</f>
        <v xml:space="preserve"> </v>
      </c>
      <c r="L699">
        <v>698</v>
      </c>
      <c r="M699">
        <v>57</v>
      </c>
      <c r="N699">
        <v>78</v>
      </c>
      <c r="O699" s="18" t="s">
        <v>964</v>
      </c>
      <c r="P699">
        <f t="shared" si="30"/>
        <v>135</v>
      </c>
      <c r="Q699" t="str">
        <f>INDEX(Elemek!$B$2:$B$113,MATCH(M699,Elemek!$C$2:$C$113,0))</f>
        <v>La</v>
      </c>
      <c r="R699" t="str">
        <f t="shared" si="31"/>
        <v>8.713179</v>
      </c>
      <c r="S699" t="str">
        <f t="shared" si="32"/>
        <v>8.713179</v>
      </c>
    </row>
    <row r="700" spans="1:19" x14ac:dyDescent="0.25">
      <c r="A700">
        <v>735</v>
      </c>
      <c r="B700" t="s">
        <v>217</v>
      </c>
      <c r="C700">
        <v>200</v>
      </c>
      <c r="D700">
        <v>78</v>
      </c>
      <c r="E700">
        <v>122</v>
      </c>
      <c r="F700" s="18" t="s">
        <v>994</v>
      </c>
      <c r="H700" t="str">
        <f>IF(B700=$H$1,COUNT($H$2:H701)+1," ")</f>
        <v xml:space="preserve"> </v>
      </c>
      <c r="L700">
        <v>699</v>
      </c>
      <c r="M700">
        <v>77</v>
      </c>
      <c r="N700">
        <v>117</v>
      </c>
      <c r="O700" s="18"/>
      <c r="P700">
        <f t="shared" si="30"/>
        <v>194</v>
      </c>
      <c r="Q700" t="str">
        <f>INDEX(Elemek!$B$2:$B$113,MATCH(M700,Elemek!$C$2:$C$113,0))</f>
        <v>Ir</v>
      </c>
      <c r="R700" t="e">
        <f t="shared" si="31"/>
        <v>#DIV/0!</v>
      </c>
      <c r="S700" t="e">
        <f t="shared" si="32"/>
        <v>#DIV/0!</v>
      </c>
    </row>
    <row r="701" spans="1:19" x14ac:dyDescent="0.25">
      <c r="A701">
        <v>889</v>
      </c>
      <c r="B701" t="s">
        <v>205</v>
      </c>
      <c r="C701">
        <v>198</v>
      </c>
      <c r="D701">
        <v>82</v>
      </c>
      <c r="E701">
        <v>116</v>
      </c>
      <c r="F701" s="18" t="s">
        <v>1118</v>
      </c>
      <c r="H701" t="str">
        <f>IF(B701=$H$1,COUNT($H$2:H702)+1," ")</f>
        <v xml:space="preserve"> </v>
      </c>
      <c r="L701">
        <v>700</v>
      </c>
      <c r="M701">
        <v>59</v>
      </c>
      <c r="N701">
        <v>83</v>
      </c>
      <c r="O701" s="18" t="s">
        <v>965</v>
      </c>
      <c r="P701">
        <f t="shared" si="30"/>
        <v>142</v>
      </c>
      <c r="Q701" t="str">
        <f>INDEX(Elemek!$B$2:$B$113,MATCH(M701,Elemek!$C$2:$C$113,0))</f>
        <v>Pr</v>
      </c>
      <c r="R701" t="str">
        <f t="shared" si="31"/>
        <v>8.661417</v>
      </c>
      <c r="S701" t="str">
        <f t="shared" si="32"/>
        <v>8.661417</v>
      </c>
    </row>
    <row r="702" spans="1:19" x14ac:dyDescent="0.25">
      <c r="A702">
        <v>701</v>
      </c>
      <c r="B702" t="s">
        <v>24</v>
      </c>
      <c r="C702">
        <v>200</v>
      </c>
      <c r="D702">
        <v>79</v>
      </c>
      <c r="E702">
        <v>121</v>
      </c>
      <c r="F702" s="18" t="s">
        <v>966</v>
      </c>
      <c r="H702" t="str">
        <f>IF(B702=$H$1,COUNT($H$2:H703)+1," ")</f>
        <v xml:space="preserve"> </v>
      </c>
      <c r="L702">
        <v>701</v>
      </c>
      <c r="M702">
        <v>79</v>
      </c>
      <c r="N702">
        <v>121</v>
      </c>
      <c r="O702" s="18" t="s">
        <v>966</v>
      </c>
      <c r="P702">
        <f t="shared" si="30"/>
        <v>200</v>
      </c>
      <c r="Q702" t="str">
        <f>INDEX(Elemek!$B$2:$B$113,MATCH(M702,Elemek!$C$2:$C$113,0))</f>
        <v>Au</v>
      </c>
      <c r="R702" t="str">
        <f t="shared" si="31"/>
        <v>8.202877</v>
      </c>
      <c r="S702" t="str">
        <f t="shared" si="32"/>
        <v>8.202877</v>
      </c>
    </row>
    <row r="703" spans="1:19" x14ac:dyDescent="0.25">
      <c r="A703">
        <v>688</v>
      </c>
      <c r="B703" t="s">
        <v>205</v>
      </c>
      <c r="C703">
        <v>200</v>
      </c>
      <c r="D703">
        <v>82</v>
      </c>
      <c r="E703">
        <v>118</v>
      </c>
      <c r="F703" s="18" t="s">
        <v>955</v>
      </c>
      <c r="H703" t="str">
        <f>IF(B703=$H$1,COUNT($H$2:H704)+1," ")</f>
        <v xml:space="preserve"> </v>
      </c>
      <c r="L703">
        <v>702</v>
      </c>
      <c r="M703">
        <v>64</v>
      </c>
      <c r="N703">
        <v>95</v>
      </c>
      <c r="O703" s="18" t="s">
        <v>967</v>
      </c>
      <c r="P703">
        <f t="shared" si="30"/>
        <v>159</v>
      </c>
      <c r="Q703" t="str">
        <f>INDEX(Elemek!$B$2:$B$113,MATCH(M703,Elemek!$C$2:$C$113,0))</f>
        <v>Gd</v>
      </c>
      <c r="R703" t="str">
        <f t="shared" si="31"/>
        <v>8.502576</v>
      </c>
      <c r="S703" t="str">
        <f t="shared" si="32"/>
        <v>8.502576</v>
      </c>
    </row>
    <row r="704" spans="1:19" x14ac:dyDescent="0.25">
      <c r="A704">
        <v>529</v>
      </c>
      <c r="B704" t="s">
        <v>270</v>
      </c>
      <c r="C704">
        <v>202</v>
      </c>
      <c r="D704">
        <v>81</v>
      </c>
      <c r="E704">
        <v>121</v>
      </c>
      <c r="F704" s="18" t="s">
        <v>821</v>
      </c>
      <c r="H704" t="str">
        <f>IF(B704=$H$1,COUNT($H$2:H705)+1," ")</f>
        <v xml:space="preserve"> </v>
      </c>
      <c r="L704">
        <v>703</v>
      </c>
      <c r="M704">
        <v>58</v>
      </c>
      <c r="N704">
        <v>77</v>
      </c>
      <c r="O704" s="18" t="s">
        <v>968</v>
      </c>
      <c r="P704">
        <f t="shared" si="30"/>
        <v>135</v>
      </c>
      <c r="Q704" t="str">
        <f>INDEX(Elemek!$B$2:$B$113,MATCH(M704,Elemek!$C$2:$C$113,0))</f>
        <v>Ce</v>
      </c>
      <c r="R704" t="str">
        <f t="shared" si="31"/>
        <v>8.698179</v>
      </c>
      <c r="S704" t="str">
        <f t="shared" si="32"/>
        <v>8.698179</v>
      </c>
    </row>
    <row r="705" spans="1:19" x14ac:dyDescent="0.25">
      <c r="A705">
        <v>324</v>
      </c>
      <c r="B705" t="s">
        <v>205</v>
      </c>
      <c r="C705">
        <v>202</v>
      </c>
      <c r="D705">
        <v>82</v>
      </c>
      <c r="E705">
        <v>120</v>
      </c>
      <c r="F705" s="18" t="s">
        <v>631</v>
      </c>
      <c r="H705" t="str">
        <f>IF(B705=$H$1,COUNT($H$2:H706)+1," ")</f>
        <v xml:space="preserve"> </v>
      </c>
      <c r="L705">
        <v>704</v>
      </c>
      <c r="M705">
        <v>79</v>
      </c>
      <c r="N705">
        <v>114</v>
      </c>
      <c r="O705" s="18" t="s">
        <v>969</v>
      </c>
      <c r="P705">
        <f t="shared" si="30"/>
        <v>193</v>
      </c>
      <c r="Q705" t="str">
        <f>INDEX(Elemek!$B$2:$B$113,MATCH(M705,Elemek!$C$2:$C$113,0))</f>
        <v>Au</v>
      </c>
      <c r="R705" t="str">
        <f t="shared" si="31"/>
        <v>8.244353</v>
      </c>
      <c r="S705" t="str">
        <f t="shared" si="32"/>
        <v>8.244353</v>
      </c>
    </row>
    <row r="706" spans="1:19" x14ac:dyDescent="0.25">
      <c r="A706">
        <v>184</v>
      </c>
      <c r="B706" t="s">
        <v>270</v>
      </c>
      <c r="C706">
        <v>203</v>
      </c>
      <c r="D706">
        <v>81</v>
      </c>
      <c r="E706">
        <v>122</v>
      </c>
      <c r="F706" s="18" t="s">
        <v>491</v>
      </c>
      <c r="H706" t="str">
        <f>IF(B706=$H$1,COUNT($H$2:H707)+1," ")</f>
        <v xml:space="preserve"> </v>
      </c>
      <c r="L706">
        <v>705</v>
      </c>
      <c r="M706">
        <v>65</v>
      </c>
      <c r="N706">
        <v>86</v>
      </c>
      <c r="O706" s="18" t="s">
        <v>970</v>
      </c>
      <c r="P706">
        <f t="shared" si="30"/>
        <v>151</v>
      </c>
      <c r="Q706" t="str">
        <f>INDEX(Elemek!$B$2:$B$113,MATCH(M706,Elemek!$C$2:$C$113,0))</f>
        <v>Tb</v>
      </c>
      <c r="R706" t="str">
        <f t="shared" si="31"/>
        <v>8.545692</v>
      </c>
      <c r="S706" t="str">
        <f t="shared" si="32"/>
        <v>8.545692</v>
      </c>
    </row>
    <row r="707" spans="1:19" x14ac:dyDescent="0.25">
      <c r="A707">
        <v>947</v>
      </c>
      <c r="B707" t="s">
        <v>205</v>
      </c>
      <c r="C707">
        <v>199</v>
      </c>
      <c r="D707">
        <v>82</v>
      </c>
      <c r="E707">
        <v>117</v>
      </c>
      <c r="F707" s="18" t="s">
        <v>1166</v>
      </c>
      <c r="H707" t="str">
        <f>IF(B707=$H$1,COUNT($H$2:H708)+1," ")</f>
        <v xml:space="preserve"> </v>
      </c>
      <c r="L707">
        <v>706</v>
      </c>
      <c r="M707">
        <v>27</v>
      </c>
      <c r="N707">
        <v>28</v>
      </c>
      <c r="O707" s="18" t="s">
        <v>971</v>
      </c>
      <c r="P707">
        <f t="shared" ref="P707:P770" si="33">N707+M707</f>
        <v>55</v>
      </c>
      <c r="Q707" t="str">
        <f>INDEX(Elemek!$B$2:$B$113,MATCH(M707,Elemek!$C$2:$C$113,0))</f>
        <v>Co</v>
      </c>
      <c r="R707" t="str">
        <f t="shared" ref="R707:R770" si="34">IF(NOT(ISBLANK(O707)),O707,ROUNDDOWN(AVERAGE($O$2:$O$990),2))</f>
        <v>9.053647</v>
      </c>
      <c r="S707" t="str">
        <f t="shared" ref="S707:S770" si="35">IF(ISBLANK(O707),ROUNDDOWN(AVERAGEIF($M$2:$M$990,M707,$O$2:$O$990),2),O707)</f>
        <v>9.053647</v>
      </c>
    </row>
    <row r="708" spans="1:19" x14ac:dyDescent="0.25">
      <c r="A708">
        <v>762</v>
      </c>
      <c r="B708" t="s">
        <v>205</v>
      </c>
      <c r="C708">
        <v>201</v>
      </c>
      <c r="D708">
        <v>82</v>
      </c>
      <c r="E708">
        <v>119</v>
      </c>
      <c r="F708" s="18" t="s">
        <v>1015</v>
      </c>
      <c r="H708" t="str">
        <f>IF(B708=$H$1,COUNT($H$2:H709)+1," ")</f>
        <v xml:space="preserve"> </v>
      </c>
      <c r="L708">
        <v>707</v>
      </c>
      <c r="M708">
        <v>65</v>
      </c>
      <c r="N708">
        <v>87</v>
      </c>
      <c r="O708" s="18" t="s">
        <v>972</v>
      </c>
      <c r="P708">
        <f t="shared" si="33"/>
        <v>152</v>
      </c>
      <c r="Q708" t="str">
        <f>INDEX(Elemek!$B$2:$B$113,MATCH(M708,Elemek!$C$2:$C$113,0))</f>
        <v>Tb</v>
      </c>
      <c r="R708" t="str">
        <f t="shared" si="34"/>
        <v>8.536591</v>
      </c>
      <c r="S708" t="str">
        <f t="shared" si="35"/>
        <v>8.536591</v>
      </c>
    </row>
    <row r="709" spans="1:19" x14ac:dyDescent="0.25">
      <c r="A709">
        <v>478</v>
      </c>
      <c r="B709" t="s">
        <v>115</v>
      </c>
      <c r="C709">
        <v>203</v>
      </c>
      <c r="D709">
        <v>80</v>
      </c>
      <c r="E709">
        <v>123</v>
      </c>
      <c r="F709" s="18" t="s">
        <v>774</v>
      </c>
      <c r="H709" t="str">
        <f>IF(B709=$H$1,COUNT($H$2:H710)+1," ")</f>
        <v xml:space="preserve"> </v>
      </c>
      <c r="L709">
        <v>708</v>
      </c>
      <c r="M709">
        <v>75</v>
      </c>
      <c r="N709">
        <v>113</v>
      </c>
      <c r="O709" s="18" t="s">
        <v>973</v>
      </c>
      <c r="P709">
        <f t="shared" si="33"/>
        <v>188</v>
      </c>
      <c r="Q709" t="str">
        <f>INDEX(Elemek!$B$2:$B$113,MATCH(M709,Elemek!$C$2:$C$113,0))</f>
        <v>Re</v>
      </c>
      <c r="R709" t="str">
        <f t="shared" si="34"/>
        <v>8.27886</v>
      </c>
      <c r="S709" t="str">
        <f t="shared" si="35"/>
        <v>8.27886</v>
      </c>
    </row>
    <row r="710" spans="1:19" x14ac:dyDescent="0.25">
      <c r="A710">
        <v>203</v>
      </c>
      <c r="B710" t="s">
        <v>205</v>
      </c>
      <c r="C710">
        <v>204</v>
      </c>
      <c r="D710">
        <v>82</v>
      </c>
      <c r="E710">
        <v>122</v>
      </c>
      <c r="F710" s="18" t="s">
        <v>510</v>
      </c>
      <c r="H710" t="str">
        <f>IF(B710=$H$1,COUNT($H$2:H711)+1," ")</f>
        <v xml:space="preserve"> </v>
      </c>
      <c r="L710">
        <v>709</v>
      </c>
      <c r="M710">
        <v>54</v>
      </c>
      <c r="N710">
        <v>71</v>
      </c>
      <c r="O710" s="18" t="s">
        <v>974</v>
      </c>
      <c r="P710">
        <f t="shared" si="33"/>
        <v>125</v>
      </c>
      <c r="Q710" t="str">
        <f>INDEX(Elemek!$B$2:$B$113,MATCH(M710,Elemek!$C$2:$C$113,0))</f>
        <v>Xe</v>
      </c>
      <c r="R710" t="str">
        <f t="shared" si="34"/>
        <v>8.768864</v>
      </c>
      <c r="S710" t="str">
        <f t="shared" si="35"/>
        <v>8.768864</v>
      </c>
    </row>
    <row r="711" spans="1:19" x14ac:dyDescent="0.25">
      <c r="A711">
        <v>626</v>
      </c>
      <c r="B711" t="s">
        <v>205</v>
      </c>
      <c r="C711">
        <v>203</v>
      </c>
      <c r="D711">
        <v>82</v>
      </c>
      <c r="E711">
        <v>121</v>
      </c>
      <c r="F711" s="18" t="s">
        <v>903</v>
      </c>
      <c r="H711" t="str">
        <f>IF(B711=$H$1,COUNT($H$2:H712)+1," ")</f>
        <v xml:space="preserve"> </v>
      </c>
      <c r="L711">
        <v>710</v>
      </c>
      <c r="M711">
        <v>40</v>
      </c>
      <c r="N711">
        <v>57</v>
      </c>
      <c r="O711" s="18" t="s">
        <v>975</v>
      </c>
      <c r="P711">
        <f t="shared" si="33"/>
        <v>97</v>
      </c>
      <c r="Q711" t="str">
        <f>INDEX(Elemek!$B$2:$B$113,MATCH(M711,Elemek!$C$2:$C$113,0))</f>
        <v>Zr</v>
      </c>
      <c r="R711" t="str">
        <f t="shared" si="34"/>
        <v>8.926451</v>
      </c>
      <c r="S711" t="str">
        <f t="shared" si="35"/>
        <v>8.926451</v>
      </c>
    </row>
    <row r="712" spans="1:19" x14ac:dyDescent="0.25">
      <c r="A712">
        <v>185</v>
      </c>
      <c r="B712" t="s">
        <v>115</v>
      </c>
      <c r="C712">
        <v>204</v>
      </c>
      <c r="D712">
        <v>80</v>
      </c>
      <c r="E712">
        <v>124</v>
      </c>
      <c r="F712" s="18" t="s">
        <v>492</v>
      </c>
      <c r="H712" t="str">
        <f>IF(B712=$H$1,COUNT($H$2:H713)+1," ")</f>
        <v xml:space="preserve"> </v>
      </c>
      <c r="L712">
        <v>711</v>
      </c>
      <c r="M712">
        <v>77</v>
      </c>
      <c r="N712">
        <v>109</v>
      </c>
      <c r="O712" s="18" t="s">
        <v>976</v>
      </c>
      <c r="P712">
        <f t="shared" si="33"/>
        <v>186</v>
      </c>
      <c r="Q712" t="str">
        <f>INDEX(Elemek!$B$2:$B$113,MATCH(M712,Elemek!$C$2:$C$113,0))</f>
        <v>Ir</v>
      </c>
      <c r="R712" t="str">
        <f t="shared" si="34"/>
        <v>8.281935</v>
      </c>
      <c r="S712" t="str">
        <f t="shared" si="35"/>
        <v>8.281935</v>
      </c>
    </row>
    <row r="713" spans="1:19" x14ac:dyDescent="0.25">
      <c r="A713">
        <v>387</v>
      </c>
      <c r="B713" t="s">
        <v>270</v>
      </c>
      <c r="C713">
        <v>204</v>
      </c>
      <c r="D713">
        <v>81</v>
      </c>
      <c r="E713">
        <v>123</v>
      </c>
      <c r="F713" s="18" t="s">
        <v>691</v>
      </c>
      <c r="H713" t="str">
        <f>IF(B713=$H$1,COUNT($H$2:H714)+1," ")</f>
        <v xml:space="preserve"> </v>
      </c>
      <c r="L713">
        <v>712</v>
      </c>
      <c r="M713">
        <v>40</v>
      </c>
      <c r="N713">
        <v>46</v>
      </c>
      <c r="O713" s="18" t="s">
        <v>977</v>
      </c>
      <c r="P713">
        <f t="shared" si="33"/>
        <v>86</v>
      </c>
      <c r="Q713" t="str">
        <f>INDEX(Elemek!$B$2:$B$113,MATCH(M713,Elemek!$C$2:$C$113,0))</f>
        <v>Zr</v>
      </c>
      <c r="R713" t="str">
        <f t="shared" si="34"/>
        <v>8.975979</v>
      </c>
      <c r="S713" t="str">
        <f t="shared" si="35"/>
        <v>8.975979</v>
      </c>
    </row>
    <row r="714" spans="1:19" x14ac:dyDescent="0.25">
      <c r="A714">
        <v>186</v>
      </c>
      <c r="B714" t="s">
        <v>270</v>
      </c>
      <c r="C714">
        <v>205</v>
      </c>
      <c r="D714">
        <v>81</v>
      </c>
      <c r="E714">
        <v>124</v>
      </c>
      <c r="F714" s="18" t="s">
        <v>493</v>
      </c>
      <c r="H714" t="str">
        <f>IF(B714=$H$1,COUNT($H$2:H715)+1," ")</f>
        <v xml:space="preserve"> </v>
      </c>
      <c r="L714">
        <v>713</v>
      </c>
      <c r="M714">
        <v>35</v>
      </c>
      <c r="N714">
        <v>41</v>
      </c>
      <c r="O714" s="18" t="s">
        <v>978</v>
      </c>
      <c r="P714">
        <f t="shared" si="33"/>
        <v>76</v>
      </c>
      <c r="Q714" t="str">
        <f>INDEX(Elemek!$B$2:$B$113,MATCH(M714,Elemek!$C$2:$C$113,0))</f>
        <v>Br</v>
      </c>
      <c r="R714" t="str">
        <f t="shared" si="34"/>
        <v>8.996183</v>
      </c>
      <c r="S714" t="str">
        <f t="shared" si="35"/>
        <v>8.996183</v>
      </c>
    </row>
    <row r="715" spans="1:19" x14ac:dyDescent="0.25">
      <c r="A715">
        <v>291</v>
      </c>
      <c r="B715" t="s">
        <v>205</v>
      </c>
      <c r="C715">
        <v>205</v>
      </c>
      <c r="D715">
        <v>82</v>
      </c>
      <c r="E715">
        <v>123</v>
      </c>
      <c r="F715" s="18" t="s">
        <v>598</v>
      </c>
      <c r="H715" t="str">
        <f>IF(B715=$H$1,COUNT($H$2:H716)+1," ")</f>
        <v xml:space="preserve"> </v>
      </c>
      <c r="L715">
        <v>714</v>
      </c>
      <c r="M715">
        <v>52</v>
      </c>
      <c r="N715">
        <v>67</v>
      </c>
      <c r="O715" s="18"/>
      <c r="P715">
        <f t="shared" si="33"/>
        <v>119</v>
      </c>
      <c r="Q715" t="str">
        <f>INDEX(Elemek!$B$2:$B$113,MATCH(M715,Elemek!$C$2:$C$113,0))</f>
        <v>Te</v>
      </c>
      <c r="R715" t="e">
        <f t="shared" si="34"/>
        <v>#DIV/0!</v>
      </c>
      <c r="S715" t="e">
        <f t="shared" si="35"/>
        <v>#DIV/0!</v>
      </c>
    </row>
    <row r="716" spans="1:19" x14ac:dyDescent="0.25">
      <c r="A716">
        <v>191</v>
      </c>
      <c r="B716" t="s">
        <v>205</v>
      </c>
      <c r="C716">
        <v>206</v>
      </c>
      <c r="D716">
        <v>82</v>
      </c>
      <c r="E716">
        <v>124</v>
      </c>
      <c r="F716" s="18" t="s">
        <v>498</v>
      </c>
      <c r="H716" t="str">
        <f>IF(B716=$H$1,COUNT($H$2:H717)+1," ")</f>
        <v xml:space="preserve"> </v>
      </c>
      <c r="L716">
        <v>715</v>
      </c>
      <c r="M716">
        <v>95</v>
      </c>
      <c r="N716">
        <v>147</v>
      </c>
      <c r="O716" s="18"/>
      <c r="P716">
        <f t="shared" si="33"/>
        <v>242</v>
      </c>
      <c r="Q716" t="str">
        <f>INDEX(Elemek!$B$2:$B$113,MATCH(M716,Elemek!$C$2:$C$113,0))</f>
        <v>Am</v>
      </c>
      <c r="R716" t="e">
        <f t="shared" si="34"/>
        <v>#DIV/0!</v>
      </c>
      <c r="S716" t="e">
        <f t="shared" si="35"/>
        <v>#DIV/0!</v>
      </c>
    </row>
    <row r="717" spans="1:19" x14ac:dyDescent="0.25">
      <c r="A717">
        <v>633</v>
      </c>
      <c r="B717" t="s">
        <v>217</v>
      </c>
      <c r="C717">
        <v>202</v>
      </c>
      <c r="D717">
        <v>78</v>
      </c>
      <c r="E717">
        <v>124</v>
      </c>
      <c r="F717" s="18" t="s">
        <v>910</v>
      </c>
      <c r="H717" t="str">
        <f>IF(B717=$H$1,COUNT($H$2:H718)+1," ")</f>
        <v xml:space="preserve"> </v>
      </c>
      <c r="L717">
        <v>716</v>
      </c>
      <c r="M717">
        <v>72</v>
      </c>
      <c r="N717">
        <v>98</v>
      </c>
      <c r="O717" s="18" t="s">
        <v>979</v>
      </c>
      <c r="P717">
        <f t="shared" si="33"/>
        <v>170</v>
      </c>
      <c r="Q717" t="str">
        <f>INDEX(Elemek!$B$2:$B$113,MATCH(M717,Elemek!$C$2:$C$113,0))</f>
        <v>Hf</v>
      </c>
      <c r="R717" t="str">
        <f t="shared" si="34"/>
        <v>8.40221</v>
      </c>
      <c r="S717" t="str">
        <f t="shared" si="35"/>
        <v>8.40221</v>
      </c>
    </row>
    <row r="718" spans="1:19" x14ac:dyDescent="0.25">
      <c r="A718">
        <v>193</v>
      </c>
      <c r="B718" t="s">
        <v>205</v>
      </c>
      <c r="C718">
        <v>207</v>
      </c>
      <c r="D718">
        <v>82</v>
      </c>
      <c r="E718">
        <v>125</v>
      </c>
      <c r="F718" s="18" t="s">
        <v>500</v>
      </c>
      <c r="H718" t="str">
        <f>IF(B718=$H$1,COUNT($H$2:H719)+1," ")</f>
        <v xml:space="preserve"> </v>
      </c>
      <c r="L718">
        <v>717</v>
      </c>
      <c r="M718">
        <v>63</v>
      </c>
      <c r="N718">
        <v>94</v>
      </c>
      <c r="O718" s="18" t="s">
        <v>980</v>
      </c>
      <c r="P718">
        <f t="shared" si="33"/>
        <v>157</v>
      </c>
      <c r="Q718" t="str">
        <f>INDEX(Elemek!$B$2:$B$113,MATCH(M718,Elemek!$C$2:$C$113,0))</f>
        <v>Eu</v>
      </c>
      <c r="R718" t="str">
        <f t="shared" si="34"/>
        <v>8.513792</v>
      </c>
      <c r="S718" t="str">
        <f t="shared" si="35"/>
        <v>8.513792</v>
      </c>
    </row>
    <row r="719" spans="1:19" x14ac:dyDescent="0.25">
      <c r="A719">
        <v>922</v>
      </c>
      <c r="B719" t="s">
        <v>44</v>
      </c>
      <c r="C719">
        <v>201</v>
      </c>
      <c r="D719">
        <v>83</v>
      </c>
      <c r="E719">
        <v>118</v>
      </c>
      <c r="F719" s="18" t="s">
        <v>1145</v>
      </c>
      <c r="H719" t="str">
        <f>IF(B719=$H$1,COUNT($H$2:H720)+1," ")</f>
        <v xml:space="preserve"> </v>
      </c>
      <c r="L719">
        <v>718</v>
      </c>
      <c r="M719">
        <v>11</v>
      </c>
      <c r="N719">
        <v>13</v>
      </c>
      <c r="O719" s="18" t="s">
        <v>981</v>
      </c>
      <c r="P719">
        <f t="shared" si="33"/>
        <v>24</v>
      </c>
      <c r="Q719" t="str">
        <f>INDEX(Elemek!$B$2:$B$113,MATCH(M719,Elemek!$C$2:$C$113,0))</f>
        <v>Na</v>
      </c>
      <c r="R719" t="str">
        <f t="shared" si="34"/>
        <v>8.422082</v>
      </c>
      <c r="S719" t="str">
        <f t="shared" si="35"/>
        <v>8.422082</v>
      </c>
    </row>
    <row r="720" spans="1:19" x14ac:dyDescent="0.25">
      <c r="A720">
        <v>741</v>
      </c>
      <c r="B720" t="s">
        <v>44</v>
      </c>
      <c r="C720">
        <v>203</v>
      </c>
      <c r="D720">
        <v>83</v>
      </c>
      <c r="E720">
        <v>120</v>
      </c>
      <c r="F720" s="18" t="s">
        <v>1000</v>
      </c>
      <c r="H720" t="str">
        <f>IF(B720=$H$1,COUNT($H$2:H721)+1," ")</f>
        <v xml:space="preserve"> </v>
      </c>
      <c r="L720">
        <v>719</v>
      </c>
      <c r="M720">
        <v>36</v>
      </c>
      <c r="N720">
        <v>40</v>
      </c>
      <c r="O720" s="18" t="s">
        <v>982</v>
      </c>
      <c r="P720">
        <f t="shared" si="33"/>
        <v>76</v>
      </c>
      <c r="Q720" t="str">
        <f>INDEX(Elemek!$B$2:$B$113,MATCH(M720,Elemek!$C$2:$C$113,0))</f>
        <v>Kr</v>
      </c>
      <c r="R720" t="str">
        <f t="shared" si="34"/>
        <v>8.979406</v>
      </c>
      <c r="S720" t="str">
        <f t="shared" si="35"/>
        <v>8.979406</v>
      </c>
    </row>
    <row r="721" spans="1:19" x14ac:dyDescent="0.25">
      <c r="A721">
        <v>190</v>
      </c>
      <c r="B721" t="s">
        <v>205</v>
      </c>
      <c r="C721">
        <v>208</v>
      </c>
      <c r="D721">
        <v>82</v>
      </c>
      <c r="E721">
        <v>126</v>
      </c>
      <c r="F721" s="18" t="s">
        <v>497</v>
      </c>
      <c r="H721" t="str">
        <f>IF(B721=$H$1,COUNT($H$2:H722)+1," ")</f>
        <v xml:space="preserve"> </v>
      </c>
      <c r="L721">
        <v>720</v>
      </c>
      <c r="M721">
        <v>39</v>
      </c>
      <c r="N721">
        <v>47</v>
      </c>
      <c r="O721" s="18" t="s">
        <v>983</v>
      </c>
      <c r="P721">
        <f t="shared" si="33"/>
        <v>86</v>
      </c>
      <c r="Q721" t="str">
        <f>INDEX(Elemek!$B$2:$B$113,MATCH(M721,Elemek!$C$2:$C$113,0))</f>
        <v>Y</v>
      </c>
      <c r="R721" t="str">
        <f t="shared" si="34"/>
        <v>8.993234</v>
      </c>
      <c r="S721" t="str">
        <f t="shared" si="35"/>
        <v>8.993234</v>
      </c>
    </row>
    <row r="722" spans="1:19" x14ac:dyDescent="0.25">
      <c r="A722">
        <v>518</v>
      </c>
      <c r="B722" t="s">
        <v>44</v>
      </c>
      <c r="C722">
        <v>205</v>
      </c>
      <c r="D722">
        <v>83</v>
      </c>
      <c r="E722">
        <v>122</v>
      </c>
      <c r="F722" s="18" t="s">
        <v>811</v>
      </c>
      <c r="H722" t="str">
        <f>IF(B722=$H$1,COUNT($H$2:H723)+1," ")</f>
        <v xml:space="preserve"> </v>
      </c>
      <c r="L722">
        <v>721</v>
      </c>
      <c r="M722">
        <v>86</v>
      </c>
      <c r="N722">
        <v>125</v>
      </c>
      <c r="O722" s="18" t="s">
        <v>984</v>
      </c>
      <c r="P722">
        <f t="shared" si="33"/>
        <v>211</v>
      </c>
      <c r="Q722" t="str">
        <f>INDEX(Elemek!$B$2:$B$113,MATCH(M722,Elemek!$C$2:$C$113,0))</f>
        <v>Rn</v>
      </c>
      <c r="R722" t="str">
        <f t="shared" si="34"/>
        <v>8.112825</v>
      </c>
      <c r="S722" t="str">
        <f t="shared" si="35"/>
        <v>8.112825</v>
      </c>
    </row>
    <row r="723" spans="1:19" x14ac:dyDescent="0.25">
      <c r="A723">
        <v>929</v>
      </c>
      <c r="B723" t="s">
        <v>44</v>
      </c>
      <c r="C723">
        <v>202</v>
      </c>
      <c r="D723">
        <v>83</v>
      </c>
      <c r="E723">
        <v>119</v>
      </c>
      <c r="F723" s="18" t="s">
        <v>1152</v>
      </c>
      <c r="H723" t="str">
        <f>IF(B723=$H$1,COUNT($H$2:H724)+1," ")</f>
        <v xml:space="preserve"> </v>
      </c>
      <c r="L723">
        <v>722</v>
      </c>
      <c r="M723">
        <v>41</v>
      </c>
      <c r="N723">
        <v>49</v>
      </c>
      <c r="O723" s="18" t="s">
        <v>985</v>
      </c>
      <c r="P723">
        <f t="shared" si="33"/>
        <v>90</v>
      </c>
      <c r="Q723" t="str">
        <f>INDEX(Elemek!$B$2:$B$113,MATCH(M723,Elemek!$C$2:$C$113,0))</f>
        <v>Nb</v>
      </c>
      <c r="R723" t="str">
        <f t="shared" si="34"/>
        <v>8.989727</v>
      </c>
      <c r="S723" t="str">
        <f t="shared" si="35"/>
        <v>8.989727</v>
      </c>
    </row>
    <row r="724" spans="1:19" x14ac:dyDescent="0.25">
      <c r="A724">
        <v>743</v>
      </c>
      <c r="B724" t="s">
        <v>44</v>
      </c>
      <c r="C724">
        <v>204</v>
      </c>
      <c r="D724">
        <v>83</v>
      </c>
      <c r="E724">
        <v>121</v>
      </c>
      <c r="F724" s="18" t="s">
        <v>1002</v>
      </c>
      <c r="H724" t="str">
        <f>IF(B724=$H$1,COUNT($H$2:H725)+1," ")</f>
        <v xml:space="preserve"> </v>
      </c>
      <c r="L724">
        <v>723</v>
      </c>
      <c r="M724">
        <v>77</v>
      </c>
      <c r="N724">
        <v>108</v>
      </c>
      <c r="O724" s="18" t="s">
        <v>986</v>
      </c>
      <c r="P724">
        <f t="shared" si="33"/>
        <v>185</v>
      </c>
      <c r="Q724" t="str">
        <f>INDEX(Elemek!$B$2:$B$113,MATCH(M724,Elemek!$C$2:$C$113,0))</f>
        <v>Ir</v>
      </c>
      <c r="R724" t="str">
        <f t="shared" si="34"/>
        <v>8.289382</v>
      </c>
      <c r="S724" t="str">
        <f t="shared" si="35"/>
        <v>8.289382</v>
      </c>
    </row>
    <row r="725" spans="1:19" x14ac:dyDescent="0.25">
      <c r="A725">
        <v>559</v>
      </c>
      <c r="B725" t="s">
        <v>44</v>
      </c>
      <c r="C725">
        <v>206</v>
      </c>
      <c r="D725">
        <v>83</v>
      </c>
      <c r="E725">
        <v>123</v>
      </c>
      <c r="F725" s="18" t="s">
        <v>846</v>
      </c>
      <c r="H725" t="str">
        <f>IF(B725=$H$1,COUNT($H$2:H726)+1," ")</f>
        <v xml:space="preserve"> </v>
      </c>
      <c r="L725">
        <v>724</v>
      </c>
      <c r="M725">
        <v>92</v>
      </c>
      <c r="N725">
        <v>148</v>
      </c>
      <c r="O725" s="18" t="s">
        <v>987</v>
      </c>
      <c r="P725">
        <f t="shared" si="33"/>
        <v>240</v>
      </c>
      <c r="Q725" t="str">
        <f>INDEX(Elemek!$B$2:$B$113,MATCH(M725,Elemek!$C$2:$C$113,0))</f>
        <v>U</v>
      </c>
      <c r="R725" t="str">
        <f t="shared" si="34"/>
        <v>7.851682</v>
      </c>
      <c r="S725" t="str">
        <f t="shared" si="35"/>
        <v>7.851682</v>
      </c>
    </row>
    <row r="726" spans="1:19" x14ac:dyDescent="0.25">
      <c r="A726">
        <v>364</v>
      </c>
      <c r="B726" t="s">
        <v>44</v>
      </c>
      <c r="C726">
        <v>207</v>
      </c>
      <c r="D726">
        <v>83</v>
      </c>
      <c r="E726">
        <v>124</v>
      </c>
      <c r="F726" s="18" t="s">
        <v>671</v>
      </c>
      <c r="H726" t="str">
        <f>IF(B726=$H$1,COUNT($H$2:H727)+1," ")</f>
        <v xml:space="preserve"> </v>
      </c>
      <c r="L726">
        <v>725</v>
      </c>
      <c r="M726">
        <v>31</v>
      </c>
      <c r="N726">
        <v>41</v>
      </c>
      <c r="O726" s="18" t="s">
        <v>988</v>
      </c>
      <c r="P726">
        <f t="shared" si="33"/>
        <v>72</v>
      </c>
      <c r="Q726" t="str">
        <f>INDEX(Elemek!$B$2:$B$113,MATCH(M726,Elemek!$C$2:$C$113,0))</f>
        <v>Ga</v>
      </c>
      <c r="R726" t="str">
        <f t="shared" si="34"/>
        <v>9.023958</v>
      </c>
      <c r="S726" t="str">
        <f t="shared" si="35"/>
        <v>9.023958</v>
      </c>
    </row>
    <row r="727" spans="1:19" x14ac:dyDescent="0.25">
      <c r="A727">
        <v>309</v>
      </c>
      <c r="B727" t="s">
        <v>44</v>
      </c>
      <c r="C727">
        <v>208</v>
      </c>
      <c r="D727">
        <v>83</v>
      </c>
      <c r="E727">
        <v>125</v>
      </c>
      <c r="F727" s="18" t="s">
        <v>616</v>
      </c>
      <c r="H727" t="str">
        <f>IF(B727=$H$1,COUNT($H$2:H728)+1," ")</f>
        <v xml:space="preserve"> </v>
      </c>
      <c r="L727">
        <v>726</v>
      </c>
      <c r="M727">
        <v>30</v>
      </c>
      <c r="N727">
        <v>39</v>
      </c>
      <c r="O727" s="18" t="s">
        <v>989</v>
      </c>
      <c r="P727">
        <f t="shared" si="33"/>
        <v>69</v>
      </c>
      <c r="Q727" t="str">
        <f>INDEX(Elemek!$B$2:$B$113,MATCH(M727,Elemek!$C$2:$C$113,0))</f>
        <v>Zn</v>
      </c>
      <c r="R727" t="str">
        <f t="shared" si="34"/>
        <v>9.056536</v>
      </c>
      <c r="S727" t="str">
        <f t="shared" si="35"/>
        <v>9.056536</v>
      </c>
    </row>
    <row r="728" spans="1:19" x14ac:dyDescent="0.25">
      <c r="A728">
        <v>846</v>
      </c>
      <c r="B728" t="s">
        <v>222</v>
      </c>
      <c r="C728">
        <v>204</v>
      </c>
      <c r="D728">
        <v>84</v>
      </c>
      <c r="E728">
        <v>120</v>
      </c>
      <c r="F728" s="18" t="s">
        <v>1083</v>
      </c>
      <c r="H728" t="str">
        <f>IF(B728=$H$1,COUNT($H$2:H729)+1," ")</f>
        <v xml:space="preserve"> </v>
      </c>
      <c r="L728">
        <v>727</v>
      </c>
      <c r="M728">
        <v>46</v>
      </c>
      <c r="N728">
        <v>63</v>
      </c>
      <c r="O728" s="18" t="s">
        <v>990</v>
      </c>
      <c r="P728">
        <f t="shared" si="33"/>
        <v>109</v>
      </c>
      <c r="Q728" t="str">
        <f>INDEX(Elemek!$B$2:$B$113,MATCH(M728,Elemek!$C$2:$C$113,0))</f>
        <v>Pd</v>
      </c>
      <c r="R728" t="str">
        <f t="shared" si="34"/>
        <v>8.875061</v>
      </c>
      <c r="S728" t="str">
        <f t="shared" si="35"/>
        <v>8.875061</v>
      </c>
    </row>
    <row r="729" spans="1:19" x14ac:dyDescent="0.25">
      <c r="A729">
        <v>547</v>
      </c>
      <c r="B729" t="s">
        <v>222</v>
      </c>
      <c r="C729">
        <v>206</v>
      </c>
      <c r="D729">
        <v>84</v>
      </c>
      <c r="E729">
        <v>122</v>
      </c>
      <c r="F729" s="18" t="s">
        <v>835</v>
      </c>
      <c r="H729" t="str">
        <f>IF(B729=$H$1,COUNT($H$2:H730)+1," ")</f>
        <v xml:space="preserve"> </v>
      </c>
      <c r="L729">
        <v>728</v>
      </c>
      <c r="M729">
        <v>39</v>
      </c>
      <c r="N729">
        <v>48</v>
      </c>
      <c r="O729" s="18"/>
      <c r="P729">
        <f t="shared" si="33"/>
        <v>87</v>
      </c>
      <c r="Q729" t="str">
        <f>INDEX(Elemek!$B$2:$B$113,MATCH(M729,Elemek!$C$2:$C$113,0))</f>
        <v>Y</v>
      </c>
      <c r="R729" t="e">
        <f t="shared" si="34"/>
        <v>#DIV/0!</v>
      </c>
      <c r="S729" t="e">
        <f t="shared" si="35"/>
        <v>#DIV/0!</v>
      </c>
    </row>
    <row r="730" spans="1:19" x14ac:dyDescent="0.25">
      <c r="A730">
        <v>261</v>
      </c>
      <c r="B730" t="s">
        <v>44</v>
      </c>
      <c r="C730">
        <v>209</v>
      </c>
      <c r="D730">
        <v>83</v>
      </c>
      <c r="E730">
        <v>126</v>
      </c>
      <c r="F730" s="18" t="s">
        <v>568</v>
      </c>
      <c r="H730" t="str">
        <f>IF(B730=$H$1,COUNT($H$2:H731)+1," ")</f>
        <v xml:space="preserve"> </v>
      </c>
      <c r="L730">
        <v>729</v>
      </c>
      <c r="M730">
        <v>53</v>
      </c>
      <c r="N730">
        <v>70</v>
      </c>
      <c r="O730" s="18" t="s">
        <v>991</v>
      </c>
      <c r="P730">
        <f t="shared" si="33"/>
        <v>123</v>
      </c>
      <c r="Q730" t="str">
        <f>INDEX(Elemek!$B$2:$B$113,MATCH(M730,Elemek!$C$2:$C$113,0))</f>
        <v>I</v>
      </c>
      <c r="R730" t="str">
        <f t="shared" si="34"/>
        <v>8.786311</v>
      </c>
      <c r="S730" t="str">
        <f t="shared" si="35"/>
        <v>8.786311</v>
      </c>
    </row>
    <row r="731" spans="1:19" x14ac:dyDescent="0.25">
      <c r="A731">
        <v>927</v>
      </c>
      <c r="B731" t="s">
        <v>222</v>
      </c>
      <c r="C731">
        <v>205</v>
      </c>
      <c r="D731">
        <v>84</v>
      </c>
      <c r="E731">
        <v>121</v>
      </c>
      <c r="F731" s="18" t="s">
        <v>1150</v>
      </c>
      <c r="H731" t="str">
        <f>IF(B731=$H$1,COUNT($H$2:H732)+1," ")</f>
        <v xml:space="preserve"> </v>
      </c>
      <c r="L731">
        <v>730</v>
      </c>
      <c r="M731">
        <v>76</v>
      </c>
      <c r="N731">
        <v>115</v>
      </c>
      <c r="O731" s="18"/>
      <c r="P731">
        <f t="shared" si="33"/>
        <v>191</v>
      </c>
      <c r="Q731" t="str">
        <f>INDEX(Elemek!$B$2:$B$113,MATCH(M731,Elemek!$C$2:$C$113,0))</f>
        <v>Os</v>
      </c>
      <c r="R731" t="e">
        <f t="shared" si="34"/>
        <v>#DIV/0!</v>
      </c>
      <c r="S731" t="e">
        <f t="shared" si="35"/>
        <v>#DIV/0!</v>
      </c>
    </row>
    <row r="732" spans="1:19" x14ac:dyDescent="0.25">
      <c r="A732">
        <v>851</v>
      </c>
      <c r="B732" t="s">
        <v>205</v>
      </c>
      <c r="C732">
        <v>209</v>
      </c>
      <c r="D732">
        <v>82</v>
      </c>
      <c r="E732">
        <v>127</v>
      </c>
      <c r="F732" s="18" t="s">
        <v>1088</v>
      </c>
      <c r="H732" t="str">
        <f>IF(B732=$H$1,COUNT($H$2:H733)+1," ")</f>
        <v xml:space="preserve"> </v>
      </c>
      <c r="L732">
        <v>731</v>
      </c>
      <c r="M732">
        <v>76</v>
      </c>
      <c r="N732">
        <v>107</v>
      </c>
      <c r="O732" s="18" t="s">
        <v>992</v>
      </c>
      <c r="P732">
        <f t="shared" si="33"/>
        <v>183</v>
      </c>
      <c r="Q732" t="str">
        <f>INDEX(Elemek!$B$2:$B$113,MATCH(M732,Elemek!$C$2:$C$113,0))</f>
        <v>Os</v>
      </c>
      <c r="R732" t="str">
        <f t="shared" si="34"/>
        <v>8.309907</v>
      </c>
      <c r="S732" t="str">
        <f t="shared" si="35"/>
        <v>8.309907</v>
      </c>
    </row>
    <row r="733" spans="1:19" x14ac:dyDescent="0.25">
      <c r="A733">
        <v>391</v>
      </c>
      <c r="B733" t="s">
        <v>222</v>
      </c>
      <c r="C733">
        <v>208</v>
      </c>
      <c r="D733">
        <v>84</v>
      </c>
      <c r="E733">
        <v>124</v>
      </c>
      <c r="F733" s="18" t="s">
        <v>695</v>
      </c>
      <c r="H733" t="str">
        <f>IF(B733=$H$1,COUNT($H$2:H734)+1," ")</f>
        <v xml:space="preserve"> </v>
      </c>
      <c r="L733">
        <v>732</v>
      </c>
      <c r="M733">
        <v>63</v>
      </c>
      <c r="N733">
        <v>87</v>
      </c>
      <c r="O733" s="18"/>
      <c r="P733">
        <f t="shared" si="33"/>
        <v>150</v>
      </c>
      <c r="Q733" t="str">
        <f>INDEX(Elemek!$B$2:$B$113,MATCH(M733,Elemek!$C$2:$C$113,0))</f>
        <v>Eu</v>
      </c>
      <c r="R733" t="e">
        <f t="shared" si="34"/>
        <v>#DIV/0!</v>
      </c>
      <c r="S733" t="e">
        <f t="shared" si="35"/>
        <v>#DIV/0!</v>
      </c>
    </row>
    <row r="734" spans="1:19" x14ac:dyDescent="0.25">
      <c r="A734">
        <v>796</v>
      </c>
      <c r="B734" t="s">
        <v>222</v>
      </c>
      <c r="C734">
        <v>207</v>
      </c>
      <c r="D734">
        <v>84</v>
      </c>
      <c r="E734">
        <v>123</v>
      </c>
      <c r="F734" s="18" t="s">
        <v>1042</v>
      </c>
      <c r="H734" t="str">
        <f>IF(B734=$H$1,COUNT($H$2:H735)+1," ")</f>
        <v xml:space="preserve"> </v>
      </c>
      <c r="L734">
        <v>733</v>
      </c>
      <c r="M734">
        <v>29</v>
      </c>
      <c r="N734">
        <v>35</v>
      </c>
      <c r="O734" s="18" t="s">
        <v>993</v>
      </c>
      <c r="P734">
        <f t="shared" si="33"/>
        <v>64</v>
      </c>
      <c r="Q734" t="str">
        <f>INDEX(Elemek!$B$2:$B$113,MATCH(M734,Elemek!$C$2:$C$113,0))</f>
        <v>Cu</v>
      </c>
      <c r="R734" t="str">
        <f t="shared" si="34"/>
        <v>9.093581</v>
      </c>
      <c r="S734" t="str">
        <f t="shared" si="35"/>
        <v>9.093581</v>
      </c>
    </row>
    <row r="735" spans="1:19" x14ac:dyDescent="0.25">
      <c r="A735">
        <v>352</v>
      </c>
      <c r="B735" t="s">
        <v>222</v>
      </c>
      <c r="C735">
        <v>209</v>
      </c>
      <c r="D735">
        <v>84</v>
      </c>
      <c r="E735">
        <v>125</v>
      </c>
      <c r="F735" s="18" t="s">
        <v>659</v>
      </c>
      <c r="H735" t="str">
        <f>IF(B735=$H$1,COUNT($H$2:H736)+1," ")</f>
        <v xml:space="preserve"> </v>
      </c>
      <c r="L735">
        <v>734</v>
      </c>
      <c r="M735">
        <v>75</v>
      </c>
      <c r="N735">
        <v>107</v>
      </c>
      <c r="O735" s="18"/>
      <c r="P735">
        <f t="shared" si="33"/>
        <v>182</v>
      </c>
      <c r="Q735" t="str">
        <f>INDEX(Elemek!$B$2:$B$113,MATCH(M735,Elemek!$C$2:$C$113,0))</f>
        <v>Re</v>
      </c>
      <c r="R735" t="e">
        <f t="shared" si="34"/>
        <v>#DIV/0!</v>
      </c>
      <c r="S735" t="e">
        <f t="shared" si="35"/>
        <v>#DIV/0!</v>
      </c>
    </row>
    <row r="736" spans="1:19" x14ac:dyDescent="0.25">
      <c r="A736">
        <v>131</v>
      </c>
      <c r="B736" t="s">
        <v>87</v>
      </c>
      <c r="C736">
        <v>19</v>
      </c>
      <c r="D736">
        <v>9</v>
      </c>
      <c r="E736">
        <v>10</v>
      </c>
      <c r="F736" s="18" t="s">
        <v>438</v>
      </c>
      <c r="H736" t="str">
        <f>IF(B736=$H$1,COUNT($H$2:H737)+1," ")</f>
        <v xml:space="preserve"> </v>
      </c>
      <c r="L736">
        <v>735</v>
      </c>
      <c r="M736">
        <v>78</v>
      </c>
      <c r="N736">
        <v>122</v>
      </c>
      <c r="O736" s="18" t="s">
        <v>994</v>
      </c>
      <c r="P736">
        <f t="shared" si="33"/>
        <v>200</v>
      </c>
      <c r="Q736" t="str">
        <f>INDEX(Elemek!$B$2:$B$113,MATCH(M736,Elemek!$C$2:$C$113,0))</f>
        <v>Pt</v>
      </c>
      <c r="R736" t="str">
        <f t="shared" si="34"/>
        <v>8.204342</v>
      </c>
      <c r="S736" t="str">
        <f t="shared" si="35"/>
        <v>8.204342</v>
      </c>
    </row>
    <row r="737" spans="1:19" x14ac:dyDescent="0.25">
      <c r="A737">
        <v>433</v>
      </c>
      <c r="B737" t="s">
        <v>222</v>
      </c>
      <c r="C737">
        <v>210</v>
      </c>
      <c r="D737">
        <v>84</v>
      </c>
      <c r="E737">
        <v>126</v>
      </c>
      <c r="F737" s="18" t="s">
        <v>734</v>
      </c>
      <c r="H737" t="str">
        <f>IF(B737=$H$1,COUNT($H$2:H738)+1," ")</f>
        <v xml:space="preserve"> </v>
      </c>
      <c r="L737">
        <v>736</v>
      </c>
      <c r="M737">
        <v>53</v>
      </c>
      <c r="N737">
        <v>77</v>
      </c>
      <c r="O737" s="18" t="s">
        <v>995</v>
      </c>
      <c r="P737">
        <f t="shared" si="33"/>
        <v>130</v>
      </c>
      <c r="Q737" t="str">
        <f>INDEX(Elemek!$B$2:$B$113,MATCH(M737,Elemek!$C$2:$C$113,0))</f>
        <v>I</v>
      </c>
      <c r="R737" t="str">
        <f t="shared" si="34"/>
        <v>8.740035</v>
      </c>
      <c r="S737" t="str">
        <f t="shared" si="35"/>
        <v>8.740035</v>
      </c>
    </row>
    <row r="738" spans="1:19" x14ac:dyDescent="0.25">
      <c r="A738">
        <v>369</v>
      </c>
      <c r="B738" t="s">
        <v>205</v>
      </c>
      <c r="C738">
        <v>210</v>
      </c>
      <c r="D738">
        <v>82</v>
      </c>
      <c r="E738">
        <v>128</v>
      </c>
      <c r="F738" s="18" t="s">
        <v>675</v>
      </c>
      <c r="H738" t="str">
        <f>IF(B738=$H$1,COUNT($H$2:H739)+1," ")</f>
        <v xml:space="preserve"> </v>
      </c>
      <c r="L738">
        <v>737</v>
      </c>
      <c r="M738">
        <v>19</v>
      </c>
      <c r="N738">
        <v>23</v>
      </c>
      <c r="O738" s="18" t="s">
        <v>996</v>
      </c>
      <c r="P738">
        <f t="shared" si="33"/>
        <v>42</v>
      </c>
      <c r="Q738" t="str">
        <f>INDEX(Elemek!$B$2:$B$113,MATCH(M738,Elemek!$C$2:$C$113,0))</f>
        <v>K</v>
      </c>
      <c r="R738" t="str">
        <f t="shared" si="34"/>
        <v>8.905175</v>
      </c>
      <c r="S738" t="str">
        <f t="shared" si="35"/>
        <v>8.905175</v>
      </c>
    </row>
    <row r="739" spans="1:19" x14ac:dyDescent="0.25">
      <c r="A739">
        <v>300</v>
      </c>
      <c r="B739" t="s">
        <v>44</v>
      </c>
      <c r="C739">
        <v>210</v>
      </c>
      <c r="D739">
        <v>83</v>
      </c>
      <c r="E739">
        <v>127</v>
      </c>
      <c r="F739" s="18" t="s">
        <v>607</v>
      </c>
      <c r="H739" t="str">
        <f>IF(B739=$H$1,COUNT($H$2:H740)+1," ")</f>
        <v xml:space="preserve"> </v>
      </c>
      <c r="L739">
        <v>738</v>
      </c>
      <c r="M739">
        <v>72</v>
      </c>
      <c r="N739">
        <v>99</v>
      </c>
      <c r="O739" s="18" t="s">
        <v>997</v>
      </c>
      <c r="P739">
        <f t="shared" si="33"/>
        <v>171</v>
      </c>
      <c r="Q739" t="str">
        <f>INDEX(Elemek!$B$2:$B$113,MATCH(M739,Elemek!$C$2:$C$113,0))</f>
        <v>Hf</v>
      </c>
      <c r="R739" t="str">
        <f t="shared" si="34"/>
        <v>8.39548</v>
      </c>
      <c r="S739" t="str">
        <f t="shared" si="35"/>
        <v>8.39548</v>
      </c>
    </row>
    <row r="740" spans="1:19" x14ac:dyDescent="0.25">
      <c r="A740">
        <v>923</v>
      </c>
      <c r="B740" t="s">
        <v>33</v>
      </c>
      <c r="C740">
        <v>207</v>
      </c>
      <c r="D740">
        <v>85</v>
      </c>
      <c r="E740">
        <v>122</v>
      </c>
      <c r="F740" s="18" t="s">
        <v>1146</v>
      </c>
      <c r="H740" t="str">
        <f>IF(B740=$H$1,COUNT($H$2:H741)+1," ")</f>
        <v xml:space="preserve"> </v>
      </c>
      <c r="L740">
        <v>739</v>
      </c>
      <c r="M740">
        <v>95</v>
      </c>
      <c r="N740">
        <v>144</v>
      </c>
      <c r="O740" s="18" t="s">
        <v>998</v>
      </c>
      <c r="P740">
        <f t="shared" si="33"/>
        <v>239</v>
      </c>
      <c r="Q740" t="str">
        <f>INDEX(Elemek!$B$2:$B$113,MATCH(M740,Elemek!$C$2:$C$113,0))</f>
        <v>Am</v>
      </c>
      <c r="R740" t="str">
        <f t="shared" si="34"/>
        <v>7.864666</v>
      </c>
      <c r="S740" t="str">
        <f t="shared" si="35"/>
        <v>7.864666</v>
      </c>
    </row>
    <row r="741" spans="1:19" x14ac:dyDescent="0.25">
      <c r="A741">
        <v>802</v>
      </c>
      <c r="B741" t="s">
        <v>33</v>
      </c>
      <c r="C741">
        <v>209</v>
      </c>
      <c r="D741">
        <v>85</v>
      </c>
      <c r="E741">
        <v>124</v>
      </c>
      <c r="F741" s="18" t="s">
        <v>1047</v>
      </c>
      <c r="H741" t="str">
        <f>IF(B741=$H$1,COUNT($H$2:H742)+1," ")</f>
        <v xml:space="preserve"> </v>
      </c>
      <c r="L741">
        <v>740</v>
      </c>
      <c r="M741">
        <v>80</v>
      </c>
      <c r="N741">
        <v>113</v>
      </c>
      <c r="O741" s="18" t="s">
        <v>999</v>
      </c>
      <c r="P741">
        <f t="shared" si="33"/>
        <v>193</v>
      </c>
      <c r="Q741" t="str">
        <f>INDEX(Elemek!$B$2:$B$113,MATCH(M741,Elemek!$C$2:$C$113,0))</f>
        <v>Hg</v>
      </c>
      <c r="R741" t="str">
        <f t="shared" si="34"/>
        <v>8.231483</v>
      </c>
      <c r="S741" t="str">
        <f t="shared" si="35"/>
        <v>8.231483</v>
      </c>
    </row>
    <row r="742" spans="1:19" x14ac:dyDescent="0.25">
      <c r="A742">
        <v>938</v>
      </c>
      <c r="B742" t="s">
        <v>33</v>
      </c>
      <c r="C742">
        <v>208</v>
      </c>
      <c r="D742">
        <v>85</v>
      </c>
      <c r="E742">
        <v>123</v>
      </c>
      <c r="F742" s="18" t="s">
        <v>1160</v>
      </c>
      <c r="H742" t="str">
        <f>IF(B742=$H$1,COUNT($H$2:H743)+1," ")</f>
        <v xml:space="preserve"> </v>
      </c>
      <c r="L742">
        <v>741</v>
      </c>
      <c r="M742">
        <v>83</v>
      </c>
      <c r="N742">
        <v>120</v>
      </c>
      <c r="O742" s="18" t="s">
        <v>1000</v>
      </c>
      <c r="P742">
        <f t="shared" si="33"/>
        <v>203</v>
      </c>
      <c r="Q742" t="str">
        <f>INDEX(Elemek!$B$2:$B$113,MATCH(M742,Elemek!$C$2:$C$113,0))</f>
        <v>Bi</v>
      </c>
      <c r="R742" t="str">
        <f t="shared" si="34"/>
        <v>8.177436</v>
      </c>
      <c r="S742" t="str">
        <f t="shared" si="35"/>
        <v>8.177436</v>
      </c>
    </row>
    <row r="743" spans="1:19" x14ac:dyDescent="0.25">
      <c r="A743">
        <v>777</v>
      </c>
      <c r="B743" t="s">
        <v>33</v>
      </c>
      <c r="C743">
        <v>210</v>
      </c>
      <c r="D743">
        <v>85</v>
      </c>
      <c r="E743">
        <v>125</v>
      </c>
      <c r="F743" s="18" t="s">
        <v>1026</v>
      </c>
      <c r="H743" t="str">
        <f>IF(B743=$H$1,COUNT($H$2:H744)+1," ")</f>
        <v xml:space="preserve"> </v>
      </c>
      <c r="L743">
        <v>742</v>
      </c>
      <c r="M743">
        <v>32</v>
      </c>
      <c r="N743">
        <v>45</v>
      </c>
      <c r="O743" s="18" t="s">
        <v>1001</v>
      </c>
      <c r="P743">
        <f t="shared" si="33"/>
        <v>77</v>
      </c>
      <c r="Q743" t="str">
        <f>INDEX(Elemek!$B$2:$B$113,MATCH(M743,Elemek!$C$2:$C$113,0))</f>
        <v>Ge</v>
      </c>
      <c r="R743" t="str">
        <f t="shared" si="34"/>
        <v>8.996185</v>
      </c>
      <c r="S743" t="str">
        <f t="shared" si="35"/>
        <v>8.996185</v>
      </c>
    </row>
    <row r="744" spans="1:19" x14ac:dyDescent="0.25">
      <c r="A744">
        <v>783</v>
      </c>
      <c r="B744" t="s">
        <v>33</v>
      </c>
      <c r="C744">
        <v>211</v>
      </c>
      <c r="D744">
        <v>85</v>
      </c>
      <c r="E744">
        <v>126</v>
      </c>
      <c r="F744" s="18" t="s">
        <v>1032</v>
      </c>
      <c r="H744" t="str">
        <f>IF(B744=$H$1,COUNT($H$2:H745)+1," ")</f>
        <v xml:space="preserve"> </v>
      </c>
      <c r="L744">
        <v>743</v>
      </c>
      <c r="M744">
        <v>83</v>
      </c>
      <c r="N744">
        <v>121</v>
      </c>
      <c r="O744" s="18" t="s">
        <v>1002</v>
      </c>
      <c r="P744">
        <f t="shared" si="33"/>
        <v>204</v>
      </c>
      <c r="Q744" t="str">
        <f>INDEX(Elemek!$B$2:$B$113,MATCH(M744,Elemek!$C$2:$C$113,0))</f>
        <v>Bi</v>
      </c>
      <c r="R744" t="str">
        <f t="shared" si="34"/>
        <v>8.172651</v>
      </c>
      <c r="S744" t="str">
        <f t="shared" si="35"/>
        <v>8.172651</v>
      </c>
    </row>
    <row r="745" spans="1:19" x14ac:dyDescent="0.25">
      <c r="A745">
        <v>132</v>
      </c>
      <c r="B745" t="s">
        <v>209</v>
      </c>
      <c r="C745">
        <v>17</v>
      </c>
      <c r="D745">
        <v>8</v>
      </c>
      <c r="E745">
        <v>9</v>
      </c>
      <c r="F745" s="18" t="s">
        <v>439</v>
      </c>
      <c r="H745" t="str">
        <f>IF(B745=$H$1,COUNT($H$2:H746)+1," ")</f>
        <v xml:space="preserve"> </v>
      </c>
      <c r="L745">
        <v>744</v>
      </c>
      <c r="M745">
        <v>78</v>
      </c>
      <c r="N745">
        <v>111</v>
      </c>
      <c r="O745" s="18" t="s">
        <v>1003</v>
      </c>
      <c r="P745">
        <f t="shared" si="33"/>
        <v>189</v>
      </c>
      <c r="Q745" t="str">
        <f>INDEX(Elemek!$B$2:$B$113,MATCH(M745,Elemek!$C$2:$C$113,0))</f>
        <v>Pt</v>
      </c>
      <c r="R745" t="str">
        <f t="shared" si="34"/>
        <v>8.264359</v>
      </c>
      <c r="S745" t="str">
        <f t="shared" si="35"/>
        <v>8.264359</v>
      </c>
    </row>
    <row r="746" spans="1:19" x14ac:dyDescent="0.25">
      <c r="A746">
        <v>888</v>
      </c>
      <c r="B746" t="s">
        <v>237</v>
      </c>
      <c r="C746">
        <v>210</v>
      </c>
      <c r="D746">
        <v>86</v>
      </c>
      <c r="E746">
        <v>124</v>
      </c>
      <c r="F746" s="18" t="s">
        <v>1117</v>
      </c>
      <c r="H746" t="str">
        <f>IF(B746=$H$1,COUNT($H$2:H747)+1," ")</f>
        <v xml:space="preserve"> </v>
      </c>
      <c r="L746">
        <v>745</v>
      </c>
      <c r="M746">
        <v>82</v>
      </c>
      <c r="N746">
        <v>130</v>
      </c>
      <c r="O746" s="18" t="s">
        <v>1004</v>
      </c>
      <c r="P746">
        <f t="shared" si="33"/>
        <v>212</v>
      </c>
      <c r="Q746" t="str">
        <f>INDEX(Elemek!$B$2:$B$113,MATCH(M746,Elemek!$C$2:$C$113,0))</f>
        <v>Pb</v>
      </c>
      <c r="R746" t="str">
        <f t="shared" si="34"/>
        <v>8.106928</v>
      </c>
      <c r="S746" t="str">
        <f t="shared" si="35"/>
        <v>8.106928</v>
      </c>
    </row>
    <row r="747" spans="1:19" x14ac:dyDescent="0.25">
      <c r="A747">
        <v>133</v>
      </c>
      <c r="B747" t="s">
        <v>209</v>
      </c>
      <c r="C747">
        <v>18</v>
      </c>
      <c r="D747">
        <v>8</v>
      </c>
      <c r="E747">
        <v>10</v>
      </c>
      <c r="F747" s="18" t="s">
        <v>440</v>
      </c>
      <c r="H747" t="str">
        <f>IF(B747=$H$1,COUNT($H$2:H748)+1," ")</f>
        <v xml:space="preserve"> </v>
      </c>
      <c r="L747">
        <v>746</v>
      </c>
      <c r="M747">
        <v>80</v>
      </c>
      <c r="N747">
        <v>115</v>
      </c>
      <c r="O747" s="18"/>
      <c r="P747">
        <f t="shared" si="33"/>
        <v>195</v>
      </c>
      <c r="Q747" t="str">
        <f>INDEX(Elemek!$B$2:$B$113,MATCH(M747,Elemek!$C$2:$C$113,0))</f>
        <v>Hg</v>
      </c>
      <c r="R747" t="e">
        <f t="shared" si="34"/>
        <v>#DIV/0!</v>
      </c>
      <c r="S747" t="e">
        <f t="shared" si="35"/>
        <v>#DIV/0!</v>
      </c>
    </row>
    <row r="748" spans="1:19" x14ac:dyDescent="0.25">
      <c r="A748">
        <v>721</v>
      </c>
      <c r="B748" t="s">
        <v>237</v>
      </c>
      <c r="C748">
        <v>211</v>
      </c>
      <c r="D748">
        <v>86</v>
      </c>
      <c r="E748">
        <v>125</v>
      </c>
      <c r="F748" s="18" t="s">
        <v>984</v>
      </c>
      <c r="H748" t="str">
        <f>IF(B748=$H$1,COUNT($H$2:H749)+1," ")</f>
        <v xml:space="preserve"> </v>
      </c>
      <c r="L748">
        <v>747</v>
      </c>
      <c r="M748">
        <v>73</v>
      </c>
      <c r="N748">
        <v>102</v>
      </c>
      <c r="O748" s="18" t="s">
        <v>1005</v>
      </c>
      <c r="P748">
        <f t="shared" si="33"/>
        <v>175</v>
      </c>
      <c r="Q748" t="str">
        <f>INDEX(Elemek!$B$2:$B$113,MATCH(M748,Elemek!$C$2:$C$113,0))</f>
        <v>Ta</v>
      </c>
      <c r="R748" t="str">
        <f t="shared" si="34"/>
        <v>8.370813</v>
      </c>
      <c r="S748" t="str">
        <f t="shared" si="35"/>
        <v>8.370813</v>
      </c>
    </row>
    <row r="749" spans="1:19" x14ac:dyDescent="0.25">
      <c r="A749">
        <v>986</v>
      </c>
      <c r="B749" t="s">
        <v>44</v>
      </c>
      <c r="C749">
        <v>212</v>
      </c>
      <c r="D749">
        <v>83</v>
      </c>
      <c r="E749">
        <v>129</v>
      </c>
      <c r="F749" s="18" t="s">
        <v>1195</v>
      </c>
      <c r="H749" t="str">
        <f>IF(B749=$H$1,COUNT($H$2:H750)+1," ")</f>
        <v xml:space="preserve"> </v>
      </c>
      <c r="L749">
        <v>748</v>
      </c>
      <c r="M749">
        <v>94</v>
      </c>
      <c r="N749">
        <v>151</v>
      </c>
      <c r="O749" s="18" t="s">
        <v>1006</v>
      </c>
      <c r="P749">
        <f t="shared" si="33"/>
        <v>245</v>
      </c>
      <c r="Q749" t="str">
        <f>INDEX(Elemek!$B$2:$B$113,MATCH(M749,Elemek!$C$2:$C$113,0))</f>
        <v>Pu</v>
      </c>
      <c r="R749" t="str">
        <f t="shared" si="34"/>
        <v>7.813752</v>
      </c>
      <c r="S749" t="str">
        <f t="shared" si="35"/>
        <v>7.813752</v>
      </c>
    </row>
    <row r="750" spans="1:19" x14ac:dyDescent="0.25">
      <c r="A750">
        <v>745</v>
      </c>
      <c r="B750" t="s">
        <v>205</v>
      </c>
      <c r="C750">
        <v>212</v>
      </c>
      <c r="D750">
        <v>82</v>
      </c>
      <c r="E750">
        <v>130</v>
      </c>
      <c r="F750" s="18" t="s">
        <v>1004</v>
      </c>
      <c r="H750" t="str">
        <f>IF(B750=$H$1,COUNT($H$2:H751)+1," ")</f>
        <v xml:space="preserve"> </v>
      </c>
      <c r="L750">
        <v>749</v>
      </c>
      <c r="M750">
        <v>77</v>
      </c>
      <c r="N750">
        <v>110</v>
      </c>
      <c r="O750" s="18" t="s">
        <v>1007</v>
      </c>
      <c r="P750">
        <f t="shared" si="33"/>
        <v>187</v>
      </c>
      <c r="Q750" t="str">
        <f>INDEX(Elemek!$B$2:$B$113,MATCH(M750,Elemek!$C$2:$C$113,0))</f>
        <v>Ir</v>
      </c>
      <c r="R750" t="str">
        <f t="shared" si="34"/>
        <v>8.283713</v>
      </c>
      <c r="S750" t="str">
        <f t="shared" si="35"/>
        <v>8.283713</v>
      </c>
    </row>
    <row r="751" spans="1:19" x14ac:dyDescent="0.25">
      <c r="A751">
        <v>134</v>
      </c>
      <c r="B751" t="s">
        <v>263</v>
      </c>
      <c r="C751">
        <v>12</v>
      </c>
      <c r="D751">
        <v>6</v>
      </c>
      <c r="E751">
        <v>6</v>
      </c>
      <c r="F751" s="18" t="s">
        <v>441</v>
      </c>
      <c r="H751" t="str">
        <f>IF(B751=$H$1,COUNT($H$2:H752)+1," ")</f>
        <v xml:space="preserve"> </v>
      </c>
      <c r="L751">
        <v>750</v>
      </c>
      <c r="M751">
        <v>68</v>
      </c>
      <c r="N751">
        <v>97</v>
      </c>
      <c r="O751" s="18" t="s">
        <v>1008</v>
      </c>
      <c r="P751">
        <f t="shared" si="33"/>
        <v>165</v>
      </c>
      <c r="Q751" t="str">
        <f>INDEX(Elemek!$B$2:$B$113,MATCH(M751,Elemek!$C$2:$C$113,0))</f>
        <v>Er</v>
      </c>
      <c r="R751" t="str">
        <f t="shared" si="34"/>
        <v>8.462406</v>
      </c>
      <c r="S751" t="str">
        <f t="shared" si="35"/>
        <v>8.462406</v>
      </c>
    </row>
    <row r="752" spans="1:19" x14ac:dyDescent="0.25">
      <c r="A752">
        <v>135</v>
      </c>
      <c r="B752" t="s">
        <v>200</v>
      </c>
      <c r="C752">
        <v>15</v>
      </c>
      <c r="D752">
        <v>7</v>
      </c>
      <c r="E752">
        <v>8</v>
      </c>
      <c r="F752" s="18" t="s">
        <v>442</v>
      </c>
      <c r="H752" t="str">
        <f>IF(B752=$H$1,COUNT($H$2:H753)+1," ")</f>
        <v xml:space="preserve"> </v>
      </c>
      <c r="L752">
        <v>751</v>
      </c>
      <c r="M752">
        <v>39</v>
      </c>
      <c r="N752">
        <v>54</v>
      </c>
      <c r="O752" s="18" t="s">
        <v>1009</v>
      </c>
      <c r="P752">
        <f t="shared" si="33"/>
        <v>93</v>
      </c>
      <c r="Q752" t="str">
        <f>INDEX(Elemek!$B$2:$B$113,MATCH(M752,Elemek!$C$2:$C$113,0))</f>
        <v>Y</v>
      </c>
      <c r="R752" t="str">
        <f t="shared" si="34"/>
        <v>8.976951</v>
      </c>
      <c r="S752" t="str">
        <f t="shared" si="35"/>
        <v>8.976951</v>
      </c>
    </row>
    <row r="753" spans="1:19" x14ac:dyDescent="0.25">
      <c r="A753">
        <v>918</v>
      </c>
      <c r="B753" t="s">
        <v>87</v>
      </c>
      <c r="C753">
        <v>18</v>
      </c>
      <c r="D753">
        <v>9</v>
      </c>
      <c r="E753">
        <v>9</v>
      </c>
      <c r="F753" s="18" t="s">
        <v>1141</v>
      </c>
      <c r="H753" t="str">
        <f>IF(B753=$H$1,COUNT($H$2:H754)+1," ")</f>
        <v xml:space="preserve"> </v>
      </c>
      <c r="L753">
        <v>752</v>
      </c>
      <c r="M753">
        <v>95</v>
      </c>
      <c r="N753">
        <v>149</v>
      </c>
      <c r="O753" s="18" t="s">
        <v>1010</v>
      </c>
      <c r="P753">
        <f t="shared" si="33"/>
        <v>244</v>
      </c>
      <c r="Q753" t="str">
        <f>INDEX(Elemek!$B$2:$B$113,MATCH(M753,Elemek!$C$2:$C$113,0))</f>
        <v>Am</v>
      </c>
      <c r="R753" t="str">
        <f t="shared" si="34"/>
        <v>7.825914</v>
      </c>
      <c r="S753" t="str">
        <f t="shared" si="35"/>
        <v>7.825914</v>
      </c>
    </row>
    <row r="754" spans="1:19" x14ac:dyDescent="0.25">
      <c r="A754">
        <v>585</v>
      </c>
      <c r="B754" t="s">
        <v>237</v>
      </c>
      <c r="C754">
        <v>222</v>
      </c>
      <c r="D754">
        <v>86</v>
      </c>
      <c r="E754">
        <v>136</v>
      </c>
      <c r="F754" s="18" t="s">
        <v>867</v>
      </c>
      <c r="H754" t="str">
        <f>IF(B754=$H$1,COUNT($H$2:H755)+1," ")</f>
        <v xml:space="preserve"> </v>
      </c>
      <c r="L754">
        <v>753</v>
      </c>
      <c r="M754">
        <v>103</v>
      </c>
      <c r="N754">
        <v>163</v>
      </c>
      <c r="O754" s="18"/>
      <c r="P754">
        <f t="shared" si="33"/>
        <v>266</v>
      </c>
      <c r="Q754" t="str">
        <f>INDEX(Elemek!$B$2:$B$113,MATCH(M754,Elemek!$C$2:$C$113,0))</f>
        <v>Lr</v>
      </c>
      <c r="R754" t="e">
        <f t="shared" si="34"/>
        <v>#DIV/0!</v>
      </c>
      <c r="S754" t="e">
        <f t="shared" si="35"/>
        <v>#DIV/0!</v>
      </c>
    </row>
    <row r="755" spans="1:19" x14ac:dyDescent="0.25">
      <c r="A755">
        <v>533</v>
      </c>
      <c r="B755" t="s">
        <v>234</v>
      </c>
      <c r="C755">
        <v>223</v>
      </c>
      <c r="D755">
        <v>88</v>
      </c>
      <c r="E755">
        <v>135</v>
      </c>
      <c r="F755" s="18" t="s">
        <v>824</v>
      </c>
      <c r="H755" t="str">
        <f>IF(B755=$H$1,COUNT($H$2:H756)+1," ")</f>
        <v xml:space="preserve"> </v>
      </c>
      <c r="L755">
        <v>754</v>
      </c>
      <c r="M755">
        <v>65</v>
      </c>
      <c r="N755">
        <v>89</v>
      </c>
      <c r="O755" s="18"/>
      <c r="P755">
        <f t="shared" si="33"/>
        <v>154</v>
      </c>
      <c r="Q755" t="str">
        <f>INDEX(Elemek!$B$2:$B$113,MATCH(M755,Elemek!$C$2:$C$113,0))</f>
        <v>Tb</v>
      </c>
      <c r="R755" t="e">
        <f t="shared" si="34"/>
        <v>#DIV/0!</v>
      </c>
      <c r="S755" t="e">
        <f t="shared" si="35"/>
        <v>#DIV/0!</v>
      </c>
    </row>
    <row r="756" spans="1:19" x14ac:dyDescent="0.25">
      <c r="A756">
        <v>587</v>
      </c>
      <c r="B756" t="s">
        <v>234</v>
      </c>
      <c r="C756">
        <v>224</v>
      </c>
      <c r="D756">
        <v>88</v>
      </c>
      <c r="E756">
        <v>136</v>
      </c>
      <c r="F756" s="18" t="s">
        <v>868</v>
      </c>
      <c r="H756" t="str">
        <f>IF(B756=$H$1,COUNT($H$2:H757)+1," ")</f>
        <v xml:space="preserve"> </v>
      </c>
      <c r="L756">
        <v>755</v>
      </c>
      <c r="M756">
        <v>76</v>
      </c>
      <c r="N756">
        <v>107</v>
      </c>
      <c r="O756" s="18"/>
      <c r="P756">
        <f t="shared" si="33"/>
        <v>183</v>
      </c>
      <c r="Q756" t="str">
        <f>INDEX(Elemek!$B$2:$B$113,MATCH(M756,Elemek!$C$2:$C$113,0))</f>
        <v>Os</v>
      </c>
      <c r="R756" t="e">
        <f t="shared" si="34"/>
        <v>#DIV/0!</v>
      </c>
      <c r="S756" t="e">
        <f t="shared" si="35"/>
        <v>#DIV/0!</v>
      </c>
    </row>
    <row r="757" spans="1:19" x14ac:dyDescent="0.25">
      <c r="A757">
        <v>873</v>
      </c>
      <c r="B757" t="s">
        <v>11</v>
      </c>
      <c r="C757">
        <v>224</v>
      </c>
      <c r="D757">
        <v>89</v>
      </c>
      <c r="E757">
        <v>135</v>
      </c>
      <c r="F757" s="18" t="s">
        <v>1105</v>
      </c>
      <c r="H757" t="str">
        <f>IF(B757=$H$1,COUNT($H$2:H758)+1," ")</f>
        <v xml:space="preserve"> </v>
      </c>
      <c r="L757">
        <v>756</v>
      </c>
      <c r="M757">
        <v>66</v>
      </c>
      <c r="N757">
        <v>89</v>
      </c>
      <c r="O757" s="18" t="s">
        <v>1011</v>
      </c>
      <c r="P757">
        <f t="shared" si="33"/>
        <v>155</v>
      </c>
      <c r="Q757" t="str">
        <f>INDEX(Elemek!$B$2:$B$113,MATCH(M757,Elemek!$C$2:$C$113,0))</f>
        <v>Dy</v>
      </c>
      <c r="R757" t="str">
        <f t="shared" si="34"/>
        <v>8.517521</v>
      </c>
      <c r="S757" t="str">
        <f t="shared" si="35"/>
        <v>8.517521</v>
      </c>
    </row>
    <row r="758" spans="1:19" x14ac:dyDescent="0.25">
      <c r="A758">
        <v>540</v>
      </c>
      <c r="B758" t="s">
        <v>11</v>
      </c>
      <c r="C758">
        <v>225</v>
      </c>
      <c r="D758">
        <v>89</v>
      </c>
      <c r="E758">
        <v>136</v>
      </c>
      <c r="F758" s="18" t="s">
        <v>829</v>
      </c>
      <c r="H758" t="str">
        <f>IF(B758=$H$1,COUNT($H$2:H759)+1," ")</f>
        <v xml:space="preserve"> </v>
      </c>
      <c r="L758">
        <v>757</v>
      </c>
      <c r="M758">
        <v>38</v>
      </c>
      <c r="N758">
        <v>53</v>
      </c>
      <c r="O758" s="18" t="s">
        <v>1012</v>
      </c>
      <c r="P758">
        <f t="shared" si="33"/>
        <v>91</v>
      </c>
      <c r="Q758" t="str">
        <f>INDEX(Elemek!$B$2:$B$113,MATCH(M758,Elemek!$C$2:$C$113,0))</f>
        <v>Sr</v>
      </c>
      <c r="R758" t="str">
        <f t="shared" si="34"/>
        <v>8.990503</v>
      </c>
      <c r="S758" t="str">
        <f t="shared" si="35"/>
        <v>8.990503</v>
      </c>
    </row>
    <row r="759" spans="1:19" x14ac:dyDescent="0.25">
      <c r="A759">
        <v>520</v>
      </c>
      <c r="B759" t="s">
        <v>234</v>
      </c>
      <c r="C759">
        <v>225</v>
      </c>
      <c r="D759">
        <v>88</v>
      </c>
      <c r="E759">
        <v>137</v>
      </c>
      <c r="F759" s="18" t="s">
        <v>813</v>
      </c>
      <c r="H759" t="str">
        <f>IF(B759=$H$1,COUNT($H$2:H760)+1," ")</f>
        <v xml:space="preserve"> </v>
      </c>
      <c r="L759">
        <v>758</v>
      </c>
      <c r="M759">
        <v>79</v>
      </c>
      <c r="N759">
        <v>117</v>
      </c>
      <c r="O759" s="18"/>
      <c r="P759">
        <f t="shared" si="33"/>
        <v>196</v>
      </c>
      <c r="Q759" t="str">
        <f>INDEX(Elemek!$B$2:$B$113,MATCH(M759,Elemek!$C$2:$C$113,0))</f>
        <v>Au</v>
      </c>
      <c r="R759" t="e">
        <f t="shared" si="34"/>
        <v>#DIV/0!</v>
      </c>
      <c r="S759" t="e">
        <f t="shared" si="35"/>
        <v>#DIV/0!</v>
      </c>
    </row>
    <row r="760" spans="1:19" x14ac:dyDescent="0.25">
      <c r="A760">
        <v>924</v>
      </c>
      <c r="B760" t="s">
        <v>237</v>
      </c>
      <c r="C760">
        <v>224</v>
      </c>
      <c r="D760">
        <v>86</v>
      </c>
      <c r="E760">
        <v>138</v>
      </c>
      <c r="F760" s="18" t="s">
        <v>1147</v>
      </c>
      <c r="H760" t="str">
        <f>IF(B760=$H$1,COUNT($H$2:H761)+1," ")</f>
        <v xml:space="preserve"> </v>
      </c>
      <c r="L760">
        <v>759</v>
      </c>
      <c r="M760">
        <v>31</v>
      </c>
      <c r="N760">
        <v>35</v>
      </c>
      <c r="O760" s="18" t="s">
        <v>1013</v>
      </c>
      <c r="P760">
        <f t="shared" si="33"/>
        <v>66</v>
      </c>
      <c r="Q760" t="str">
        <f>INDEX(Elemek!$B$2:$B$113,MATCH(M760,Elemek!$C$2:$C$113,0))</f>
        <v>Ga</v>
      </c>
      <c r="R760" t="str">
        <f t="shared" si="34"/>
        <v>9.036843</v>
      </c>
      <c r="S760" t="str">
        <f t="shared" si="35"/>
        <v>9.036843</v>
      </c>
    </row>
    <row r="761" spans="1:19" x14ac:dyDescent="0.25">
      <c r="A761">
        <v>337</v>
      </c>
      <c r="B761" t="s">
        <v>234</v>
      </c>
      <c r="C761">
        <v>226</v>
      </c>
      <c r="D761">
        <v>88</v>
      </c>
      <c r="E761">
        <v>138</v>
      </c>
      <c r="F761" s="18" t="s">
        <v>644</v>
      </c>
      <c r="H761" t="str">
        <f>IF(B761=$H$1,COUNT($H$2:H762)+1," ")</f>
        <v xml:space="preserve"> </v>
      </c>
      <c r="L761">
        <v>760</v>
      </c>
      <c r="M761">
        <v>62</v>
      </c>
      <c r="N761">
        <v>94</v>
      </c>
      <c r="O761" s="18" t="s">
        <v>1014</v>
      </c>
      <c r="P761">
        <f t="shared" si="33"/>
        <v>156</v>
      </c>
      <c r="Q761" t="str">
        <f>INDEX(Elemek!$B$2:$B$113,MATCH(M761,Elemek!$C$2:$C$113,0))</f>
        <v>Sm</v>
      </c>
      <c r="R761" t="str">
        <f t="shared" si="34"/>
        <v>8.516007</v>
      </c>
      <c r="S761" t="str">
        <f t="shared" si="35"/>
        <v>8.516007</v>
      </c>
    </row>
    <row r="762" spans="1:19" x14ac:dyDescent="0.25">
      <c r="A762">
        <v>663</v>
      </c>
      <c r="B762" t="s">
        <v>11</v>
      </c>
      <c r="C762">
        <v>226</v>
      </c>
      <c r="D762">
        <v>89</v>
      </c>
      <c r="E762">
        <v>137</v>
      </c>
      <c r="F762" s="18" t="s">
        <v>938</v>
      </c>
      <c r="H762" t="str">
        <f>IF(B762=$H$1,COUNT($H$2:H763)+1," ")</f>
        <v xml:space="preserve"> </v>
      </c>
      <c r="L762">
        <v>761</v>
      </c>
      <c r="M762">
        <v>52</v>
      </c>
      <c r="N762">
        <v>75</v>
      </c>
      <c r="O762" s="18"/>
      <c r="P762">
        <f t="shared" si="33"/>
        <v>127</v>
      </c>
      <c r="Q762" t="str">
        <f>INDEX(Elemek!$B$2:$B$113,MATCH(M762,Elemek!$C$2:$C$113,0))</f>
        <v>Te</v>
      </c>
      <c r="R762" t="e">
        <f t="shared" si="34"/>
        <v>#DIV/0!</v>
      </c>
      <c r="S762" t="e">
        <f t="shared" si="35"/>
        <v>#DIV/0!</v>
      </c>
    </row>
    <row r="763" spans="1:19" x14ac:dyDescent="0.25">
      <c r="A763">
        <v>509</v>
      </c>
      <c r="B763" t="s">
        <v>287</v>
      </c>
      <c r="C763">
        <v>227</v>
      </c>
      <c r="D763">
        <v>90</v>
      </c>
      <c r="E763">
        <v>137</v>
      </c>
      <c r="F763" s="18" t="s">
        <v>802</v>
      </c>
      <c r="H763" t="str">
        <f>IF(B763=$H$1,COUNT($H$2:H764)+1," ")</f>
        <v xml:space="preserve"> </v>
      </c>
      <c r="L763">
        <v>762</v>
      </c>
      <c r="M763">
        <v>82</v>
      </c>
      <c r="N763">
        <v>119</v>
      </c>
      <c r="O763" s="18" t="s">
        <v>1015</v>
      </c>
      <c r="P763">
        <f t="shared" si="33"/>
        <v>201</v>
      </c>
      <c r="Q763" t="str">
        <f>INDEX(Elemek!$B$2:$B$113,MATCH(M763,Elemek!$C$2:$C$113,0))</f>
        <v>Pb</v>
      </c>
      <c r="R763" t="str">
        <f t="shared" si="34"/>
        <v>8.196989</v>
      </c>
      <c r="S763" t="str">
        <f t="shared" si="35"/>
        <v>8.196989</v>
      </c>
    </row>
    <row r="764" spans="1:19" x14ac:dyDescent="0.25">
      <c r="A764">
        <v>370</v>
      </c>
      <c r="B764" t="s">
        <v>11</v>
      </c>
      <c r="C764">
        <v>227</v>
      </c>
      <c r="D764">
        <v>89</v>
      </c>
      <c r="E764">
        <v>138</v>
      </c>
      <c r="F764" s="18" t="s">
        <v>676</v>
      </c>
      <c r="H764" t="str">
        <f>IF(B764=$H$1,COUNT($H$2:H765)+1," ")</f>
        <v xml:space="preserve"> </v>
      </c>
      <c r="L764">
        <v>763</v>
      </c>
      <c r="M764">
        <v>63</v>
      </c>
      <c r="N764">
        <v>89</v>
      </c>
      <c r="O764" s="18"/>
      <c r="P764">
        <f t="shared" si="33"/>
        <v>152</v>
      </c>
      <c r="Q764" t="str">
        <f>INDEX(Elemek!$B$2:$B$113,MATCH(M764,Elemek!$C$2:$C$113,0))</f>
        <v>Eu</v>
      </c>
      <c r="R764" t="e">
        <f t="shared" si="34"/>
        <v>#DIV/0!</v>
      </c>
      <c r="S764" t="e">
        <f t="shared" si="35"/>
        <v>#DIV/0!</v>
      </c>
    </row>
    <row r="765" spans="1:19" x14ac:dyDescent="0.25">
      <c r="A765">
        <v>400</v>
      </c>
      <c r="B765" t="s">
        <v>287</v>
      </c>
      <c r="C765">
        <v>228</v>
      </c>
      <c r="D765">
        <v>90</v>
      </c>
      <c r="E765">
        <v>138</v>
      </c>
      <c r="F765" s="18" t="s">
        <v>704</v>
      </c>
      <c r="H765" t="str">
        <f>IF(B765=$H$1,COUNT($H$2:H766)+1," ")</f>
        <v xml:space="preserve"> </v>
      </c>
      <c r="L765">
        <v>764</v>
      </c>
      <c r="M765">
        <v>30</v>
      </c>
      <c r="N765">
        <v>32</v>
      </c>
      <c r="O765" s="18" t="s">
        <v>1016</v>
      </c>
      <c r="P765">
        <f t="shared" si="33"/>
        <v>62</v>
      </c>
      <c r="Q765" t="str">
        <f>INDEX(Elemek!$B$2:$B$113,MATCH(M765,Elemek!$C$2:$C$113,0))</f>
        <v>Zn</v>
      </c>
      <c r="R765" t="str">
        <f t="shared" si="34"/>
        <v>9.057957</v>
      </c>
      <c r="S765" t="str">
        <f t="shared" si="35"/>
        <v>9.057957</v>
      </c>
    </row>
    <row r="766" spans="1:19" x14ac:dyDescent="0.25">
      <c r="A766">
        <v>792</v>
      </c>
      <c r="B766" t="s">
        <v>11</v>
      </c>
      <c r="C766">
        <v>228</v>
      </c>
      <c r="D766">
        <v>89</v>
      </c>
      <c r="E766">
        <v>139</v>
      </c>
      <c r="F766" s="18" t="s">
        <v>1040</v>
      </c>
      <c r="H766" t="str">
        <f>IF(B766=$H$1,COUNT($H$2:H767)+1," ")</f>
        <v xml:space="preserve"> </v>
      </c>
      <c r="L766">
        <v>765</v>
      </c>
      <c r="M766">
        <v>54</v>
      </c>
      <c r="N766">
        <v>81</v>
      </c>
      <c r="O766" s="18" t="s">
        <v>1017</v>
      </c>
      <c r="P766">
        <f t="shared" si="33"/>
        <v>135</v>
      </c>
      <c r="Q766" t="str">
        <f>INDEX(Elemek!$B$2:$B$113,MATCH(M766,Elemek!$C$2:$C$113,0))</f>
        <v>Xe</v>
      </c>
      <c r="R766" t="str">
        <f t="shared" si="34"/>
        <v>8.711453</v>
      </c>
      <c r="S766" t="str">
        <f t="shared" si="35"/>
        <v>8.711453</v>
      </c>
    </row>
    <row r="767" spans="1:19" x14ac:dyDescent="0.25">
      <c r="A767">
        <v>685</v>
      </c>
      <c r="B767" t="s">
        <v>231</v>
      </c>
      <c r="C767">
        <v>228</v>
      </c>
      <c r="D767">
        <v>91</v>
      </c>
      <c r="E767">
        <v>137</v>
      </c>
      <c r="F767" s="18" t="s">
        <v>953</v>
      </c>
      <c r="H767" t="str">
        <f>IF(B767=$H$1,COUNT($H$2:H768)+1," ")</f>
        <v xml:space="preserve"> </v>
      </c>
      <c r="L767">
        <v>766</v>
      </c>
      <c r="M767">
        <v>27</v>
      </c>
      <c r="N767">
        <v>31</v>
      </c>
      <c r="O767" s="18"/>
      <c r="P767">
        <f t="shared" si="33"/>
        <v>58</v>
      </c>
      <c r="Q767" t="str">
        <f>INDEX(Elemek!$B$2:$B$113,MATCH(M767,Elemek!$C$2:$C$113,0))</f>
        <v>Co</v>
      </c>
      <c r="R767" t="e">
        <f t="shared" si="34"/>
        <v>#DIV/0!</v>
      </c>
      <c r="S767" t="e">
        <f t="shared" si="35"/>
        <v>#DIV/0!</v>
      </c>
    </row>
    <row r="768" spans="1:19" x14ac:dyDescent="0.25">
      <c r="A768">
        <v>383</v>
      </c>
      <c r="B768" t="s">
        <v>234</v>
      </c>
      <c r="C768">
        <v>228</v>
      </c>
      <c r="D768">
        <v>88</v>
      </c>
      <c r="E768">
        <v>140</v>
      </c>
      <c r="F768" s="18" t="s">
        <v>687</v>
      </c>
      <c r="H768" t="str">
        <f>IF(B768=$H$1,COUNT($H$2:H769)+1," ")</f>
        <v xml:space="preserve"> </v>
      </c>
      <c r="L768">
        <v>767</v>
      </c>
      <c r="M768">
        <v>51</v>
      </c>
      <c r="N768">
        <v>77</v>
      </c>
      <c r="O768" s="18" t="s">
        <v>1018</v>
      </c>
      <c r="P768">
        <f t="shared" si="33"/>
        <v>128</v>
      </c>
      <c r="Q768" t="str">
        <f>INDEX(Elemek!$B$2:$B$113,MATCH(M768,Elemek!$C$2:$C$113,0))</f>
        <v>Sb</v>
      </c>
      <c r="R768" t="str">
        <f t="shared" si="34"/>
        <v>8.732343</v>
      </c>
      <c r="S768" t="str">
        <f t="shared" si="35"/>
        <v>8.732343</v>
      </c>
    </row>
    <row r="769" spans="1:19" x14ac:dyDescent="0.25">
      <c r="A769">
        <v>331</v>
      </c>
      <c r="B769" t="s">
        <v>287</v>
      </c>
      <c r="C769">
        <v>229</v>
      </c>
      <c r="D769">
        <v>90</v>
      </c>
      <c r="E769">
        <v>139</v>
      </c>
      <c r="F769" s="18" t="s">
        <v>638</v>
      </c>
      <c r="H769" t="str">
        <f>IF(B769=$H$1,COUNT($H$2:H770)+1," ")</f>
        <v xml:space="preserve"> </v>
      </c>
      <c r="L769">
        <v>768</v>
      </c>
      <c r="M769">
        <v>58</v>
      </c>
      <c r="N769">
        <v>79</v>
      </c>
      <c r="O769" s="18"/>
      <c r="P769">
        <f t="shared" si="33"/>
        <v>137</v>
      </c>
      <c r="Q769" t="str">
        <f>INDEX(Elemek!$B$2:$B$113,MATCH(M769,Elemek!$C$2:$C$113,0))</f>
        <v>Ce</v>
      </c>
      <c r="R769" t="e">
        <f t="shared" si="34"/>
        <v>#DIV/0!</v>
      </c>
      <c r="S769" t="e">
        <f t="shared" si="35"/>
        <v>#DIV/0!</v>
      </c>
    </row>
    <row r="770" spans="1:19" x14ac:dyDescent="0.25">
      <c r="A770">
        <v>646</v>
      </c>
      <c r="B770" t="s">
        <v>231</v>
      </c>
      <c r="C770">
        <v>229</v>
      </c>
      <c r="D770">
        <v>91</v>
      </c>
      <c r="E770">
        <v>138</v>
      </c>
      <c r="F770" s="18" t="s">
        <v>921</v>
      </c>
      <c r="H770" t="str">
        <f>IF(B770=$H$1,COUNT($H$2:H771)+1," ")</f>
        <v xml:space="preserve"> </v>
      </c>
      <c r="L770">
        <v>769</v>
      </c>
      <c r="M770">
        <v>94</v>
      </c>
      <c r="N770">
        <v>140</v>
      </c>
      <c r="O770" s="18" t="s">
        <v>1019</v>
      </c>
      <c r="P770">
        <f t="shared" si="33"/>
        <v>234</v>
      </c>
      <c r="Q770" t="str">
        <f>INDEX(Elemek!$B$2:$B$113,MATCH(M770,Elemek!$C$2:$C$113,0))</f>
        <v>Pu</v>
      </c>
      <c r="R770" t="str">
        <f t="shared" si="34"/>
        <v>7.898892</v>
      </c>
      <c r="S770" t="str">
        <f t="shared" si="35"/>
        <v>7.898892</v>
      </c>
    </row>
    <row r="771" spans="1:19" x14ac:dyDescent="0.25">
      <c r="A771">
        <v>322</v>
      </c>
      <c r="B771" t="s">
        <v>287</v>
      </c>
      <c r="C771">
        <v>230</v>
      </c>
      <c r="D771">
        <v>90</v>
      </c>
      <c r="E771">
        <v>140</v>
      </c>
      <c r="F771" s="18" t="s">
        <v>629</v>
      </c>
      <c r="H771" t="str">
        <f>IF(B771=$H$1,COUNT($H$2:H772)+1," ")</f>
        <v xml:space="preserve"> </v>
      </c>
      <c r="L771">
        <v>770</v>
      </c>
      <c r="M771">
        <v>73</v>
      </c>
      <c r="N771">
        <v>111</v>
      </c>
      <c r="O771" s="18" t="s">
        <v>1020</v>
      </c>
      <c r="P771">
        <f t="shared" ref="P771:P834" si="36">N771+M771</f>
        <v>184</v>
      </c>
      <c r="Q771" t="str">
        <f>INDEX(Elemek!$B$2:$B$113,MATCH(M771,Elemek!$C$2:$C$113,0))</f>
        <v>Ta</v>
      </c>
      <c r="R771" t="str">
        <f t="shared" ref="R771:R834" si="37">IF(NOT(ISBLANK(O771)),O771,ROUNDDOWN(AVERAGE($O$2:$O$990),2))</f>
        <v>8.304154</v>
      </c>
      <c r="S771" t="str">
        <f t="shared" ref="S771:S834" si="38">IF(ISBLANK(O771),ROUNDDOWN(AVERAGEIF($M$2:$M$990,M771,$O$2:$O$990),2),O771)</f>
        <v>8.304154</v>
      </c>
    </row>
    <row r="772" spans="1:19" x14ac:dyDescent="0.25">
      <c r="A772">
        <v>982</v>
      </c>
      <c r="B772" t="s">
        <v>11</v>
      </c>
      <c r="C772">
        <v>229</v>
      </c>
      <c r="D772">
        <v>89</v>
      </c>
      <c r="E772">
        <v>140</v>
      </c>
      <c r="F772" s="18" t="s">
        <v>1192</v>
      </c>
      <c r="H772" t="str">
        <f>IF(B772=$H$1,COUNT($H$2:H773)+1," ")</f>
        <v xml:space="preserve"> </v>
      </c>
      <c r="L772">
        <v>771</v>
      </c>
      <c r="M772">
        <v>99</v>
      </c>
      <c r="N772">
        <v>151</v>
      </c>
      <c r="O772" s="18" t="s">
        <v>1021</v>
      </c>
      <c r="P772">
        <f t="shared" si="36"/>
        <v>250</v>
      </c>
      <c r="Q772" t="str">
        <f>INDEX(Elemek!$B$2:$B$113,MATCH(M772,Elemek!$C$2:$C$113,0))</f>
        <v>Es</v>
      </c>
      <c r="R772" t="str">
        <f t="shared" si="37"/>
        <v>7.778407</v>
      </c>
      <c r="S772" t="str">
        <f t="shared" si="38"/>
        <v>7.778407</v>
      </c>
    </row>
    <row r="773" spans="1:19" x14ac:dyDescent="0.25">
      <c r="A773">
        <v>506</v>
      </c>
      <c r="B773" t="s">
        <v>292</v>
      </c>
      <c r="C773">
        <v>230</v>
      </c>
      <c r="D773">
        <v>92</v>
      </c>
      <c r="E773">
        <v>138</v>
      </c>
      <c r="F773" s="18" t="s">
        <v>800</v>
      </c>
      <c r="H773" t="str">
        <f>IF(B773=$H$1,COUNT($H$2:H774)+1," ")</f>
        <v xml:space="preserve"> </v>
      </c>
      <c r="L773">
        <v>772</v>
      </c>
      <c r="M773">
        <v>46</v>
      </c>
      <c r="N773">
        <v>55</v>
      </c>
      <c r="O773" s="18" t="s">
        <v>1022</v>
      </c>
      <c r="P773">
        <f t="shared" si="36"/>
        <v>101</v>
      </c>
      <c r="Q773" t="str">
        <f>INDEX(Elemek!$B$2:$B$113,MATCH(M773,Elemek!$C$2:$C$113,0))</f>
        <v>Pd</v>
      </c>
      <c r="R773" t="str">
        <f t="shared" si="37"/>
        <v>8.917149</v>
      </c>
      <c r="S773" t="str">
        <f t="shared" si="38"/>
        <v>8.917149</v>
      </c>
    </row>
    <row r="774" spans="1:19" x14ac:dyDescent="0.25">
      <c r="A774">
        <v>513</v>
      </c>
      <c r="B774" t="s">
        <v>231</v>
      </c>
      <c r="C774">
        <v>230</v>
      </c>
      <c r="D774">
        <v>91</v>
      </c>
      <c r="E774">
        <v>139</v>
      </c>
      <c r="F774" s="18" t="s">
        <v>806</v>
      </c>
      <c r="H774" t="str">
        <f>IF(B774=$H$1,COUNT($H$2:H775)+1," ")</f>
        <v xml:space="preserve"> </v>
      </c>
      <c r="L774">
        <v>773</v>
      </c>
      <c r="M774">
        <v>26</v>
      </c>
      <c r="N774">
        <v>26</v>
      </c>
      <c r="O774" s="18" t="s">
        <v>1023</v>
      </c>
      <c r="P774">
        <f t="shared" si="36"/>
        <v>52</v>
      </c>
      <c r="Q774" t="str">
        <f>INDEX(Elemek!$B$2:$B$113,MATCH(M774,Elemek!$C$2:$C$113,0))</f>
        <v>Fe</v>
      </c>
      <c r="R774" t="str">
        <f t="shared" si="37"/>
        <v>9.000789</v>
      </c>
      <c r="S774" t="str">
        <f t="shared" si="38"/>
        <v>9.000789</v>
      </c>
    </row>
    <row r="775" spans="1:19" x14ac:dyDescent="0.25">
      <c r="A775">
        <v>325</v>
      </c>
      <c r="B775" t="s">
        <v>231</v>
      </c>
      <c r="C775">
        <v>231</v>
      </c>
      <c r="D775">
        <v>91</v>
      </c>
      <c r="E775">
        <v>140</v>
      </c>
      <c r="F775" s="18" t="s">
        <v>632</v>
      </c>
      <c r="H775" t="str">
        <f>IF(B775=$H$1,COUNT($H$2:H776)+1," ")</f>
        <v xml:space="preserve"> </v>
      </c>
      <c r="L775">
        <v>774</v>
      </c>
      <c r="M775">
        <v>69</v>
      </c>
      <c r="N775">
        <v>104</v>
      </c>
      <c r="O775" s="18" t="s">
        <v>1024</v>
      </c>
      <c r="P775">
        <f t="shared" si="36"/>
        <v>173</v>
      </c>
      <c r="Q775" t="str">
        <f>INDEX(Elemek!$B$2:$B$113,MATCH(M775,Elemek!$C$2:$C$113,0))</f>
        <v>Tm</v>
      </c>
      <c r="R775" t="str">
        <f t="shared" si="37"/>
        <v>8.396524</v>
      </c>
      <c r="S775" t="str">
        <f t="shared" si="38"/>
        <v>8.396524</v>
      </c>
    </row>
    <row r="776" spans="1:19" x14ac:dyDescent="0.25">
      <c r="A776">
        <v>580</v>
      </c>
      <c r="B776" t="s">
        <v>292</v>
      </c>
      <c r="C776">
        <v>231</v>
      </c>
      <c r="D776">
        <v>92</v>
      </c>
      <c r="E776">
        <v>139</v>
      </c>
      <c r="F776" s="18" t="s">
        <v>863</v>
      </c>
      <c r="H776" t="str">
        <f>IF(B776=$H$1,COUNT($H$2:H777)+1," ")</f>
        <v xml:space="preserve"> </v>
      </c>
      <c r="L776">
        <v>775</v>
      </c>
      <c r="M776">
        <v>73</v>
      </c>
      <c r="N776">
        <v>107</v>
      </c>
      <c r="O776" s="18"/>
      <c r="P776">
        <f t="shared" si="36"/>
        <v>180</v>
      </c>
      <c r="Q776" t="str">
        <f>INDEX(Elemek!$B$2:$B$113,MATCH(M776,Elemek!$C$2:$C$113,0))</f>
        <v>Ta</v>
      </c>
      <c r="R776" t="e">
        <f t="shared" si="37"/>
        <v>#DIV/0!</v>
      </c>
      <c r="S776" t="e">
        <f t="shared" si="38"/>
        <v>#DIV/0!</v>
      </c>
    </row>
    <row r="777" spans="1:19" x14ac:dyDescent="0.25">
      <c r="A777">
        <v>672</v>
      </c>
      <c r="B777" t="s">
        <v>287</v>
      </c>
      <c r="C777">
        <v>231</v>
      </c>
      <c r="D777">
        <v>90</v>
      </c>
      <c r="E777">
        <v>141</v>
      </c>
      <c r="F777" s="18" t="s">
        <v>944</v>
      </c>
      <c r="H777" t="str">
        <f>IF(B777=$H$1,COUNT($H$2:H778)+1," ")</f>
        <v xml:space="preserve"> </v>
      </c>
      <c r="L777">
        <v>776</v>
      </c>
      <c r="M777">
        <v>66</v>
      </c>
      <c r="N777">
        <v>91</v>
      </c>
      <c r="O777" s="18" t="s">
        <v>1025</v>
      </c>
      <c r="P777">
        <f t="shared" si="36"/>
        <v>157</v>
      </c>
      <c r="Q777" t="str">
        <f>INDEX(Elemek!$B$2:$B$113,MATCH(M777,Elemek!$C$2:$C$113,0))</f>
        <v>Dy</v>
      </c>
      <c r="R777" t="str">
        <f t="shared" si="37"/>
        <v>8.513544</v>
      </c>
      <c r="S777" t="str">
        <f t="shared" si="38"/>
        <v>8.513544</v>
      </c>
    </row>
    <row r="778" spans="1:19" x14ac:dyDescent="0.25">
      <c r="A778">
        <v>358</v>
      </c>
      <c r="B778" t="s">
        <v>292</v>
      </c>
      <c r="C778">
        <v>232</v>
      </c>
      <c r="D778">
        <v>92</v>
      </c>
      <c r="E778">
        <v>140</v>
      </c>
      <c r="F778" s="18" t="s">
        <v>665</v>
      </c>
      <c r="H778" t="str">
        <f>IF(B778=$H$1,COUNT($H$2:H779)+1," ")</f>
        <v xml:space="preserve"> </v>
      </c>
      <c r="L778">
        <v>777</v>
      </c>
      <c r="M778">
        <v>85</v>
      </c>
      <c r="N778">
        <v>125</v>
      </c>
      <c r="O778" s="18" t="s">
        <v>1026</v>
      </c>
      <c r="P778">
        <f t="shared" si="36"/>
        <v>210</v>
      </c>
      <c r="Q778" t="str">
        <f>INDEX(Elemek!$B$2:$B$113,MATCH(M778,Elemek!$C$2:$C$113,0))</f>
        <v>At</v>
      </c>
      <c r="R778" t="str">
        <f t="shared" si="37"/>
        <v>8.128337</v>
      </c>
      <c r="S778" t="str">
        <f t="shared" si="38"/>
        <v>8.128337</v>
      </c>
    </row>
    <row r="779" spans="1:19" x14ac:dyDescent="0.25">
      <c r="A779">
        <v>944</v>
      </c>
      <c r="B779" t="s">
        <v>234</v>
      </c>
      <c r="C779">
        <v>230</v>
      </c>
      <c r="D779">
        <v>88</v>
      </c>
      <c r="E779">
        <v>142</v>
      </c>
      <c r="F779" s="18" t="s">
        <v>1163</v>
      </c>
      <c r="H779" t="str">
        <f>IF(B779=$H$1,COUNT($H$2:H780)+1," ")</f>
        <v xml:space="preserve"> </v>
      </c>
      <c r="L779">
        <v>778</v>
      </c>
      <c r="M779">
        <v>73</v>
      </c>
      <c r="N779">
        <v>103</v>
      </c>
      <c r="O779" s="18" t="s">
        <v>1027</v>
      </c>
      <c r="P779">
        <f t="shared" si="36"/>
        <v>176</v>
      </c>
      <c r="Q779" t="str">
        <f>INDEX(Elemek!$B$2:$B$113,MATCH(M779,Elemek!$C$2:$C$113,0))</f>
        <v>Ta</v>
      </c>
      <c r="R779" t="str">
        <f t="shared" si="37"/>
        <v>8.363202</v>
      </c>
      <c r="S779" t="str">
        <f t="shared" si="38"/>
        <v>8.363202</v>
      </c>
    </row>
    <row r="780" spans="1:19" x14ac:dyDescent="0.25">
      <c r="A780">
        <v>283</v>
      </c>
      <c r="B780" t="s">
        <v>287</v>
      </c>
      <c r="C780">
        <v>232</v>
      </c>
      <c r="D780">
        <v>90</v>
      </c>
      <c r="E780">
        <v>142</v>
      </c>
      <c r="F780" s="18" t="s">
        <v>590</v>
      </c>
      <c r="H780" t="str">
        <f>IF(B780=$H$1,COUNT($H$2:H781)+1," ")</f>
        <v xml:space="preserve"> </v>
      </c>
      <c r="L780">
        <v>779</v>
      </c>
      <c r="M780">
        <v>69</v>
      </c>
      <c r="N780">
        <v>97</v>
      </c>
      <c r="O780" s="18" t="s">
        <v>1028</v>
      </c>
      <c r="P780">
        <f t="shared" si="36"/>
        <v>166</v>
      </c>
      <c r="Q780" t="str">
        <f>INDEX(Elemek!$B$2:$B$113,MATCH(M780,Elemek!$C$2:$C$113,0))</f>
        <v>Tm</v>
      </c>
      <c r="R780" t="str">
        <f t="shared" si="37"/>
        <v>8.444183</v>
      </c>
      <c r="S780" t="str">
        <f t="shared" si="38"/>
        <v>8.444183</v>
      </c>
    </row>
    <row r="781" spans="1:19" x14ac:dyDescent="0.25">
      <c r="A781">
        <v>659</v>
      </c>
      <c r="B781" t="s">
        <v>231</v>
      </c>
      <c r="C781">
        <v>232</v>
      </c>
      <c r="D781">
        <v>91</v>
      </c>
      <c r="E781">
        <v>141</v>
      </c>
      <c r="F781" s="18" t="s">
        <v>934</v>
      </c>
      <c r="H781" t="str">
        <f>IF(B781=$H$1,COUNT($H$2:H782)+1," ")</f>
        <v xml:space="preserve"> </v>
      </c>
      <c r="L781">
        <v>780</v>
      </c>
      <c r="M781">
        <v>99</v>
      </c>
      <c r="N781">
        <v>157</v>
      </c>
      <c r="O781" s="18" t="s">
        <v>1029</v>
      </c>
      <c r="P781">
        <f t="shared" si="36"/>
        <v>256</v>
      </c>
      <c r="Q781" t="str">
        <f>INDEX(Elemek!$B$2:$B$113,MATCH(M781,Elemek!$C$2:$C$113,0))</f>
        <v>Es</v>
      </c>
      <c r="R781" t="str">
        <f t="shared" si="37"/>
        <v>7.730742</v>
      </c>
      <c r="S781" t="str">
        <f t="shared" si="38"/>
        <v>7.730742</v>
      </c>
    </row>
    <row r="782" spans="1:19" x14ac:dyDescent="0.25">
      <c r="A782">
        <v>318</v>
      </c>
      <c r="B782" t="s">
        <v>292</v>
      </c>
      <c r="C782">
        <v>233</v>
      </c>
      <c r="D782">
        <v>92</v>
      </c>
      <c r="E782">
        <v>141</v>
      </c>
      <c r="F782" s="18" t="s">
        <v>625</v>
      </c>
      <c r="H782" t="str">
        <f>IF(B782=$H$1,COUNT($H$2:H783)+1," ")</f>
        <v xml:space="preserve"> </v>
      </c>
      <c r="L782">
        <v>781</v>
      </c>
      <c r="M782">
        <v>68</v>
      </c>
      <c r="N782">
        <v>103</v>
      </c>
      <c r="O782" s="18" t="s">
        <v>1030</v>
      </c>
      <c r="P782">
        <f t="shared" si="36"/>
        <v>171</v>
      </c>
      <c r="Q782" t="str">
        <f>INDEX(Elemek!$B$2:$B$113,MATCH(M782,Elemek!$C$2:$C$113,0))</f>
        <v>Er</v>
      </c>
      <c r="R782" t="str">
        <f t="shared" si="37"/>
        <v>8.408901</v>
      </c>
      <c r="S782" t="str">
        <f t="shared" si="38"/>
        <v>8.408901</v>
      </c>
    </row>
    <row r="783" spans="1:19" x14ac:dyDescent="0.25">
      <c r="A783">
        <v>499</v>
      </c>
      <c r="B783" t="s">
        <v>231</v>
      </c>
      <c r="C783">
        <v>233</v>
      </c>
      <c r="D783">
        <v>91</v>
      </c>
      <c r="E783">
        <v>142</v>
      </c>
      <c r="F783" s="18" t="s">
        <v>794</v>
      </c>
      <c r="H783" t="str">
        <f>IF(B783=$H$1,COUNT($H$2:H784)+1," ")</f>
        <v xml:space="preserve"> </v>
      </c>
      <c r="L783">
        <v>782</v>
      </c>
      <c r="M783">
        <v>81</v>
      </c>
      <c r="N783">
        <v>118</v>
      </c>
      <c r="O783" s="18" t="s">
        <v>1031</v>
      </c>
      <c r="P783">
        <f t="shared" si="36"/>
        <v>199</v>
      </c>
      <c r="Q783" t="str">
        <f>INDEX(Elemek!$B$2:$B$113,MATCH(M783,Elemek!$C$2:$C$113,0))</f>
        <v>Tl</v>
      </c>
      <c r="R783" t="str">
        <f t="shared" si="37"/>
        <v>8.212333</v>
      </c>
      <c r="S783" t="str">
        <f t="shared" si="38"/>
        <v>8.212333</v>
      </c>
    </row>
    <row r="784" spans="1:19" x14ac:dyDescent="0.25">
      <c r="A784">
        <v>313</v>
      </c>
      <c r="B784" t="s">
        <v>292</v>
      </c>
      <c r="C784">
        <v>234</v>
      </c>
      <c r="D784">
        <v>92</v>
      </c>
      <c r="E784">
        <v>142</v>
      </c>
      <c r="F784" s="18" t="s">
        <v>620</v>
      </c>
      <c r="H784" t="str">
        <f>IF(B784=$H$1,COUNT($H$2:H785)+1," ")</f>
        <v xml:space="preserve"> </v>
      </c>
      <c r="L784">
        <v>783</v>
      </c>
      <c r="M784">
        <v>85</v>
      </c>
      <c r="N784">
        <v>126</v>
      </c>
      <c r="O784" s="18" t="s">
        <v>1032</v>
      </c>
      <c r="P784">
        <f t="shared" si="36"/>
        <v>211</v>
      </c>
      <c r="Q784" t="str">
        <f>INDEX(Elemek!$B$2:$B$113,MATCH(M784,Elemek!$C$2:$C$113,0))</f>
        <v>At</v>
      </c>
      <c r="R784" t="str">
        <f t="shared" si="37"/>
        <v>8.126527</v>
      </c>
      <c r="S784" t="str">
        <f t="shared" si="38"/>
        <v>8.126527</v>
      </c>
    </row>
    <row r="785" spans="1:19" x14ac:dyDescent="0.25">
      <c r="A785">
        <v>576</v>
      </c>
      <c r="B785" t="s">
        <v>191</v>
      </c>
      <c r="C785">
        <v>234</v>
      </c>
      <c r="D785">
        <v>93</v>
      </c>
      <c r="E785">
        <v>141</v>
      </c>
      <c r="F785" s="18" t="s">
        <v>861</v>
      </c>
      <c r="H785" t="str">
        <f>IF(B785=$H$1,COUNT($H$2:H786)+1," ")</f>
        <v xml:space="preserve"> </v>
      </c>
      <c r="L785">
        <v>784</v>
      </c>
      <c r="M785">
        <v>34</v>
      </c>
      <c r="N785">
        <v>39</v>
      </c>
      <c r="O785" s="18" t="s">
        <v>1033</v>
      </c>
      <c r="P785">
        <f t="shared" si="36"/>
        <v>73</v>
      </c>
      <c r="Q785" t="str">
        <f>INDEX(Elemek!$B$2:$B$113,MATCH(M785,Elemek!$C$2:$C$113,0))</f>
        <v>Se</v>
      </c>
      <c r="R785" t="str">
        <f t="shared" si="37"/>
        <v>9.005821</v>
      </c>
      <c r="S785" t="str">
        <f t="shared" si="38"/>
        <v>9.005821</v>
      </c>
    </row>
    <row r="786" spans="1:19" x14ac:dyDescent="0.25">
      <c r="A786">
        <v>786</v>
      </c>
      <c r="B786" t="s">
        <v>231</v>
      </c>
      <c r="C786">
        <v>234</v>
      </c>
      <c r="D786">
        <v>91</v>
      </c>
      <c r="E786">
        <v>143</v>
      </c>
      <c r="F786" s="18" t="s">
        <v>1034</v>
      </c>
      <c r="H786" t="str">
        <f>IF(B786=$H$1,COUNT($H$2:H787)+1," ")</f>
        <v xml:space="preserve"> </v>
      </c>
      <c r="L786">
        <v>785</v>
      </c>
      <c r="M786">
        <v>42</v>
      </c>
      <c r="N786">
        <v>51</v>
      </c>
      <c r="O786" s="18"/>
      <c r="P786">
        <f t="shared" si="36"/>
        <v>93</v>
      </c>
      <c r="Q786" t="str">
        <f>INDEX(Elemek!$B$2:$B$113,MATCH(M786,Elemek!$C$2:$C$113,0))</f>
        <v>Mo</v>
      </c>
      <c r="R786" t="e">
        <f t="shared" si="37"/>
        <v>#DIV/0!</v>
      </c>
      <c r="S786" t="e">
        <f t="shared" si="38"/>
        <v>#DIV/0!</v>
      </c>
    </row>
    <row r="787" spans="1:19" x14ac:dyDescent="0.25">
      <c r="A787">
        <v>769</v>
      </c>
      <c r="B787" t="s">
        <v>220</v>
      </c>
      <c r="C787">
        <v>234</v>
      </c>
      <c r="D787">
        <v>94</v>
      </c>
      <c r="E787">
        <v>140</v>
      </c>
      <c r="F787" s="18" t="s">
        <v>1019</v>
      </c>
      <c r="H787" t="str">
        <f>IF(B787=$H$1,COUNT($H$2:H788)+1," ")</f>
        <v xml:space="preserve"> </v>
      </c>
      <c r="L787">
        <v>786</v>
      </c>
      <c r="M787">
        <v>91</v>
      </c>
      <c r="N787">
        <v>143</v>
      </c>
      <c r="O787" s="18" t="s">
        <v>1034</v>
      </c>
      <c r="P787">
        <f t="shared" si="36"/>
        <v>234</v>
      </c>
      <c r="Q787" t="str">
        <f>INDEX(Elemek!$B$2:$B$113,MATCH(M787,Elemek!$C$2:$C$113,0))</f>
        <v>Pa</v>
      </c>
      <c r="R787" t="str">
        <f t="shared" si="37"/>
        <v>7.89893</v>
      </c>
      <c r="S787" t="str">
        <f t="shared" si="38"/>
        <v>7.89893</v>
      </c>
    </row>
    <row r="788" spans="1:19" x14ac:dyDescent="0.25">
      <c r="A788">
        <v>503</v>
      </c>
      <c r="B788" t="s">
        <v>287</v>
      </c>
      <c r="C788">
        <v>234</v>
      </c>
      <c r="D788">
        <v>90</v>
      </c>
      <c r="E788">
        <v>144</v>
      </c>
      <c r="F788" s="18" t="s">
        <v>797</v>
      </c>
      <c r="H788" t="str">
        <f>IF(B788=$H$1,COUNT($H$2:H789)+1," ")</f>
        <v xml:space="preserve"> </v>
      </c>
      <c r="L788">
        <v>787</v>
      </c>
      <c r="M788">
        <v>53</v>
      </c>
      <c r="N788">
        <v>82</v>
      </c>
      <c r="O788" s="18" t="s">
        <v>1035</v>
      </c>
      <c r="P788">
        <f t="shared" si="36"/>
        <v>135</v>
      </c>
      <c r="Q788" t="str">
        <f>INDEX(Elemek!$B$2:$B$113,MATCH(M788,Elemek!$C$2:$C$113,0))</f>
        <v>I</v>
      </c>
      <c r="R788" t="str">
        <f t="shared" si="37"/>
        <v>8.691994</v>
      </c>
      <c r="S788" t="str">
        <f t="shared" si="38"/>
        <v>8.691994</v>
      </c>
    </row>
    <row r="789" spans="1:19" x14ac:dyDescent="0.25">
      <c r="A789">
        <v>286</v>
      </c>
      <c r="B789" t="s">
        <v>292</v>
      </c>
      <c r="C789">
        <v>235</v>
      </c>
      <c r="D789">
        <v>92</v>
      </c>
      <c r="E789">
        <v>143</v>
      </c>
      <c r="F789" s="18" t="s">
        <v>593</v>
      </c>
      <c r="H789" t="str">
        <f>IF(B789=$H$1,COUNT($H$2:H790)+1," ")</f>
        <v xml:space="preserve"> </v>
      </c>
      <c r="L789">
        <v>788</v>
      </c>
      <c r="M789">
        <v>48</v>
      </c>
      <c r="N789">
        <v>59</v>
      </c>
      <c r="O789" s="18" t="s">
        <v>1036</v>
      </c>
      <c r="P789">
        <f t="shared" si="36"/>
        <v>107</v>
      </c>
      <c r="Q789" t="str">
        <f>INDEX(Elemek!$B$2:$B$113,MATCH(M789,Elemek!$C$2:$C$113,0))</f>
        <v>Cd</v>
      </c>
      <c r="R789" t="str">
        <f t="shared" si="37"/>
        <v>8.884271</v>
      </c>
      <c r="S789" t="str">
        <f t="shared" si="38"/>
        <v>8.884271</v>
      </c>
    </row>
    <row r="790" spans="1:19" x14ac:dyDescent="0.25">
      <c r="A790">
        <v>406</v>
      </c>
      <c r="B790" t="s">
        <v>191</v>
      </c>
      <c r="C790">
        <v>235</v>
      </c>
      <c r="D790">
        <v>93</v>
      </c>
      <c r="E790">
        <v>142</v>
      </c>
      <c r="F790" s="18" t="s">
        <v>710</v>
      </c>
      <c r="H790" t="str">
        <f>IF(B790=$H$1,COUNT($H$2:H791)+1," ")</f>
        <v xml:space="preserve"> </v>
      </c>
      <c r="L790">
        <v>789</v>
      </c>
      <c r="M790">
        <v>37</v>
      </c>
      <c r="N790">
        <v>45</v>
      </c>
      <c r="O790" s="18" t="s">
        <v>1037</v>
      </c>
      <c r="P790">
        <f t="shared" si="36"/>
        <v>82</v>
      </c>
      <c r="Q790" t="str">
        <f>INDEX(Elemek!$B$2:$B$113,MATCH(M790,Elemek!$C$2:$C$113,0))</f>
        <v>Rb</v>
      </c>
      <c r="R790" t="str">
        <f t="shared" si="37"/>
        <v>8.999608</v>
      </c>
      <c r="S790" t="str">
        <f t="shared" si="38"/>
        <v>8.999608</v>
      </c>
    </row>
    <row r="791" spans="1:19" x14ac:dyDescent="0.25">
      <c r="A791">
        <v>290</v>
      </c>
      <c r="B791" t="s">
        <v>292</v>
      </c>
      <c r="C791">
        <v>236</v>
      </c>
      <c r="D791">
        <v>92</v>
      </c>
      <c r="E791">
        <v>144</v>
      </c>
      <c r="F791" s="18" t="s">
        <v>597</v>
      </c>
      <c r="H791" t="str">
        <f>IF(B791=$H$1,COUNT($H$2:H792)+1," ")</f>
        <v xml:space="preserve"> </v>
      </c>
      <c r="L791">
        <v>790</v>
      </c>
      <c r="M791">
        <v>66</v>
      </c>
      <c r="N791">
        <v>87</v>
      </c>
      <c r="O791" s="18" t="s">
        <v>1038</v>
      </c>
      <c r="P791">
        <f t="shared" si="36"/>
        <v>153</v>
      </c>
      <c r="Q791" t="str">
        <f>INDEX(Elemek!$B$2:$B$113,MATCH(M791,Elemek!$C$2:$C$113,0))</f>
        <v>Dy</v>
      </c>
      <c r="R791" t="str">
        <f t="shared" si="37"/>
        <v>8.523288</v>
      </c>
      <c r="S791" t="str">
        <f t="shared" si="38"/>
        <v>8.523288</v>
      </c>
    </row>
    <row r="792" spans="1:19" x14ac:dyDescent="0.25">
      <c r="A792">
        <v>392</v>
      </c>
      <c r="B792" t="s">
        <v>220</v>
      </c>
      <c r="C792">
        <v>236</v>
      </c>
      <c r="D792">
        <v>94</v>
      </c>
      <c r="E792">
        <v>142</v>
      </c>
      <c r="F792" s="18" t="s">
        <v>696</v>
      </c>
      <c r="H792" t="str">
        <f>IF(B792=$H$1,COUNT($H$2:H793)+1," ")</f>
        <v xml:space="preserve"> </v>
      </c>
      <c r="L792">
        <v>791</v>
      </c>
      <c r="M792">
        <v>55</v>
      </c>
      <c r="N792">
        <v>72</v>
      </c>
      <c r="O792" s="18" t="s">
        <v>1039</v>
      </c>
      <c r="P792">
        <f t="shared" si="36"/>
        <v>127</v>
      </c>
      <c r="Q792" t="str">
        <f>INDEX(Elemek!$B$2:$B$113,MATCH(M792,Elemek!$C$2:$C$113,0))</f>
        <v>Cs</v>
      </c>
      <c r="R792" t="str">
        <f t="shared" si="37"/>
        <v>8.750383</v>
      </c>
      <c r="S792" t="str">
        <f t="shared" si="38"/>
        <v>8.750383</v>
      </c>
    </row>
    <row r="793" spans="1:19" x14ac:dyDescent="0.25">
      <c r="A793">
        <v>319</v>
      </c>
      <c r="B793" t="s">
        <v>191</v>
      </c>
      <c r="C793">
        <v>236</v>
      </c>
      <c r="D793">
        <v>93</v>
      </c>
      <c r="E793">
        <v>143</v>
      </c>
      <c r="F793" s="18" t="s">
        <v>626</v>
      </c>
      <c r="H793" t="str">
        <f>IF(B793=$H$1,COUNT($H$2:H794)+1," ")</f>
        <v xml:space="preserve"> </v>
      </c>
      <c r="L793">
        <v>792</v>
      </c>
      <c r="M793">
        <v>89</v>
      </c>
      <c r="N793">
        <v>139</v>
      </c>
      <c r="O793" s="18" t="s">
        <v>1040</v>
      </c>
      <c r="P793">
        <f t="shared" si="36"/>
        <v>228</v>
      </c>
      <c r="Q793" t="str">
        <f>INDEX(Elemek!$B$2:$B$113,MATCH(M793,Elemek!$C$2:$C$113,0))</f>
        <v>Ac</v>
      </c>
      <c r="R793" t="str">
        <f t="shared" si="37"/>
        <v>7.944591</v>
      </c>
      <c r="S793" t="str">
        <f t="shared" si="38"/>
        <v>7.944591</v>
      </c>
    </row>
    <row r="794" spans="1:19" x14ac:dyDescent="0.25">
      <c r="A794">
        <v>301</v>
      </c>
      <c r="B794" t="s">
        <v>191</v>
      </c>
      <c r="C794">
        <v>237</v>
      </c>
      <c r="D794">
        <v>93</v>
      </c>
      <c r="E794">
        <v>144</v>
      </c>
      <c r="F794" s="18" t="s">
        <v>608</v>
      </c>
      <c r="H794" t="str">
        <f>IF(B794=$H$1,COUNT($H$2:H795)+1," ")</f>
        <v xml:space="preserve"> </v>
      </c>
      <c r="L794">
        <v>793</v>
      </c>
      <c r="M794">
        <v>43</v>
      </c>
      <c r="N794">
        <v>56</v>
      </c>
      <c r="O794" s="18"/>
      <c r="P794">
        <f t="shared" si="36"/>
        <v>99</v>
      </c>
      <c r="Q794" t="str">
        <f>INDEX(Elemek!$B$2:$B$113,MATCH(M794,Elemek!$C$2:$C$113,0))</f>
        <v>Tc</v>
      </c>
      <c r="R794" t="e">
        <f t="shared" si="37"/>
        <v>#DIV/0!</v>
      </c>
      <c r="S794" t="e">
        <f t="shared" si="38"/>
        <v>#DIV/0!</v>
      </c>
    </row>
    <row r="795" spans="1:19" x14ac:dyDescent="0.25">
      <c r="A795">
        <v>479</v>
      </c>
      <c r="B795" t="s">
        <v>220</v>
      </c>
      <c r="C795">
        <v>237</v>
      </c>
      <c r="D795">
        <v>94</v>
      </c>
      <c r="E795">
        <v>143</v>
      </c>
      <c r="F795" s="18" t="s">
        <v>775</v>
      </c>
      <c r="H795" t="str">
        <f>IF(B795=$H$1,COUNT($H$2:H796)+1," ")</f>
        <v xml:space="preserve"> </v>
      </c>
      <c r="L795">
        <v>794</v>
      </c>
      <c r="M795">
        <v>59</v>
      </c>
      <c r="N795">
        <v>86</v>
      </c>
      <c r="O795" s="18" t="s">
        <v>1041</v>
      </c>
      <c r="P795">
        <f t="shared" si="36"/>
        <v>145</v>
      </c>
      <c r="Q795" t="str">
        <f>INDEX(Elemek!$B$2:$B$113,MATCH(M795,Elemek!$C$2:$C$113,0))</f>
        <v>Pr</v>
      </c>
      <c r="R795" t="str">
        <f t="shared" si="37"/>
        <v>8.620514</v>
      </c>
      <c r="S795" t="str">
        <f t="shared" si="38"/>
        <v>8.620514</v>
      </c>
    </row>
    <row r="796" spans="1:19" x14ac:dyDescent="0.25">
      <c r="A796">
        <v>555</v>
      </c>
      <c r="B796" t="s">
        <v>292</v>
      </c>
      <c r="C796">
        <v>237</v>
      </c>
      <c r="D796">
        <v>92</v>
      </c>
      <c r="E796">
        <v>145</v>
      </c>
      <c r="F796" s="18" t="s">
        <v>843</v>
      </c>
      <c r="H796" t="str">
        <f>IF(B796=$H$1,COUNT($H$2:H797)+1," ")</f>
        <v xml:space="preserve"> </v>
      </c>
      <c r="L796">
        <v>795</v>
      </c>
      <c r="M796">
        <v>76</v>
      </c>
      <c r="N796">
        <v>113</v>
      </c>
      <c r="O796" s="18"/>
      <c r="P796">
        <f t="shared" si="36"/>
        <v>189</v>
      </c>
      <c r="Q796" t="str">
        <f>INDEX(Elemek!$B$2:$B$113,MATCH(M796,Elemek!$C$2:$C$113,0))</f>
        <v>Os</v>
      </c>
      <c r="R796" t="e">
        <f t="shared" si="37"/>
        <v>#DIV/0!</v>
      </c>
      <c r="S796" t="e">
        <f t="shared" si="38"/>
        <v>#DIV/0!</v>
      </c>
    </row>
    <row r="797" spans="1:19" x14ac:dyDescent="0.25">
      <c r="A797">
        <v>355</v>
      </c>
      <c r="B797" t="s">
        <v>220</v>
      </c>
      <c r="C797">
        <v>238</v>
      </c>
      <c r="D797">
        <v>94</v>
      </c>
      <c r="E797">
        <v>144</v>
      </c>
      <c r="F797" s="18" t="s">
        <v>662</v>
      </c>
      <c r="H797" t="str">
        <f>IF(B797=$H$1,COUNT($H$2:H798)+1," ")</f>
        <v xml:space="preserve"> </v>
      </c>
      <c r="L797">
        <v>796</v>
      </c>
      <c r="M797">
        <v>84</v>
      </c>
      <c r="N797">
        <v>123</v>
      </c>
      <c r="O797" s="18" t="s">
        <v>1042</v>
      </c>
      <c r="P797">
        <f t="shared" si="36"/>
        <v>207</v>
      </c>
      <c r="Q797" t="str">
        <f>INDEX(Elemek!$B$2:$B$113,MATCH(M797,Elemek!$C$2:$C$113,0))</f>
        <v>Po</v>
      </c>
      <c r="R797" t="str">
        <f t="shared" si="37"/>
        <v>8.154158</v>
      </c>
      <c r="S797" t="str">
        <f t="shared" si="38"/>
        <v>8.154158</v>
      </c>
    </row>
    <row r="798" spans="1:19" x14ac:dyDescent="0.25">
      <c r="A798">
        <v>964</v>
      </c>
      <c r="B798" t="s">
        <v>17</v>
      </c>
      <c r="C798">
        <v>237</v>
      </c>
      <c r="D798">
        <v>95</v>
      </c>
      <c r="E798">
        <v>142</v>
      </c>
      <c r="F798" s="18" t="s">
        <v>1180</v>
      </c>
      <c r="H798" t="str">
        <f>IF(B798=$H$1,COUNT($H$2:H799)+1," ")</f>
        <v xml:space="preserve"> </v>
      </c>
      <c r="L798">
        <v>797</v>
      </c>
      <c r="M798">
        <v>42</v>
      </c>
      <c r="N798">
        <v>48</v>
      </c>
      <c r="O798" s="18" t="s">
        <v>1043</v>
      </c>
      <c r="P798">
        <f t="shared" si="36"/>
        <v>90</v>
      </c>
      <c r="Q798" t="str">
        <f>INDEX(Elemek!$B$2:$B$113,MATCH(M798,Elemek!$C$2:$C$113,0))</f>
        <v>Mo</v>
      </c>
      <c r="R798" t="str">
        <f t="shared" si="37"/>
        <v>8.962072</v>
      </c>
      <c r="S798" t="str">
        <f t="shared" si="38"/>
        <v>8.962072</v>
      </c>
    </row>
    <row r="799" spans="1:19" x14ac:dyDescent="0.25">
      <c r="A799">
        <v>284</v>
      </c>
      <c r="B799" t="s">
        <v>292</v>
      </c>
      <c r="C799">
        <v>238</v>
      </c>
      <c r="D799">
        <v>92</v>
      </c>
      <c r="E799">
        <v>146</v>
      </c>
      <c r="F799" s="18" t="s">
        <v>591</v>
      </c>
      <c r="H799" t="str">
        <f>IF(B799=$H$1,COUNT($H$2:H800)+1," ")</f>
        <v xml:space="preserve"> </v>
      </c>
      <c r="L799">
        <v>798</v>
      </c>
      <c r="M799">
        <v>101</v>
      </c>
      <c r="N799">
        <v>156</v>
      </c>
      <c r="O799" s="18" t="s">
        <v>1044</v>
      </c>
      <c r="P799">
        <f t="shared" si="36"/>
        <v>257</v>
      </c>
      <c r="Q799" t="str">
        <f>INDEX(Elemek!$B$2:$B$113,MATCH(M799,Elemek!$C$2:$C$113,0))</f>
        <v>Md</v>
      </c>
      <c r="R799" t="str">
        <f t="shared" si="37"/>
        <v>7.72504</v>
      </c>
      <c r="S799" t="str">
        <f t="shared" si="38"/>
        <v>7.72504</v>
      </c>
    </row>
    <row r="800" spans="1:19" x14ac:dyDescent="0.25">
      <c r="A800">
        <v>627</v>
      </c>
      <c r="B800" t="s">
        <v>191</v>
      </c>
      <c r="C800">
        <v>238</v>
      </c>
      <c r="D800">
        <v>93</v>
      </c>
      <c r="E800">
        <v>145</v>
      </c>
      <c r="F800" s="18" t="s">
        <v>904</v>
      </c>
      <c r="H800" t="str">
        <f>IF(B800=$H$1,COUNT($H$2:H801)+1," ")</f>
        <v xml:space="preserve"> </v>
      </c>
      <c r="L800">
        <v>799</v>
      </c>
      <c r="M800">
        <v>46</v>
      </c>
      <c r="N800">
        <v>65</v>
      </c>
      <c r="O800" s="18" t="s">
        <v>1045</v>
      </c>
      <c r="P800">
        <f t="shared" si="36"/>
        <v>111</v>
      </c>
      <c r="Q800" t="str">
        <f>INDEX(Elemek!$B$2:$B$113,MATCH(M800,Elemek!$C$2:$C$113,0))</f>
        <v>Pd</v>
      </c>
      <c r="R800" t="str">
        <f t="shared" si="37"/>
        <v>8.844589</v>
      </c>
      <c r="S800" t="str">
        <f t="shared" si="38"/>
        <v>8.844589</v>
      </c>
    </row>
    <row r="801" spans="1:19" x14ac:dyDescent="0.25">
      <c r="A801">
        <v>326</v>
      </c>
      <c r="B801" t="s">
        <v>220</v>
      </c>
      <c r="C801">
        <v>239</v>
      </c>
      <c r="D801">
        <v>94</v>
      </c>
      <c r="E801">
        <v>145</v>
      </c>
      <c r="F801" s="18" t="s">
        <v>633</v>
      </c>
      <c r="H801" t="str">
        <f>IF(B801=$H$1,COUNT($H$2:H802)+1," ")</f>
        <v xml:space="preserve"> </v>
      </c>
      <c r="L801">
        <v>800</v>
      </c>
      <c r="M801">
        <v>60</v>
      </c>
      <c r="N801">
        <v>79</v>
      </c>
      <c r="O801" s="18" t="s">
        <v>1046</v>
      </c>
      <c r="P801">
        <f t="shared" si="36"/>
        <v>139</v>
      </c>
      <c r="Q801" t="str">
        <f>INDEX(Elemek!$B$2:$B$113,MATCH(M801,Elemek!$C$2:$C$113,0))</f>
        <v>Nd</v>
      </c>
      <c r="R801" t="str">
        <f t="shared" si="37"/>
        <v>8.659529</v>
      </c>
      <c r="S801" t="str">
        <f t="shared" si="38"/>
        <v>8.659529</v>
      </c>
    </row>
    <row r="802" spans="1:19" x14ac:dyDescent="0.25">
      <c r="A802">
        <v>937</v>
      </c>
      <c r="B802" t="s">
        <v>17</v>
      </c>
      <c r="C802">
        <v>238</v>
      </c>
      <c r="D802">
        <v>95</v>
      </c>
      <c r="E802">
        <v>143</v>
      </c>
      <c r="F802" s="18" t="s">
        <v>1159</v>
      </c>
      <c r="H802" t="str">
        <f>IF(B802=$H$1,COUNT($H$2:H803)+1," ")</f>
        <v xml:space="preserve"> </v>
      </c>
      <c r="L802">
        <v>801</v>
      </c>
      <c r="M802">
        <v>72</v>
      </c>
      <c r="N802">
        <v>108</v>
      </c>
      <c r="O802" s="18"/>
      <c r="P802">
        <f t="shared" si="36"/>
        <v>180</v>
      </c>
      <c r="Q802" t="str">
        <f>INDEX(Elemek!$B$2:$B$113,MATCH(M802,Elemek!$C$2:$C$113,0))</f>
        <v>Hf</v>
      </c>
      <c r="R802" t="e">
        <f t="shared" si="37"/>
        <v>#DIV/0!</v>
      </c>
      <c r="S802" t="e">
        <f t="shared" si="38"/>
        <v>#DIV/0!</v>
      </c>
    </row>
    <row r="803" spans="1:19" x14ac:dyDescent="0.25">
      <c r="A803">
        <v>136</v>
      </c>
      <c r="B803" t="s">
        <v>200</v>
      </c>
      <c r="C803">
        <v>14</v>
      </c>
      <c r="D803">
        <v>7</v>
      </c>
      <c r="E803">
        <v>7</v>
      </c>
      <c r="F803" s="18" t="s">
        <v>443</v>
      </c>
      <c r="H803" t="str">
        <f>IF(B803=$H$1,COUNT($H$2:H804)+1," ")</f>
        <v xml:space="preserve"> </v>
      </c>
      <c r="L803">
        <v>802</v>
      </c>
      <c r="M803">
        <v>85</v>
      </c>
      <c r="N803">
        <v>124</v>
      </c>
      <c r="O803" s="18" t="s">
        <v>1047</v>
      </c>
      <c r="P803">
        <f t="shared" si="36"/>
        <v>209</v>
      </c>
      <c r="Q803" t="str">
        <f>INDEX(Elemek!$B$2:$B$113,MATCH(M803,Elemek!$C$2:$C$113,0))</f>
        <v>At</v>
      </c>
      <c r="R803" t="str">
        <f t="shared" si="37"/>
        <v>8.132954</v>
      </c>
      <c r="S803" t="str">
        <f t="shared" si="38"/>
        <v>8.132954</v>
      </c>
    </row>
    <row r="804" spans="1:19" x14ac:dyDescent="0.25">
      <c r="A804">
        <v>618</v>
      </c>
      <c r="B804" t="s">
        <v>191</v>
      </c>
      <c r="C804">
        <v>239</v>
      </c>
      <c r="D804">
        <v>93</v>
      </c>
      <c r="E804">
        <v>146</v>
      </c>
      <c r="F804" s="18" t="s">
        <v>898</v>
      </c>
      <c r="H804" t="str">
        <f>IF(B804=$H$1,COUNT($H$2:H805)+1," ")</f>
        <v xml:space="preserve"> </v>
      </c>
      <c r="L804">
        <v>803</v>
      </c>
      <c r="M804">
        <v>47</v>
      </c>
      <c r="N804">
        <v>66</v>
      </c>
      <c r="O804" s="18" t="s">
        <v>1048</v>
      </c>
      <c r="P804">
        <f t="shared" si="36"/>
        <v>113</v>
      </c>
      <c r="Q804" t="str">
        <f>INDEX(Elemek!$B$2:$B$113,MATCH(M804,Elemek!$C$2:$C$113,0))</f>
        <v>Ag</v>
      </c>
      <c r="R804" t="str">
        <f t="shared" si="37"/>
        <v>8.841531</v>
      </c>
      <c r="S804" t="str">
        <f t="shared" si="38"/>
        <v>8.841531</v>
      </c>
    </row>
    <row r="805" spans="1:19" x14ac:dyDescent="0.25">
      <c r="A805">
        <v>739</v>
      </c>
      <c r="B805" t="s">
        <v>17</v>
      </c>
      <c r="C805">
        <v>239</v>
      </c>
      <c r="D805">
        <v>95</v>
      </c>
      <c r="E805">
        <v>144</v>
      </c>
      <c r="F805" s="18" t="s">
        <v>998</v>
      </c>
      <c r="H805" t="str">
        <f>IF(B805=$H$1,COUNT($H$2:H806)+1," ")</f>
        <v xml:space="preserve"> </v>
      </c>
      <c r="L805">
        <v>804</v>
      </c>
      <c r="M805">
        <v>65</v>
      </c>
      <c r="N805">
        <v>91</v>
      </c>
      <c r="O805" s="18"/>
      <c r="P805">
        <f t="shared" si="36"/>
        <v>156</v>
      </c>
      <c r="Q805" t="str">
        <f>INDEX(Elemek!$B$2:$B$113,MATCH(M805,Elemek!$C$2:$C$113,0))</f>
        <v>Tb</v>
      </c>
      <c r="R805" t="e">
        <f t="shared" si="37"/>
        <v>#DIV/0!</v>
      </c>
      <c r="S805" t="e">
        <f t="shared" si="38"/>
        <v>#DIV/0!</v>
      </c>
    </row>
    <row r="806" spans="1:19" x14ac:dyDescent="0.25">
      <c r="A806">
        <v>890</v>
      </c>
      <c r="B806" t="s">
        <v>157</v>
      </c>
      <c r="C806">
        <v>238</v>
      </c>
      <c r="D806">
        <v>96</v>
      </c>
      <c r="E806">
        <v>142</v>
      </c>
      <c r="F806" s="18" t="s">
        <v>1119</v>
      </c>
      <c r="H806" t="str">
        <f>IF(B806=$H$1,COUNT($H$2:H807)+1," ")</f>
        <v xml:space="preserve"> </v>
      </c>
      <c r="L806">
        <v>805</v>
      </c>
      <c r="M806">
        <v>81</v>
      </c>
      <c r="N806">
        <v>117</v>
      </c>
      <c r="O806" s="18" t="s">
        <v>1049</v>
      </c>
      <c r="P806">
        <f t="shared" si="36"/>
        <v>198</v>
      </c>
      <c r="Q806" t="str">
        <f>INDEX(Elemek!$B$2:$B$113,MATCH(M806,Elemek!$C$2:$C$113,0))</f>
        <v>Tl</v>
      </c>
      <c r="R806" t="str">
        <f t="shared" si="37"/>
        <v>8.210166</v>
      </c>
      <c r="S806" t="str">
        <f t="shared" si="38"/>
        <v>8.210166</v>
      </c>
    </row>
    <row r="807" spans="1:19" x14ac:dyDescent="0.25">
      <c r="A807">
        <v>332</v>
      </c>
      <c r="B807" t="s">
        <v>220</v>
      </c>
      <c r="C807">
        <v>240</v>
      </c>
      <c r="D807">
        <v>94</v>
      </c>
      <c r="E807">
        <v>146</v>
      </c>
      <c r="F807" s="18" t="s">
        <v>639</v>
      </c>
      <c r="H807" t="str">
        <f>IF(B807=$H$1,COUNT($H$2:H808)+1," ")</f>
        <v xml:space="preserve"> </v>
      </c>
      <c r="L807">
        <v>806</v>
      </c>
      <c r="M807">
        <v>100</v>
      </c>
      <c r="N807">
        <v>151</v>
      </c>
      <c r="O807" s="18" t="s">
        <v>1050</v>
      </c>
      <c r="P807">
        <f t="shared" si="36"/>
        <v>251</v>
      </c>
      <c r="Q807" t="str">
        <f>INDEX(Elemek!$B$2:$B$113,MATCH(M807,Elemek!$C$2:$C$113,0))</f>
        <v>Fm</v>
      </c>
      <c r="R807" t="str">
        <f t="shared" si="37"/>
        <v>7.76859</v>
      </c>
      <c r="S807" t="str">
        <f t="shared" si="38"/>
        <v>7.76859</v>
      </c>
    </row>
    <row r="808" spans="1:19" x14ac:dyDescent="0.25">
      <c r="A808">
        <v>867</v>
      </c>
      <c r="B808" t="s">
        <v>157</v>
      </c>
      <c r="C808">
        <v>239</v>
      </c>
      <c r="D808">
        <v>96</v>
      </c>
      <c r="E808">
        <v>143</v>
      </c>
      <c r="F808" s="18" t="s">
        <v>1100</v>
      </c>
      <c r="H808" t="str">
        <f>IF(B808=$H$1,COUNT($H$2:H809)+1," ")</f>
        <v xml:space="preserve"> </v>
      </c>
      <c r="L808">
        <v>807</v>
      </c>
      <c r="M808">
        <v>60</v>
      </c>
      <c r="N808">
        <v>78</v>
      </c>
      <c r="O808" s="18" t="s">
        <v>1051</v>
      </c>
      <c r="P808">
        <f t="shared" si="36"/>
        <v>138</v>
      </c>
      <c r="Q808" t="str">
        <f>INDEX(Elemek!$B$2:$B$113,MATCH(M808,Elemek!$C$2:$C$113,0))</f>
        <v>Nd</v>
      </c>
      <c r="R808" t="str">
        <f t="shared" si="37"/>
        <v>8.665661</v>
      </c>
      <c r="S808" t="str">
        <f t="shared" si="38"/>
        <v>8.665661</v>
      </c>
    </row>
    <row r="809" spans="1:19" x14ac:dyDescent="0.25">
      <c r="A809">
        <v>628</v>
      </c>
      <c r="B809" t="s">
        <v>17</v>
      </c>
      <c r="C809">
        <v>240</v>
      </c>
      <c r="D809">
        <v>95</v>
      </c>
      <c r="E809">
        <v>145</v>
      </c>
      <c r="F809" s="18" t="s">
        <v>905</v>
      </c>
      <c r="H809" t="str">
        <f>IF(B809=$H$1,COUNT($H$2:H810)+1," ")</f>
        <v xml:space="preserve"> </v>
      </c>
      <c r="L809">
        <v>808</v>
      </c>
      <c r="M809">
        <v>67</v>
      </c>
      <c r="N809">
        <v>93</v>
      </c>
      <c r="O809" s="18" t="s">
        <v>1052</v>
      </c>
      <c r="P809">
        <f t="shared" si="36"/>
        <v>160</v>
      </c>
      <c r="Q809" t="str">
        <f>INDEX(Elemek!$B$2:$B$113,MATCH(M809,Elemek!$C$2:$C$113,0))</f>
        <v>Ho</v>
      </c>
      <c r="R809" t="str">
        <f t="shared" si="37"/>
        <v>8.485877</v>
      </c>
      <c r="S809" t="str">
        <f t="shared" si="38"/>
        <v>8.485877</v>
      </c>
    </row>
    <row r="810" spans="1:19" x14ac:dyDescent="0.25">
      <c r="A810">
        <v>498</v>
      </c>
      <c r="B810" t="s">
        <v>157</v>
      </c>
      <c r="C810">
        <v>240</v>
      </c>
      <c r="D810">
        <v>96</v>
      </c>
      <c r="E810">
        <v>144</v>
      </c>
      <c r="F810" s="18" t="s">
        <v>793</v>
      </c>
      <c r="H810" t="str">
        <f>IF(B810=$H$1,COUNT($H$2:H811)+1," ")</f>
        <v xml:space="preserve"> </v>
      </c>
      <c r="L810">
        <v>809</v>
      </c>
      <c r="M810">
        <v>51</v>
      </c>
      <c r="N810">
        <v>67</v>
      </c>
      <c r="O810" s="18" t="s">
        <v>1053</v>
      </c>
      <c r="P810">
        <f t="shared" si="36"/>
        <v>118</v>
      </c>
      <c r="Q810" t="str">
        <f>INDEX(Elemek!$B$2:$B$113,MATCH(M810,Elemek!$C$2:$C$113,0))</f>
        <v>Sb</v>
      </c>
      <c r="R810" t="str">
        <f t="shared" si="37"/>
        <v>8.814963</v>
      </c>
      <c r="S810" t="str">
        <f t="shared" si="38"/>
        <v>8.814963</v>
      </c>
    </row>
    <row r="811" spans="1:19" x14ac:dyDescent="0.25">
      <c r="A811">
        <v>333</v>
      </c>
      <c r="B811" t="s">
        <v>263</v>
      </c>
      <c r="C811">
        <v>14</v>
      </c>
      <c r="D811">
        <v>6</v>
      </c>
      <c r="E811">
        <v>8</v>
      </c>
      <c r="F811" s="18" t="s">
        <v>640</v>
      </c>
      <c r="H811" t="str">
        <f>IF(B811=$H$1,COUNT($H$2:H812)+1," ")</f>
        <v xml:space="preserve"> </v>
      </c>
      <c r="L811">
        <v>810</v>
      </c>
      <c r="M811">
        <v>94</v>
      </c>
      <c r="N811">
        <v>149</v>
      </c>
      <c r="O811" s="18" t="s">
        <v>1054</v>
      </c>
      <c r="P811">
        <f t="shared" si="36"/>
        <v>243</v>
      </c>
      <c r="Q811" t="str">
        <f>INDEX(Elemek!$B$2:$B$113,MATCH(M811,Elemek!$C$2:$C$113,0))</f>
        <v>Pu</v>
      </c>
      <c r="R811" t="str">
        <f t="shared" si="37"/>
        <v>7.833648</v>
      </c>
      <c r="S811" t="str">
        <f t="shared" si="38"/>
        <v>7.833648</v>
      </c>
    </row>
    <row r="812" spans="1:19" x14ac:dyDescent="0.25">
      <c r="A812">
        <v>984</v>
      </c>
      <c r="B812" t="s">
        <v>191</v>
      </c>
      <c r="C812">
        <v>240</v>
      </c>
      <c r="D812">
        <v>93</v>
      </c>
      <c r="E812">
        <v>147</v>
      </c>
      <c r="F812" s="18" t="s">
        <v>1194</v>
      </c>
      <c r="H812" t="str">
        <f>IF(B812=$H$1,COUNT($H$2:H813)+1," ")</f>
        <v xml:space="preserve"> </v>
      </c>
      <c r="L812">
        <v>811</v>
      </c>
      <c r="M812">
        <v>79</v>
      </c>
      <c r="N812">
        <v>113</v>
      </c>
      <c r="O812" s="18" t="s">
        <v>1055</v>
      </c>
      <c r="P812">
        <f t="shared" si="36"/>
        <v>192</v>
      </c>
      <c r="Q812" t="str">
        <f>INDEX(Elemek!$B$2:$B$113,MATCH(M812,Elemek!$C$2:$C$113,0))</f>
        <v>Au</v>
      </c>
      <c r="R812" t="str">
        <f t="shared" si="37"/>
        <v>8.242036</v>
      </c>
      <c r="S812" t="str">
        <f t="shared" si="38"/>
        <v>8.242036</v>
      </c>
    </row>
    <row r="813" spans="1:19" x14ac:dyDescent="0.25">
      <c r="A813">
        <v>724</v>
      </c>
      <c r="B813" t="s">
        <v>292</v>
      </c>
      <c r="C813">
        <v>240</v>
      </c>
      <c r="D813">
        <v>92</v>
      </c>
      <c r="E813">
        <v>148</v>
      </c>
      <c r="F813" s="18" t="s">
        <v>987</v>
      </c>
      <c r="H813" t="str">
        <f>IF(B813=$H$1,COUNT($H$2:H814)+1," ")</f>
        <v xml:space="preserve"> </v>
      </c>
      <c r="L813">
        <v>812</v>
      </c>
      <c r="M813">
        <v>49</v>
      </c>
      <c r="N813">
        <v>61</v>
      </c>
      <c r="O813" s="18" t="s">
        <v>1056</v>
      </c>
      <c r="P813">
        <f t="shared" si="36"/>
        <v>110</v>
      </c>
      <c r="Q813" t="str">
        <f>INDEX(Elemek!$B$2:$B$113,MATCH(M813,Elemek!$C$2:$C$113,0))</f>
        <v>In</v>
      </c>
      <c r="R813" t="str">
        <f t="shared" si="37"/>
        <v>8.857464</v>
      </c>
      <c r="S813" t="str">
        <f t="shared" si="38"/>
        <v>8.857464</v>
      </c>
    </row>
    <row r="814" spans="1:19" x14ac:dyDescent="0.25">
      <c r="A814">
        <v>344</v>
      </c>
      <c r="B814" t="s">
        <v>17</v>
      </c>
      <c r="C814">
        <v>241</v>
      </c>
      <c r="D814">
        <v>95</v>
      </c>
      <c r="E814">
        <v>146</v>
      </c>
      <c r="F814" s="18" t="s">
        <v>651</v>
      </c>
      <c r="H814" t="str">
        <f>IF(B814=$H$1,COUNT($H$2:H815)+1," ")</f>
        <v xml:space="preserve"> </v>
      </c>
      <c r="L814">
        <v>813</v>
      </c>
      <c r="M814">
        <v>58</v>
      </c>
      <c r="N814">
        <v>75</v>
      </c>
      <c r="O814" s="18" t="s">
        <v>1057</v>
      </c>
      <c r="P814">
        <f t="shared" si="36"/>
        <v>133</v>
      </c>
      <c r="Q814" t="str">
        <f>INDEX(Elemek!$B$2:$B$113,MATCH(M814,Elemek!$C$2:$C$113,0))</f>
        <v>Ce</v>
      </c>
      <c r="R814" t="str">
        <f t="shared" si="37"/>
        <v>8.690771</v>
      </c>
      <c r="S814" t="str">
        <f t="shared" si="38"/>
        <v>8.690771</v>
      </c>
    </row>
    <row r="815" spans="1:19" x14ac:dyDescent="0.25">
      <c r="A815">
        <v>374</v>
      </c>
      <c r="B815" t="s">
        <v>220</v>
      </c>
      <c r="C815">
        <v>241</v>
      </c>
      <c r="D815">
        <v>94</v>
      </c>
      <c r="E815">
        <v>147</v>
      </c>
      <c r="F815" s="18" t="s">
        <v>679</v>
      </c>
      <c r="H815" t="str">
        <f>IF(B815=$H$1,COUNT($H$2:H816)+1," ")</f>
        <v xml:space="preserve"> </v>
      </c>
      <c r="L815">
        <v>814</v>
      </c>
      <c r="M815">
        <v>43</v>
      </c>
      <c r="N815">
        <v>51</v>
      </c>
      <c r="O815" s="18" t="s">
        <v>1058</v>
      </c>
      <c r="P815">
        <f t="shared" si="36"/>
        <v>94</v>
      </c>
      <c r="Q815" t="str">
        <f>INDEX(Elemek!$B$2:$B$113,MATCH(M815,Elemek!$C$2:$C$113,0))</f>
        <v>Tc</v>
      </c>
      <c r="R815" t="str">
        <f t="shared" si="37"/>
        <v>8.966583</v>
      </c>
      <c r="S815" t="str">
        <f t="shared" si="38"/>
        <v>8.966583</v>
      </c>
    </row>
    <row r="816" spans="1:19" x14ac:dyDescent="0.25">
      <c r="A816">
        <v>493</v>
      </c>
      <c r="B816" t="s">
        <v>157</v>
      </c>
      <c r="C816">
        <v>241</v>
      </c>
      <c r="D816">
        <v>96</v>
      </c>
      <c r="E816">
        <v>145</v>
      </c>
      <c r="F816" s="18" t="s">
        <v>788</v>
      </c>
      <c r="H816" t="str">
        <f>IF(B816=$H$1,COUNT($H$2:H817)+1," ")</f>
        <v xml:space="preserve"> </v>
      </c>
      <c r="L816">
        <v>815</v>
      </c>
      <c r="M816">
        <v>39</v>
      </c>
      <c r="N816">
        <v>46</v>
      </c>
      <c r="O816" s="18" t="s">
        <v>1059</v>
      </c>
      <c r="P816">
        <f t="shared" si="36"/>
        <v>85</v>
      </c>
      <c r="Q816" t="str">
        <f>INDEX(Elemek!$B$2:$B$113,MATCH(M816,Elemek!$C$2:$C$113,0))</f>
        <v>Y</v>
      </c>
      <c r="R816" t="str">
        <f t="shared" si="37"/>
        <v>8.98688</v>
      </c>
      <c r="S816" t="str">
        <f t="shared" si="38"/>
        <v>8.98688</v>
      </c>
    </row>
    <row r="817" spans="1:19" x14ac:dyDescent="0.25">
      <c r="A817">
        <v>921</v>
      </c>
      <c r="B817" t="s">
        <v>231</v>
      </c>
      <c r="C817">
        <v>239</v>
      </c>
      <c r="D817">
        <v>91</v>
      </c>
      <c r="E817">
        <v>148</v>
      </c>
      <c r="F817" s="18" t="s">
        <v>1144</v>
      </c>
      <c r="H817" t="str">
        <f>IF(B817=$H$1,COUNT($H$2:H818)+1," ")</f>
        <v xml:space="preserve"> </v>
      </c>
      <c r="L817">
        <v>816</v>
      </c>
      <c r="M817">
        <v>31</v>
      </c>
      <c r="N817">
        <v>42</v>
      </c>
      <c r="O817" s="18" t="s">
        <v>1060</v>
      </c>
      <c r="P817">
        <f t="shared" si="36"/>
        <v>73</v>
      </c>
      <c r="Q817" t="str">
        <f>INDEX(Elemek!$B$2:$B$113,MATCH(M817,Elemek!$C$2:$C$113,0))</f>
        <v>Ga</v>
      </c>
      <c r="R817" t="str">
        <f t="shared" si="37"/>
        <v>9.026112</v>
      </c>
      <c r="S817" t="str">
        <f t="shared" si="38"/>
        <v>9.026112</v>
      </c>
    </row>
    <row r="818" spans="1:19" x14ac:dyDescent="0.25">
      <c r="A818">
        <v>308</v>
      </c>
      <c r="B818" t="s">
        <v>220</v>
      </c>
      <c r="C818">
        <v>242</v>
      </c>
      <c r="D818">
        <v>94</v>
      </c>
      <c r="E818">
        <v>148</v>
      </c>
      <c r="F818" s="18" t="s">
        <v>615</v>
      </c>
      <c r="H818" t="str">
        <f>IF(B818=$H$1,COUNT($H$2:H819)+1," ")</f>
        <v xml:space="preserve"> </v>
      </c>
      <c r="L818">
        <v>817</v>
      </c>
      <c r="M818">
        <v>80</v>
      </c>
      <c r="N818">
        <v>112</v>
      </c>
      <c r="O818" s="18" t="s">
        <v>1061</v>
      </c>
      <c r="P818">
        <f t="shared" si="36"/>
        <v>192</v>
      </c>
      <c r="Q818" t="str">
        <f>INDEX(Elemek!$B$2:$B$113,MATCH(M818,Elemek!$C$2:$C$113,0))</f>
        <v>Hg</v>
      </c>
      <c r="R818" t="str">
        <f t="shared" si="37"/>
        <v>8.238051</v>
      </c>
      <c r="S818" t="str">
        <f t="shared" si="38"/>
        <v>8.238051</v>
      </c>
    </row>
    <row r="819" spans="1:19" x14ac:dyDescent="0.25">
      <c r="A819">
        <v>427</v>
      </c>
      <c r="B819" t="s">
        <v>157</v>
      </c>
      <c r="C819">
        <v>242</v>
      </c>
      <c r="D819">
        <v>96</v>
      </c>
      <c r="E819">
        <v>146</v>
      </c>
      <c r="F819" s="18" t="s">
        <v>729</v>
      </c>
      <c r="H819" t="str">
        <f>IF(B819=$H$1,COUNT($H$2:H820)+1," ")</f>
        <v xml:space="preserve"> </v>
      </c>
      <c r="L819">
        <v>818</v>
      </c>
      <c r="M819">
        <v>57</v>
      </c>
      <c r="N819">
        <v>75</v>
      </c>
      <c r="O819" s="18" t="s">
        <v>1062</v>
      </c>
      <c r="P819">
        <f t="shared" si="36"/>
        <v>132</v>
      </c>
      <c r="Q819" t="str">
        <f>INDEX(Elemek!$B$2:$B$113,MATCH(M819,Elemek!$C$2:$C$113,0))</f>
        <v>La</v>
      </c>
      <c r="R819" t="str">
        <f t="shared" si="37"/>
        <v>8.705721</v>
      </c>
      <c r="S819" t="str">
        <f t="shared" si="38"/>
        <v>8.705721</v>
      </c>
    </row>
    <row r="820" spans="1:19" x14ac:dyDescent="0.25">
      <c r="A820">
        <v>350</v>
      </c>
      <c r="B820" t="s">
        <v>17</v>
      </c>
      <c r="C820">
        <v>242</v>
      </c>
      <c r="D820">
        <v>95</v>
      </c>
      <c r="E820">
        <v>147</v>
      </c>
      <c r="F820" s="18" t="s">
        <v>657</v>
      </c>
      <c r="H820" t="str">
        <f>IF(B820=$H$1,COUNT($H$2:H821)+1," ")</f>
        <v xml:space="preserve"> </v>
      </c>
      <c r="L820">
        <v>819</v>
      </c>
      <c r="M820">
        <v>45</v>
      </c>
      <c r="N820">
        <v>54</v>
      </c>
      <c r="O820" s="18"/>
      <c r="P820">
        <f t="shared" si="36"/>
        <v>99</v>
      </c>
      <c r="Q820" t="str">
        <f>INDEX(Elemek!$B$2:$B$113,MATCH(M820,Elemek!$C$2:$C$113,0))</f>
        <v>Rh</v>
      </c>
      <c r="R820" t="e">
        <f t="shared" si="37"/>
        <v>#DIV/0!</v>
      </c>
      <c r="S820" t="e">
        <f t="shared" si="38"/>
        <v>#DIV/0!</v>
      </c>
    </row>
    <row r="821" spans="1:19" x14ac:dyDescent="0.25">
      <c r="A821">
        <v>330</v>
      </c>
      <c r="B821" t="s">
        <v>17</v>
      </c>
      <c r="C821">
        <v>243</v>
      </c>
      <c r="D821">
        <v>95</v>
      </c>
      <c r="E821">
        <v>148</v>
      </c>
      <c r="F821" s="18" t="s">
        <v>637</v>
      </c>
      <c r="H821" t="str">
        <f>IF(B821=$H$1,COUNT($H$2:H822)+1," ")</f>
        <v xml:space="preserve"> </v>
      </c>
      <c r="L821">
        <v>820</v>
      </c>
      <c r="M821">
        <v>105</v>
      </c>
      <c r="N821">
        <v>162</v>
      </c>
      <c r="O821" s="18" t="s">
        <v>1063</v>
      </c>
      <c r="P821">
        <f t="shared" si="36"/>
        <v>267</v>
      </c>
      <c r="Q821" t="str">
        <f>INDEX(Elemek!$B$2:$B$113,MATCH(M821,Elemek!$C$2:$C$113,0))</f>
        <v>Db</v>
      </c>
      <c r="R821" t="str">
        <f t="shared" si="37"/>
        <v>7.644361</v>
      </c>
      <c r="S821" t="str">
        <f t="shared" si="38"/>
        <v>7.644361</v>
      </c>
    </row>
    <row r="822" spans="1:19" x14ac:dyDescent="0.25">
      <c r="A822">
        <v>367</v>
      </c>
      <c r="B822" t="s">
        <v>157</v>
      </c>
      <c r="C822">
        <v>243</v>
      </c>
      <c r="D822">
        <v>96</v>
      </c>
      <c r="E822">
        <v>147</v>
      </c>
      <c r="F822" s="18" t="s">
        <v>673</v>
      </c>
      <c r="H822" t="str">
        <f>IF(B822=$H$1,COUNT($H$2:H823)+1," ")</f>
        <v xml:space="preserve"> </v>
      </c>
      <c r="L822">
        <v>821</v>
      </c>
      <c r="M822">
        <v>71</v>
      </c>
      <c r="N822">
        <v>108</v>
      </c>
      <c r="O822" s="18" t="s">
        <v>1064</v>
      </c>
      <c r="P822">
        <f t="shared" si="36"/>
        <v>179</v>
      </c>
      <c r="Q822" t="str">
        <f>INDEX(Elemek!$B$2:$B$113,MATCH(M822,Elemek!$C$2:$C$113,0))</f>
        <v>Lu</v>
      </c>
      <c r="R822" t="str">
        <f t="shared" si="37"/>
        <v>8.345428</v>
      </c>
      <c r="S822" t="str">
        <f t="shared" si="38"/>
        <v>8.345428</v>
      </c>
    </row>
    <row r="823" spans="1:19" x14ac:dyDescent="0.25">
      <c r="A823">
        <v>810</v>
      </c>
      <c r="B823" t="s">
        <v>220</v>
      </c>
      <c r="C823">
        <v>243</v>
      </c>
      <c r="D823">
        <v>94</v>
      </c>
      <c r="E823">
        <v>149</v>
      </c>
      <c r="F823" s="18" t="s">
        <v>1054</v>
      </c>
      <c r="H823" t="str">
        <f>IF(B823=$H$1,COUNT($H$2:H824)+1," ")</f>
        <v xml:space="preserve"> </v>
      </c>
      <c r="L823">
        <v>822</v>
      </c>
      <c r="M823">
        <v>37</v>
      </c>
      <c r="N823">
        <v>44</v>
      </c>
      <c r="O823" s="18" t="s">
        <v>1065</v>
      </c>
      <c r="P823">
        <f t="shared" si="36"/>
        <v>81</v>
      </c>
      <c r="Q823" t="str">
        <f>INDEX(Elemek!$B$2:$B$113,MATCH(M823,Elemek!$C$2:$C$113,0))</f>
        <v>Rb</v>
      </c>
      <c r="R823" t="str">
        <f t="shared" si="37"/>
        <v>9.002871</v>
      </c>
      <c r="S823" t="str">
        <f t="shared" si="38"/>
        <v>9.002871</v>
      </c>
    </row>
    <row r="824" spans="1:19" x14ac:dyDescent="0.25">
      <c r="A824">
        <v>371</v>
      </c>
      <c r="B824" t="s">
        <v>157</v>
      </c>
      <c r="C824">
        <v>244</v>
      </c>
      <c r="D824">
        <v>96</v>
      </c>
      <c r="E824">
        <v>148</v>
      </c>
      <c r="F824" s="18" t="s">
        <v>677</v>
      </c>
      <c r="H824" t="str">
        <f>IF(B824=$H$1,COUNT($H$2:H825)+1," ")</f>
        <v xml:space="preserve"> </v>
      </c>
      <c r="L824">
        <v>823</v>
      </c>
      <c r="M824">
        <v>97</v>
      </c>
      <c r="N824">
        <v>146</v>
      </c>
      <c r="O824" s="18" t="s">
        <v>1066</v>
      </c>
      <c r="P824">
        <f t="shared" si="36"/>
        <v>243</v>
      </c>
      <c r="Q824" t="str">
        <f>INDEX(Elemek!$B$2:$B$113,MATCH(M824,Elemek!$C$2:$C$113,0))</f>
        <v>Bk</v>
      </c>
      <c r="R824" t="str">
        <f t="shared" si="37"/>
        <v>7.829801</v>
      </c>
      <c r="S824" t="str">
        <f t="shared" si="38"/>
        <v>7.829801</v>
      </c>
    </row>
    <row r="825" spans="1:19" x14ac:dyDescent="0.25">
      <c r="A825">
        <v>137</v>
      </c>
      <c r="B825" t="s">
        <v>263</v>
      </c>
      <c r="C825">
        <v>13</v>
      </c>
      <c r="D825">
        <v>6</v>
      </c>
      <c r="E825">
        <v>7</v>
      </c>
      <c r="F825" s="18" t="s">
        <v>444</v>
      </c>
      <c r="H825" t="str">
        <f>IF(B825=$H$1,COUNT($H$2:H826)+1," ")</f>
        <v xml:space="preserve"> </v>
      </c>
      <c r="L825">
        <v>824</v>
      </c>
      <c r="M825">
        <v>49</v>
      </c>
      <c r="N825">
        <v>66</v>
      </c>
      <c r="O825" s="18"/>
      <c r="P825">
        <f t="shared" si="36"/>
        <v>115</v>
      </c>
      <c r="Q825" t="str">
        <f>INDEX(Elemek!$B$2:$B$113,MATCH(M825,Elemek!$C$2:$C$113,0))</f>
        <v>In</v>
      </c>
      <c r="R825" t="e">
        <f t="shared" si="37"/>
        <v>#DIV/0!</v>
      </c>
      <c r="S825" t="e">
        <f t="shared" si="38"/>
        <v>#DIV/0!</v>
      </c>
    </row>
    <row r="826" spans="1:19" x14ac:dyDescent="0.25">
      <c r="A826">
        <v>823</v>
      </c>
      <c r="B826" t="s">
        <v>42</v>
      </c>
      <c r="C826">
        <v>243</v>
      </c>
      <c r="D826">
        <v>97</v>
      </c>
      <c r="E826">
        <v>146</v>
      </c>
      <c r="F826" s="18" t="s">
        <v>1066</v>
      </c>
      <c r="H826" t="str">
        <f>IF(B826=$H$1,COUNT($H$2:H827)+1," ")</f>
        <v xml:space="preserve"> </v>
      </c>
      <c r="L826">
        <v>825</v>
      </c>
      <c r="M826">
        <v>36</v>
      </c>
      <c r="N826">
        <v>49</v>
      </c>
      <c r="O826" s="18"/>
      <c r="P826">
        <f t="shared" si="36"/>
        <v>85</v>
      </c>
      <c r="Q826" t="str">
        <f>INDEX(Elemek!$B$2:$B$113,MATCH(M826,Elemek!$C$2:$C$113,0))</f>
        <v>Kr</v>
      </c>
      <c r="R826" t="e">
        <f t="shared" si="37"/>
        <v>#DIV/0!</v>
      </c>
      <c r="S826" t="e">
        <f t="shared" si="38"/>
        <v>#DIV/0!</v>
      </c>
    </row>
    <row r="827" spans="1:19" x14ac:dyDescent="0.25">
      <c r="A827">
        <v>288</v>
      </c>
      <c r="B827" t="s">
        <v>220</v>
      </c>
      <c r="C827">
        <v>244</v>
      </c>
      <c r="D827">
        <v>94</v>
      </c>
      <c r="E827">
        <v>150</v>
      </c>
      <c r="F827" s="18" t="s">
        <v>595</v>
      </c>
      <c r="H827" t="str">
        <f>IF(B827=$H$1,COUNT($H$2:H828)+1," ")</f>
        <v xml:space="preserve"> </v>
      </c>
      <c r="L827">
        <v>826</v>
      </c>
      <c r="M827">
        <v>44</v>
      </c>
      <c r="N827">
        <v>61</v>
      </c>
      <c r="O827" s="18" t="s">
        <v>1067</v>
      </c>
      <c r="P827">
        <f t="shared" si="36"/>
        <v>105</v>
      </c>
      <c r="Q827" t="str">
        <f>INDEX(Elemek!$B$2:$B$113,MATCH(M827,Elemek!$C$2:$C$113,0))</f>
        <v>Ru</v>
      </c>
      <c r="R827" t="str">
        <f t="shared" si="37"/>
        <v>8.889689</v>
      </c>
      <c r="S827" t="str">
        <f t="shared" si="38"/>
        <v>8.889689</v>
      </c>
    </row>
    <row r="828" spans="1:19" x14ac:dyDescent="0.25">
      <c r="A828">
        <v>752</v>
      </c>
      <c r="B828" t="s">
        <v>17</v>
      </c>
      <c r="C828">
        <v>244</v>
      </c>
      <c r="D828">
        <v>95</v>
      </c>
      <c r="E828">
        <v>149</v>
      </c>
      <c r="F828" s="18" t="s">
        <v>1010</v>
      </c>
      <c r="H828" t="str">
        <f>IF(B828=$H$1,COUNT($H$2:H829)+1," ")</f>
        <v xml:space="preserve"> </v>
      </c>
      <c r="L828">
        <v>827</v>
      </c>
      <c r="M828">
        <v>35</v>
      </c>
      <c r="N828">
        <v>45</v>
      </c>
      <c r="O828" s="18" t="s">
        <v>1068</v>
      </c>
      <c r="P828">
        <f t="shared" si="36"/>
        <v>80</v>
      </c>
      <c r="Q828" t="str">
        <f>INDEX(Elemek!$B$2:$B$113,MATCH(M828,Elemek!$C$2:$C$113,0))</f>
        <v>Br</v>
      </c>
      <c r="R828" t="str">
        <f t="shared" si="37"/>
        <v>9.018872</v>
      </c>
      <c r="S828" t="str">
        <f t="shared" si="38"/>
        <v>9.018872</v>
      </c>
    </row>
    <row r="829" spans="1:19" x14ac:dyDescent="0.25">
      <c r="A829">
        <v>830</v>
      </c>
      <c r="B829" t="s">
        <v>42</v>
      </c>
      <c r="C829">
        <v>244</v>
      </c>
      <c r="D829">
        <v>97</v>
      </c>
      <c r="E829">
        <v>147</v>
      </c>
      <c r="F829" s="18" t="s">
        <v>1071</v>
      </c>
      <c r="H829" t="str">
        <f>IF(B829=$H$1,COUNT($H$2:H830)+1," ")</f>
        <v xml:space="preserve"> </v>
      </c>
      <c r="L829">
        <v>828</v>
      </c>
      <c r="M829">
        <v>59</v>
      </c>
      <c r="N829">
        <v>80</v>
      </c>
      <c r="O829" s="18" t="s">
        <v>1069</v>
      </c>
      <c r="P829">
        <f t="shared" si="36"/>
        <v>139</v>
      </c>
      <c r="Q829" t="str">
        <f>INDEX(Elemek!$B$2:$B$113,MATCH(M829,Elemek!$C$2:$C$113,0))</f>
        <v>Pr</v>
      </c>
      <c r="R829" t="str">
        <f t="shared" si="37"/>
        <v>8.681565</v>
      </c>
      <c r="S829" t="str">
        <f t="shared" si="38"/>
        <v>8.681565</v>
      </c>
    </row>
    <row r="830" spans="1:19" x14ac:dyDescent="0.25">
      <c r="A830">
        <v>328</v>
      </c>
      <c r="B830" t="s">
        <v>157</v>
      </c>
      <c r="C830">
        <v>245</v>
      </c>
      <c r="D830">
        <v>96</v>
      </c>
      <c r="E830">
        <v>149</v>
      </c>
      <c r="F830" s="18" t="s">
        <v>635</v>
      </c>
      <c r="H830" t="str">
        <f>IF(B830=$H$1,COUNT($H$2:H831)+1," ")</f>
        <v xml:space="preserve"> </v>
      </c>
      <c r="L830">
        <v>829</v>
      </c>
      <c r="M830">
        <v>51</v>
      </c>
      <c r="N830">
        <v>78</v>
      </c>
      <c r="O830" s="18" t="s">
        <v>1070</v>
      </c>
      <c r="P830">
        <f t="shared" si="36"/>
        <v>129</v>
      </c>
      <c r="Q830" t="str">
        <f>INDEX(Elemek!$B$2:$B$113,MATCH(M830,Elemek!$C$2:$C$113,0))</f>
        <v>Sb</v>
      </c>
      <c r="R830" t="str">
        <f t="shared" si="37"/>
        <v>8.727358</v>
      </c>
      <c r="S830" t="str">
        <f t="shared" si="38"/>
        <v>8.727358</v>
      </c>
    </row>
    <row r="831" spans="1:19" x14ac:dyDescent="0.25">
      <c r="A831">
        <v>572</v>
      </c>
      <c r="B831" t="s">
        <v>42</v>
      </c>
      <c r="C831">
        <v>245</v>
      </c>
      <c r="D831">
        <v>97</v>
      </c>
      <c r="E831">
        <v>148</v>
      </c>
      <c r="F831" s="18" t="s">
        <v>857</v>
      </c>
      <c r="H831" t="str">
        <f>IF(B831=$H$1,COUNT($H$2:H832)+1," ")</f>
        <v xml:space="preserve"> </v>
      </c>
      <c r="L831">
        <v>830</v>
      </c>
      <c r="M831">
        <v>97</v>
      </c>
      <c r="N831">
        <v>147</v>
      </c>
      <c r="O831" s="18" t="s">
        <v>1071</v>
      </c>
      <c r="P831">
        <f t="shared" si="36"/>
        <v>244</v>
      </c>
      <c r="Q831" t="str">
        <f>INDEX(Elemek!$B$2:$B$113,MATCH(M831,Elemek!$C$2:$C$113,0))</f>
        <v>Bk</v>
      </c>
      <c r="R831" t="str">
        <f t="shared" si="37"/>
        <v>7.822491</v>
      </c>
      <c r="S831" t="str">
        <f t="shared" si="38"/>
        <v>7.822491</v>
      </c>
    </row>
    <row r="832" spans="1:19" x14ac:dyDescent="0.25">
      <c r="A832">
        <v>909</v>
      </c>
      <c r="B832" t="s">
        <v>17</v>
      </c>
      <c r="C832">
        <v>245</v>
      </c>
      <c r="D832">
        <v>95</v>
      </c>
      <c r="E832">
        <v>150</v>
      </c>
      <c r="F832" s="18" t="s">
        <v>1136</v>
      </c>
      <c r="H832" t="str">
        <f>IF(B832=$H$1,COUNT($H$2:H833)+1," ")</f>
        <v xml:space="preserve"> </v>
      </c>
      <c r="L832">
        <v>831</v>
      </c>
      <c r="M832">
        <v>49</v>
      </c>
      <c r="N832">
        <v>60</v>
      </c>
      <c r="O832" s="18" t="s">
        <v>1072</v>
      </c>
      <c r="P832">
        <f t="shared" si="36"/>
        <v>109</v>
      </c>
      <c r="Q832" t="str">
        <f>INDEX(Elemek!$B$2:$B$113,MATCH(M832,Elemek!$C$2:$C$113,0))</f>
        <v>In</v>
      </c>
      <c r="R832" t="str">
        <f t="shared" si="37"/>
        <v>8.864805</v>
      </c>
      <c r="S832" t="str">
        <f t="shared" si="38"/>
        <v>8.864805</v>
      </c>
    </row>
    <row r="833" spans="1:19" x14ac:dyDescent="0.25">
      <c r="A833">
        <v>334</v>
      </c>
      <c r="B833" t="s">
        <v>157</v>
      </c>
      <c r="C833">
        <v>246</v>
      </c>
      <c r="D833">
        <v>96</v>
      </c>
      <c r="E833">
        <v>150</v>
      </c>
      <c r="F833" s="18" t="s">
        <v>641</v>
      </c>
      <c r="H833" t="str">
        <f>IF(B833=$H$1,COUNT($H$2:H834)+1," ")</f>
        <v xml:space="preserve"> </v>
      </c>
      <c r="L833">
        <v>832</v>
      </c>
      <c r="M833">
        <v>72</v>
      </c>
      <c r="N833">
        <v>112</v>
      </c>
      <c r="O833" s="18" t="s">
        <v>1073</v>
      </c>
      <c r="P833">
        <f t="shared" si="36"/>
        <v>184</v>
      </c>
      <c r="Q833" t="str">
        <f>INDEX(Elemek!$B$2:$B$113,MATCH(M833,Elemek!$C$2:$C$113,0))</f>
        <v>Hf</v>
      </c>
      <c r="R833" t="str">
        <f t="shared" si="37"/>
        <v>8.296871</v>
      </c>
      <c r="S833" t="str">
        <f t="shared" si="38"/>
        <v>8.296871</v>
      </c>
    </row>
    <row r="834" spans="1:19" x14ac:dyDescent="0.25">
      <c r="A834">
        <v>748</v>
      </c>
      <c r="B834" t="s">
        <v>220</v>
      </c>
      <c r="C834">
        <v>245</v>
      </c>
      <c r="D834">
        <v>94</v>
      </c>
      <c r="E834">
        <v>151</v>
      </c>
      <c r="F834" s="18" t="s">
        <v>1006</v>
      </c>
      <c r="H834" t="str">
        <f>IF(B834=$H$1,COUNT($H$2:H835)+1," ")</f>
        <v xml:space="preserve"> </v>
      </c>
      <c r="L834">
        <v>833</v>
      </c>
      <c r="M834">
        <v>65</v>
      </c>
      <c r="N834">
        <v>84</v>
      </c>
      <c r="O834" s="18" t="s">
        <v>1074</v>
      </c>
      <c r="P834">
        <f t="shared" si="36"/>
        <v>149</v>
      </c>
      <c r="Q834" t="str">
        <f>INDEX(Elemek!$B$2:$B$113,MATCH(M834,Elemek!$C$2:$C$113,0))</f>
        <v>Tb</v>
      </c>
      <c r="R834" t="str">
        <f t="shared" si="37"/>
        <v>8.551166</v>
      </c>
      <c r="S834" t="str">
        <f t="shared" si="38"/>
        <v>8.551166</v>
      </c>
    </row>
    <row r="835" spans="1:19" x14ac:dyDescent="0.25">
      <c r="A835">
        <v>635</v>
      </c>
      <c r="B835" t="s">
        <v>42</v>
      </c>
      <c r="C835">
        <v>246</v>
      </c>
      <c r="D835">
        <v>97</v>
      </c>
      <c r="E835">
        <v>149</v>
      </c>
      <c r="F835" s="18" t="s">
        <v>912</v>
      </c>
      <c r="H835" t="str">
        <f>IF(B835=$H$1,COUNT($H$2:H836)+1," ")</f>
        <v xml:space="preserve"> </v>
      </c>
      <c r="L835">
        <v>834</v>
      </c>
      <c r="M835">
        <v>50</v>
      </c>
      <c r="N835">
        <v>60</v>
      </c>
      <c r="O835" s="18" t="s">
        <v>1075</v>
      </c>
      <c r="P835">
        <f t="shared" ref="P835:P898" si="39">N835+M835</f>
        <v>110</v>
      </c>
      <c r="Q835" t="str">
        <f>INDEX(Elemek!$B$2:$B$113,MATCH(M835,Elemek!$C$2:$C$113,0))</f>
        <v>Sn</v>
      </c>
      <c r="R835" t="str">
        <f t="shared" ref="R835:R898" si="40">IF(NOT(ISBLANK(O835)),O835,ROUNDDOWN(AVERAGE($O$2:$O$990),2))</f>
        <v>8.851727</v>
      </c>
      <c r="S835" t="str">
        <f t="shared" ref="S835:S898" si="41">IF(ISBLANK(O835),ROUNDDOWN(AVERAGEIF($M$2:$M$990,M835,$O$2:$O$990),2),O835)</f>
        <v>8.851727</v>
      </c>
    </row>
    <row r="836" spans="1:19" x14ac:dyDescent="0.25">
      <c r="A836">
        <v>647</v>
      </c>
      <c r="B836" t="s">
        <v>139</v>
      </c>
      <c r="C836">
        <v>246</v>
      </c>
      <c r="D836">
        <v>98</v>
      </c>
      <c r="E836">
        <v>148</v>
      </c>
      <c r="F836" s="18" t="s">
        <v>922</v>
      </c>
      <c r="H836" t="str">
        <f>IF(B836=$H$1,COUNT($H$2:H837)+1," ")</f>
        <v xml:space="preserve"> </v>
      </c>
      <c r="L836">
        <v>835</v>
      </c>
      <c r="M836">
        <v>21</v>
      </c>
      <c r="N836">
        <v>23</v>
      </c>
      <c r="O836" s="18"/>
      <c r="P836">
        <f t="shared" si="39"/>
        <v>44</v>
      </c>
      <c r="Q836" t="str">
        <f>INDEX(Elemek!$B$2:$B$113,MATCH(M836,Elemek!$C$2:$C$113,0))</f>
        <v>Sc</v>
      </c>
      <c r="R836" t="e">
        <f t="shared" si="40"/>
        <v>#DIV/0!</v>
      </c>
      <c r="S836" t="e">
        <f t="shared" si="41"/>
        <v>#DIV/0!</v>
      </c>
    </row>
    <row r="837" spans="1:19" x14ac:dyDescent="0.25">
      <c r="A837">
        <v>338</v>
      </c>
      <c r="B837" t="s">
        <v>42</v>
      </c>
      <c r="C837">
        <v>247</v>
      </c>
      <c r="D837">
        <v>97</v>
      </c>
      <c r="E837">
        <v>150</v>
      </c>
      <c r="F837" s="18" t="s">
        <v>645</v>
      </c>
      <c r="H837" t="str">
        <f>IF(B837=$H$1,COUNT($H$2:H838)+1," ")</f>
        <v xml:space="preserve"> </v>
      </c>
      <c r="L837">
        <v>836</v>
      </c>
      <c r="M837">
        <v>30</v>
      </c>
      <c r="N837">
        <v>41</v>
      </c>
      <c r="O837" s="18" t="s">
        <v>1076</v>
      </c>
      <c r="P837">
        <f t="shared" si="39"/>
        <v>71</v>
      </c>
      <c r="Q837" t="str">
        <f>INDEX(Elemek!$B$2:$B$113,MATCH(M837,Elemek!$C$2:$C$113,0))</f>
        <v>Zn</v>
      </c>
      <c r="R837" t="str">
        <f t="shared" si="40"/>
        <v>9.01737</v>
      </c>
      <c r="S837" t="str">
        <f t="shared" si="41"/>
        <v>9.01737</v>
      </c>
    </row>
    <row r="838" spans="1:19" x14ac:dyDescent="0.25">
      <c r="A838">
        <v>293</v>
      </c>
      <c r="B838" t="s">
        <v>157</v>
      </c>
      <c r="C838">
        <v>247</v>
      </c>
      <c r="D838">
        <v>96</v>
      </c>
      <c r="E838">
        <v>151</v>
      </c>
      <c r="F838" s="18" t="s">
        <v>600</v>
      </c>
      <c r="H838" t="str">
        <f>IF(B838=$H$1,COUNT($H$2:H839)+1," ")</f>
        <v xml:space="preserve"> </v>
      </c>
      <c r="L838">
        <v>837</v>
      </c>
      <c r="M838">
        <v>57</v>
      </c>
      <c r="N838">
        <v>84</v>
      </c>
      <c r="O838" s="18" t="s">
        <v>1077</v>
      </c>
      <c r="P838">
        <f t="shared" si="39"/>
        <v>141</v>
      </c>
      <c r="Q838" t="str">
        <f>INDEX(Elemek!$B$2:$B$113,MATCH(M838,Elemek!$C$2:$C$113,0))</f>
        <v>La</v>
      </c>
      <c r="R838" t="str">
        <f t="shared" si="40"/>
        <v>8.65954</v>
      </c>
      <c r="S838" t="str">
        <f t="shared" si="41"/>
        <v>8.65954</v>
      </c>
    </row>
    <row r="839" spans="1:19" x14ac:dyDescent="0.25">
      <c r="A839">
        <v>536</v>
      </c>
      <c r="B839" t="s">
        <v>220</v>
      </c>
      <c r="C839">
        <v>246</v>
      </c>
      <c r="D839">
        <v>94</v>
      </c>
      <c r="E839">
        <v>152</v>
      </c>
      <c r="F839" s="18" t="s">
        <v>827</v>
      </c>
      <c r="H839" t="str">
        <f>IF(B839=$H$1,COUNT($H$2:H840)+1," ")</f>
        <v xml:space="preserve"> </v>
      </c>
      <c r="L839">
        <v>838</v>
      </c>
      <c r="M839">
        <v>57</v>
      </c>
      <c r="N839">
        <v>76</v>
      </c>
      <c r="O839" s="18" t="s">
        <v>1078</v>
      </c>
      <c r="P839">
        <f t="shared" si="39"/>
        <v>133</v>
      </c>
      <c r="Q839" t="str">
        <f>INDEX(Elemek!$B$2:$B$113,MATCH(M839,Elemek!$C$2:$C$113,0))</f>
        <v>La</v>
      </c>
      <c r="R839" t="str">
        <f t="shared" si="40"/>
        <v>8.714109</v>
      </c>
      <c r="S839" t="str">
        <f t="shared" si="41"/>
        <v>8.714109</v>
      </c>
    </row>
    <row r="840" spans="1:19" x14ac:dyDescent="0.25">
      <c r="A840">
        <v>860</v>
      </c>
      <c r="B840" t="s">
        <v>139</v>
      </c>
      <c r="C840">
        <v>247</v>
      </c>
      <c r="D840">
        <v>98</v>
      </c>
      <c r="E840">
        <v>149</v>
      </c>
      <c r="F840" s="18" t="s">
        <v>1096</v>
      </c>
      <c r="H840" t="str">
        <f>IF(B840=$H$1,COUNT($H$2:H841)+1," ")</f>
        <v xml:space="preserve"> </v>
      </c>
      <c r="L840">
        <v>839</v>
      </c>
      <c r="M840">
        <v>21</v>
      </c>
      <c r="N840">
        <v>22</v>
      </c>
      <c r="O840" s="18" t="s">
        <v>1079</v>
      </c>
      <c r="P840">
        <f t="shared" si="39"/>
        <v>43</v>
      </c>
      <c r="Q840" t="str">
        <f>INDEX(Elemek!$B$2:$B$113,MATCH(M840,Elemek!$C$2:$C$113,0))</f>
        <v>Sc</v>
      </c>
      <c r="R840" t="str">
        <f t="shared" si="40"/>
        <v>8.912907</v>
      </c>
      <c r="S840" t="str">
        <f t="shared" si="41"/>
        <v>8.912907</v>
      </c>
    </row>
    <row r="841" spans="1:19" x14ac:dyDescent="0.25">
      <c r="A841">
        <v>410</v>
      </c>
      <c r="B841" t="s">
        <v>139</v>
      </c>
      <c r="C841">
        <v>248</v>
      </c>
      <c r="D841">
        <v>98</v>
      </c>
      <c r="E841">
        <v>150</v>
      </c>
      <c r="F841" s="18" t="s">
        <v>714</v>
      </c>
      <c r="H841" t="str">
        <f>IF(B841=$H$1,COUNT($H$2:H842)+1," ")</f>
        <v xml:space="preserve"> </v>
      </c>
      <c r="L841">
        <v>840</v>
      </c>
      <c r="M841">
        <v>77</v>
      </c>
      <c r="N841">
        <v>118</v>
      </c>
      <c r="O841" s="18" t="s">
        <v>1080</v>
      </c>
      <c r="P841">
        <f t="shared" si="39"/>
        <v>195</v>
      </c>
      <c r="Q841" t="str">
        <f>INDEX(Elemek!$B$2:$B$113,MATCH(M841,Elemek!$C$2:$C$113,0))</f>
        <v>Ir</v>
      </c>
      <c r="R841" t="str">
        <f t="shared" si="40"/>
        <v>8.233326</v>
      </c>
      <c r="S841" t="str">
        <f t="shared" si="41"/>
        <v>8.233326</v>
      </c>
    </row>
    <row r="842" spans="1:19" x14ac:dyDescent="0.25">
      <c r="A842">
        <v>310</v>
      </c>
      <c r="B842" t="s">
        <v>157</v>
      </c>
      <c r="C842">
        <v>248</v>
      </c>
      <c r="D842">
        <v>96</v>
      </c>
      <c r="E842">
        <v>152</v>
      </c>
      <c r="F842" s="18" t="s">
        <v>617</v>
      </c>
      <c r="H842" t="str">
        <f>IF(B842=$H$1,COUNT($H$2:H843)+1," ")</f>
        <v xml:space="preserve"> </v>
      </c>
      <c r="L842">
        <v>841</v>
      </c>
      <c r="M842">
        <v>80</v>
      </c>
      <c r="N842">
        <v>113</v>
      </c>
      <c r="O842" s="18"/>
      <c r="P842">
        <f t="shared" si="39"/>
        <v>193</v>
      </c>
      <c r="Q842" t="str">
        <f>INDEX(Elemek!$B$2:$B$113,MATCH(M842,Elemek!$C$2:$C$113,0))</f>
        <v>Hg</v>
      </c>
      <c r="R842" t="e">
        <f t="shared" si="40"/>
        <v>#DIV/0!</v>
      </c>
      <c r="S842" t="e">
        <f t="shared" si="41"/>
        <v>#DIV/0!</v>
      </c>
    </row>
    <row r="843" spans="1:19" x14ac:dyDescent="0.25">
      <c r="A843">
        <v>346</v>
      </c>
      <c r="B843" t="s">
        <v>42</v>
      </c>
      <c r="C843">
        <v>248</v>
      </c>
      <c r="D843">
        <v>97</v>
      </c>
      <c r="E843">
        <v>151</v>
      </c>
      <c r="F843" s="18" t="s">
        <v>653</v>
      </c>
      <c r="H843" t="str">
        <f>IF(B843=$H$1,COUNT($H$2:H844)+1," ")</f>
        <v xml:space="preserve"> </v>
      </c>
      <c r="L843">
        <v>842</v>
      </c>
      <c r="M843">
        <v>71</v>
      </c>
      <c r="N843">
        <v>105</v>
      </c>
      <c r="O843" s="18"/>
      <c r="P843">
        <f t="shared" si="39"/>
        <v>176</v>
      </c>
      <c r="Q843" t="str">
        <f>INDEX(Elemek!$B$2:$B$113,MATCH(M843,Elemek!$C$2:$C$113,0))</f>
        <v>Lu</v>
      </c>
      <c r="R843" t="e">
        <f t="shared" si="40"/>
        <v>#DIV/0!</v>
      </c>
      <c r="S843" t="e">
        <f t="shared" si="41"/>
        <v>#DIV/0!</v>
      </c>
    </row>
    <row r="844" spans="1:19" x14ac:dyDescent="0.25">
      <c r="A844">
        <v>621</v>
      </c>
      <c r="B844" t="s">
        <v>220</v>
      </c>
      <c r="C844">
        <v>247</v>
      </c>
      <c r="D844">
        <v>94</v>
      </c>
      <c r="E844">
        <v>153</v>
      </c>
      <c r="F844" s="18" t="s">
        <v>901</v>
      </c>
      <c r="H844" t="str">
        <f>IF(B844=$H$1,COUNT($H$2:H845)+1," ")</f>
        <v xml:space="preserve"> </v>
      </c>
      <c r="L844">
        <v>843</v>
      </c>
      <c r="M844">
        <v>103</v>
      </c>
      <c r="N844">
        <v>159</v>
      </c>
      <c r="O844" s="18" t="s">
        <v>1081</v>
      </c>
      <c r="P844">
        <f t="shared" si="39"/>
        <v>262</v>
      </c>
      <c r="Q844" t="str">
        <f>INDEX(Elemek!$B$2:$B$113,MATCH(M844,Elemek!$C$2:$C$113,0))</f>
        <v>Lr</v>
      </c>
      <c r="R844" t="str">
        <f t="shared" si="40"/>
        <v>7.681556</v>
      </c>
      <c r="S844" t="str">
        <f t="shared" si="41"/>
        <v>7.681556</v>
      </c>
    </row>
    <row r="845" spans="1:19" x14ac:dyDescent="0.25">
      <c r="A845">
        <v>345</v>
      </c>
      <c r="B845" t="s">
        <v>139</v>
      </c>
      <c r="C845">
        <v>249</v>
      </c>
      <c r="D845">
        <v>98</v>
      </c>
      <c r="E845">
        <v>151</v>
      </c>
      <c r="F845" s="18" t="s">
        <v>652</v>
      </c>
      <c r="H845" t="str">
        <f>IF(B845=$H$1,COUNT($H$2:H846)+1," ")</f>
        <v xml:space="preserve"> </v>
      </c>
      <c r="L845">
        <v>844</v>
      </c>
      <c r="M845">
        <v>82</v>
      </c>
      <c r="N845">
        <v>120</v>
      </c>
      <c r="O845" s="18"/>
      <c r="P845">
        <f t="shared" si="39"/>
        <v>202</v>
      </c>
      <c r="Q845" t="str">
        <f>INDEX(Elemek!$B$2:$B$113,MATCH(M845,Elemek!$C$2:$C$113,0))</f>
        <v>Pb</v>
      </c>
      <c r="R845" t="e">
        <f t="shared" si="40"/>
        <v>#DIV/0!</v>
      </c>
      <c r="S845" t="e">
        <f t="shared" si="41"/>
        <v>#DIV/0!</v>
      </c>
    </row>
    <row r="846" spans="1:19" x14ac:dyDescent="0.25">
      <c r="A846">
        <v>411</v>
      </c>
      <c r="B846" t="s">
        <v>42</v>
      </c>
      <c r="C846">
        <v>249</v>
      </c>
      <c r="D846">
        <v>97</v>
      </c>
      <c r="E846">
        <v>152</v>
      </c>
      <c r="F846" s="18" t="s">
        <v>715</v>
      </c>
      <c r="H846" t="str">
        <f>IF(B846=$H$1,COUNT($H$2:H847)+1," ")</f>
        <v xml:space="preserve"> </v>
      </c>
      <c r="L846">
        <v>845</v>
      </c>
      <c r="M846">
        <v>39</v>
      </c>
      <c r="N846">
        <v>53</v>
      </c>
      <c r="O846" s="18" t="s">
        <v>1082</v>
      </c>
      <c r="P846">
        <f t="shared" si="39"/>
        <v>92</v>
      </c>
      <c r="Q846" t="str">
        <f>INDEX(Elemek!$B$2:$B$113,MATCH(M846,Elemek!$C$2:$C$113,0))</f>
        <v>Y</v>
      </c>
      <c r="R846" t="str">
        <f t="shared" si="40"/>
        <v>8.993208</v>
      </c>
      <c r="S846" t="str">
        <f t="shared" si="41"/>
        <v>8.993208</v>
      </c>
    </row>
    <row r="847" spans="1:19" x14ac:dyDescent="0.25">
      <c r="A847">
        <v>980</v>
      </c>
      <c r="B847" t="s">
        <v>157</v>
      </c>
      <c r="C847">
        <v>249</v>
      </c>
      <c r="D847">
        <v>96</v>
      </c>
      <c r="E847">
        <v>153</v>
      </c>
      <c r="F847" s="18" t="s">
        <v>1190</v>
      </c>
      <c r="H847" t="str">
        <f>IF(B847=$H$1,COUNT($H$2:H848)+1," ")</f>
        <v xml:space="preserve"> </v>
      </c>
      <c r="L847">
        <v>846</v>
      </c>
      <c r="M847">
        <v>84</v>
      </c>
      <c r="N847">
        <v>120</v>
      </c>
      <c r="O847" s="18" t="s">
        <v>1083</v>
      </c>
      <c r="P847">
        <f t="shared" si="39"/>
        <v>204</v>
      </c>
      <c r="Q847" t="str">
        <f>INDEX(Elemek!$B$2:$B$113,MATCH(M847,Elemek!$C$2:$C$113,0))</f>
        <v>Po</v>
      </c>
      <c r="R847" t="str">
        <f t="shared" si="40"/>
        <v>8.1612</v>
      </c>
      <c r="S847" t="str">
        <f t="shared" si="41"/>
        <v>8.1612</v>
      </c>
    </row>
    <row r="848" spans="1:19" x14ac:dyDescent="0.25">
      <c r="A848">
        <v>377</v>
      </c>
      <c r="B848" t="s">
        <v>139</v>
      </c>
      <c r="C848">
        <v>250</v>
      </c>
      <c r="D848">
        <v>98</v>
      </c>
      <c r="E848">
        <v>152</v>
      </c>
      <c r="F848" s="18" t="s">
        <v>681</v>
      </c>
      <c r="H848" t="str">
        <f>IF(B848=$H$1,COUNT($H$2:H849)+1," ")</f>
        <v xml:space="preserve"> </v>
      </c>
      <c r="L848">
        <v>847</v>
      </c>
      <c r="M848">
        <v>58</v>
      </c>
      <c r="N848">
        <v>74</v>
      </c>
      <c r="O848" s="18" t="s">
        <v>1084</v>
      </c>
      <c r="P848">
        <f t="shared" si="39"/>
        <v>132</v>
      </c>
      <c r="Q848" t="str">
        <f>INDEX(Elemek!$B$2:$B$113,MATCH(M848,Elemek!$C$2:$C$113,0))</f>
        <v>Ce</v>
      </c>
      <c r="R848" t="str">
        <f t="shared" si="40"/>
        <v>8.696131</v>
      </c>
      <c r="S848" t="str">
        <f t="shared" si="41"/>
        <v>8.696131</v>
      </c>
    </row>
    <row r="849" spans="1:19" x14ac:dyDescent="0.25">
      <c r="A849">
        <v>930</v>
      </c>
      <c r="B849" t="s">
        <v>75</v>
      </c>
      <c r="C849">
        <v>249</v>
      </c>
      <c r="D849">
        <v>99</v>
      </c>
      <c r="E849">
        <v>150</v>
      </c>
      <c r="F849" s="18" t="s">
        <v>1153</v>
      </c>
      <c r="H849" t="str">
        <f>IF(B849=$H$1,COUNT($H$2:H850)+1," ")</f>
        <v xml:space="preserve"> </v>
      </c>
      <c r="L849">
        <v>848</v>
      </c>
      <c r="M849">
        <v>65</v>
      </c>
      <c r="N849">
        <v>85</v>
      </c>
      <c r="O849" s="18" t="s">
        <v>1085</v>
      </c>
      <c r="P849">
        <f t="shared" si="39"/>
        <v>150</v>
      </c>
      <c r="Q849" t="str">
        <f>INDEX(Elemek!$B$2:$B$113,MATCH(M849,Elemek!$C$2:$C$113,0))</f>
        <v>Tb</v>
      </c>
      <c r="R849" t="str">
        <f t="shared" si="40"/>
        <v>8.545394</v>
      </c>
      <c r="S849" t="str">
        <f t="shared" si="41"/>
        <v>8.545394</v>
      </c>
    </row>
    <row r="850" spans="1:19" x14ac:dyDescent="0.25">
      <c r="A850">
        <v>853</v>
      </c>
      <c r="B850" t="s">
        <v>42</v>
      </c>
      <c r="C850">
        <v>250</v>
      </c>
      <c r="D850">
        <v>97</v>
      </c>
      <c r="E850">
        <v>153</v>
      </c>
      <c r="F850" s="18" t="s">
        <v>1090</v>
      </c>
      <c r="H850" t="str">
        <f>IF(B850=$H$1,COUNT($H$2:H851)+1," ")</f>
        <v xml:space="preserve"> </v>
      </c>
      <c r="L850">
        <v>849</v>
      </c>
      <c r="M850">
        <v>48</v>
      </c>
      <c r="N850">
        <v>69</v>
      </c>
      <c r="O850" s="18" t="s">
        <v>1086</v>
      </c>
      <c r="P850">
        <f t="shared" si="39"/>
        <v>117</v>
      </c>
      <c r="Q850" t="str">
        <f>INDEX(Elemek!$B$2:$B$113,MATCH(M850,Elemek!$C$2:$C$113,0))</f>
        <v>Cd</v>
      </c>
      <c r="R850" t="str">
        <f t="shared" si="40"/>
        <v>8.80884</v>
      </c>
      <c r="S850" t="str">
        <f t="shared" si="41"/>
        <v>8.80884</v>
      </c>
    </row>
    <row r="851" spans="1:19" x14ac:dyDescent="0.25">
      <c r="A851">
        <v>329</v>
      </c>
      <c r="B851" t="s">
        <v>157</v>
      </c>
      <c r="C851">
        <v>250</v>
      </c>
      <c r="D851">
        <v>96</v>
      </c>
      <c r="E851">
        <v>154</v>
      </c>
      <c r="F851" s="18" t="s">
        <v>636</v>
      </c>
      <c r="H851" t="str">
        <f>IF(B851=$H$1,COUNT($H$2:H852)+1," ")</f>
        <v xml:space="preserve"> </v>
      </c>
      <c r="L851">
        <v>850</v>
      </c>
      <c r="M851">
        <v>29</v>
      </c>
      <c r="N851">
        <v>32</v>
      </c>
      <c r="O851" s="18" t="s">
        <v>1087</v>
      </c>
      <c r="P851">
        <f t="shared" si="39"/>
        <v>61</v>
      </c>
      <c r="Q851" t="str">
        <f>INDEX(Elemek!$B$2:$B$113,MATCH(M851,Elemek!$C$2:$C$113,0))</f>
        <v>Cu</v>
      </c>
      <c r="R851" t="str">
        <f t="shared" si="40"/>
        <v>9.087452</v>
      </c>
      <c r="S851" t="str">
        <f t="shared" si="41"/>
        <v>9.087452</v>
      </c>
    </row>
    <row r="852" spans="1:19" x14ac:dyDescent="0.25">
      <c r="A852">
        <v>771</v>
      </c>
      <c r="B852" t="s">
        <v>75</v>
      </c>
      <c r="C852">
        <v>250</v>
      </c>
      <c r="D852">
        <v>99</v>
      </c>
      <c r="E852">
        <v>151</v>
      </c>
      <c r="F852" s="18" t="s">
        <v>1021</v>
      </c>
      <c r="H852" t="str">
        <f>IF(B852=$H$1,COUNT($H$2:H853)+1," ")</f>
        <v xml:space="preserve"> </v>
      </c>
      <c r="L852">
        <v>851</v>
      </c>
      <c r="M852">
        <v>82</v>
      </c>
      <c r="N852">
        <v>127</v>
      </c>
      <c r="O852" s="18" t="s">
        <v>1088</v>
      </c>
      <c r="P852">
        <f t="shared" si="39"/>
        <v>209</v>
      </c>
      <c r="Q852" t="str">
        <f>INDEX(Elemek!$B$2:$B$113,MATCH(M852,Elemek!$C$2:$C$113,0))</f>
        <v>Pb</v>
      </c>
      <c r="R852" t="str">
        <f t="shared" si="40"/>
        <v>8.155607</v>
      </c>
      <c r="S852" t="str">
        <f t="shared" si="41"/>
        <v>8.155607</v>
      </c>
    </row>
    <row r="853" spans="1:19" x14ac:dyDescent="0.25">
      <c r="A853">
        <v>340</v>
      </c>
      <c r="B853" t="s">
        <v>139</v>
      </c>
      <c r="C853">
        <v>251</v>
      </c>
      <c r="D853">
        <v>98</v>
      </c>
      <c r="E853">
        <v>153</v>
      </c>
      <c r="F853" s="18" t="s">
        <v>647</v>
      </c>
      <c r="H853" t="str">
        <f>IF(B853=$H$1,COUNT($H$2:H854)+1," ")</f>
        <v xml:space="preserve"> </v>
      </c>
      <c r="L853">
        <v>852</v>
      </c>
      <c r="M853">
        <v>100</v>
      </c>
      <c r="N853">
        <v>154</v>
      </c>
      <c r="O853" s="18" t="s">
        <v>1089</v>
      </c>
      <c r="P853">
        <f t="shared" si="39"/>
        <v>254</v>
      </c>
      <c r="Q853" t="str">
        <f>INDEX(Elemek!$B$2:$B$113,MATCH(M853,Elemek!$C$2:$C$113,0))</f>
        <v>Fm</v>
      </c>
      <c r="R853" t="str">
        <f t="shared" si="40"/>
        <v>7.752808</v>
      </c>
      <c r="S853" t="str">
        <f t="shared" si="41"/>
        <v>7.752808</v>
      </c>
    </row>
    <row r="854" spans="1:19" x14ac:dyDescent="0.25">
      <c r="A854">
        <v>655</v>
      </c>
      <c r="B854" t="s">
        <v>75</v>
      </c>
      <c r="C854">
        <v>251</v>
      </c>
      <c r="D854">
        <v>99</v>
      </c>
      <c r="E854">
        <v>152</v>
      </c>
      <c r="F854" s="18" t="s">
        <v>930</v>
      </c>
      <c r="H854" t="str">
        <f>IF(B854=$H$1,COUNT($H$2:H855)+1," ")</f>
        <v xml:space="preserve"> </v>
      </c>
      <c r="L854">
        <v>853</v>
      </c>
      <c r="M854">
        <v>97</v>
      </c>
      <c r="N854">
        <v>153</v>
      </c>
      <c r="O854" s="18" t="s">
        <v>1090</v>
      </c>
      <c r="P854">
        <f t="shared" si="39"/>
        <v>250</v>
      </c>
      <c r="Q854" t="str">
        <f>INDEX(Elemek!$B$2:$B$113,MATCH(M854,Elemek!$C$2:$C$113,0))</f>
        <v>Bk</v>
      </c>
      <c r="R854" t="str">
        <f t="shared" si="40"/>
        <v>7.779523</v>
      </c>
      <c r="S854" t="str">
        <f t="shared" si="41"/>
        <v>7.779523</v>
      </c>
    </row>
    <row r="855" spans="1:19" x14ac:dyDescent="0.25">
      <c r="A855">
        <v>395</v>
      </c>
      <c r="B855" t="s">
        <v>139</v>
      </c>
      <c r="C855">
        <v>252</v>
      </c>
      <c r="D855">
        <v>98</v>
      </c>
      <c r="E855">
        <v>154</v>
      </c>
      <c r="F855" s="18" t="s">
        <v>699</v>
      </c>
      <c r="H855" t="str">
        <f>IF(B855=$H$1,COUNT($H$2:H856)+1," ")</f>
        <v xml:space="preserve"> </v>
      </c>
      <c r="L855">
        <v>854</v>
      </c>
      <c r="M855">
        <v>68</v>
      </c>
      <c r="N855">
        <v>93</v>
      </c>
      <c r="O855" s="18" t="s">
        <v>1091</v>
      </c>
      <c r="P855">
        <f t="shared" si="39"/>
        <v>161</v>
      </c>
      <c r="Q855" t="str">
        <f>INDEX(Elemek!$B$2:$B$113,MATCH(M855,Elemek!$C$2:$C$113,0))</f>
        <v>Er</v>
      </c>
      <c r="R855" t="str">
        <f t="shared" si="40"/>
        <v>8.476352</v>
      </c>
      <c r="S855" t="str">
        <f t="shared" si="41"/>
        <v>8.476352</v>
      </c>
    </row>
    <row r="856" spans="1:19" x14ac:dyDescent="0.25">
      <c r="A856">
        <v>806</v>
      </c>
      <c r="B856" t="s">
        <v>85</v>
      </c>
      <c r="C856">
        <v>251</v>
      </c>
      <c r="D856">
        <v>100</v>
      </c>
      <c r="E856">
        <v>151</v>
      </c>
      <c r="F856" s="18" t="s">
        <v>1050</v>
      </c>
      <c r="H856" t="str">
        <f>IF(B856=$H$1,COUNT($H$2:H857)+1," ")</f>
        <v xml:space="preserve"> </v>
      </c>
      <c r="L856">
        <v>855</v>
      </c>
      <c r="M856">
        <v>75</v>
      </c>
      <c r="N856">
        <v>115</v>
      </c>
      <c r="O856" s="18" t="s">
        <v>1092</v>
      </c>
      <c r="P856">
        <f t="shared" si="39"/>
        <v>190</v>
      </c>
      <c r="Q856" t="str">
        <f>INDEX(Elemek!$B$2:$B$113,MATCH(M856,Elemek!$C$2:$C$113,0))</f>
        <v>Re</v>
      </c>
      <c r="R856" t="str">
        <f t="shared" si="40"/>
        <v>8.257433</v>
      </c>
      <c r="S856" t="str">
        <f t="shared" si="41"/>
        <v>8.257433</v>
      </c>
    </row>
    <row r="857" spans="1:19" x14ac:dyDescent="0.25">
      <c r="A857">
        <v>673</v>
      </c>
      <c r="B857" t="s">
        <v>85</v>
      </c>
      <c r="C857">
        <v>252</v>
      </c>
      <c r="D857">
        <v>100</v>
      </c>
      <c r="E857">
        <v>152</v>
      </c>
      <c r="F857" s="18" t="s">
        <v>945</v>
      </c>
      <c r="H857" t="str">
        <f>IF(B857=$H$1,COUNT($H$2:H858)+1," ")</f>
        <v xml:space="preserve"> </v>
      </c>
      <c r="L857">
        <v>856</v>
      </c>
      <c r="M857">
        <v>39</v>
      </c>
      <c r="N857">
        <v>51</v>
      </c>
      <c r="O857" s="18"/>
      <c r="P857">
        <f t="shared" si="39"/>
        <v>90</v>
      </c>
      <c r="Q857" t="str">
        <f>INDEX(Elemek!$B$2:$B$113,MATCH(M857,Elemek!$C$2:$C$113,0))</f>
        <v>Y</v>
      </c>
      <c r="R857" t="e">
        <f t="shared" si="40"/>
        <v>#DIV/0!</v>
      </c>
      <c r="S857" t="e">
        <f t="shared" si="41"/>
        <v>#DIV/0!</v>
      </c>
    </row>
    <row r="858" spans="1:19" x14ac:dyDescent="0.25">
      <c r="A858">
        <v>404</v>
      </c>
      <c r="B858" t="s">
        <v>75</v>
      </c>
      <c r="C858">
        <v>252</v>
      </c>
      <c r="D858">
        <v>99</v>
      </c>
      <c r="E858">
        <v>153</v>
      </c>
      <c r="F858" s="18" t="s">
        <v>708</v>
      </c>
      <c r="H858" t="str">
        <f>IF(B858=$H$1,COUNT($H$2:H859)+1," ")</f>
        <v xml:space="preserve"> </v>
      </c>
      <c r="L858">
        <v>857</v>
      </c>
      <c r="M858">
        <v>79</v>
      </c>
      <c r="N858">
        <v>112</v>
      </c>
      <c r="O858" s="18" t="s">
        <v>1093</v>
      </c>
      <c r="P858">
        <f t="shared" si="39"/>
        <v>191</v>
      </c>
      <c r="Q858" t="str">
        <f>INDEX(Elemek!$B$2:$B$113,MATCH(M858,Elemek!$C$2:$C$113,0))</f>
        <v>Au</v>
      </c>
      <c r="R858" t="str">
        <f t="shared" si="40"/>
        <v>8.248343</v>
      </c>
      <c r="S858" t="str">
        <f t="shared" si="41"/>
        <v>8.248343</v>
      </c>
    </row>
    <row r="859" spans="1:19" x14ac:dyDescent="0.25">
      <c r="A859">
        <v>507</v>
      </c>
      <c r="B859" t="s">
        <v>75</v>
      </c>
      <c r="C859">
        <v>253</v>
      </c>
      <c r="D859">
        <v>99</v>
      </c>
      <c r="E859">
        <v>154</v>
      </c>
      <c r="F859" s="18" t="s">
        <v>801</v>
      </c>
      <c r="H859" t="str">
        <f>IF(B859=$H$1,COUNT($H$2:H860)+1," ")</f>
        <v xml:space="preserve"> </v>
      </c>
      <c r="L859">
        <v>858</v>
      </c>
      <c r="M859">
        <v>73</v>
      </c>
      <c r="N859">
        <v>100</v>
      </c>
      <c r="O859" s="18" t="s">
        <v>1094</v>
      </c>
      <c r="P859">
        <f t="shared" si="39"/>
        <v>173</v>
      </c>
      <c r="Q859" t="str">
        <f>INDEX(Elemek!$B$2:$B$113,MATCH(M859,Elemek!$C$2:$C$113,0))</f>
        <v>Ta</v>
      </c>
      <c r="R859" t="str">
        <f t="shared" si="40"/>
        <v>8.374218</v>
      </c>
      <c r="S859" t="str">
        <f t="shared" si="41"/>
        <v>8.374218</v>
      </c>
    </row>
    <row r="860" spans="1:19" x14ac:dyDescent="0.25">
      <c r="A860">
        <v>511</v>
      </c>
      <c r="B860" t="s">
        <v>139</v>
      </c>
      <c r="C860">
        <v>253</v>
      </c>
      <c r="D860">
        <v>98</v>
      </c>
      <c r="E860">
        <v>155</v>
      </c>
      <c r="F860" s="18" t="s">
        <v>804</v>
      </c>
      <c r="H860" t="str">
        <f>IF(B860=$H$1,COUNT($H$2:H861)+1," ")</f>
        <v xml:space="preserve"> </v>
      </c>
      <c r="L860">
        <v>859</v>
      </c>
      <c r="M860">
        <v>47</v>
      </c>
      <c r="N860">
        <v>65</v>
      </c>
      <c r="O860" s="18" t="s">
        <v>1095</v>
      </c>
      <c r="P860">
        <f t="shared" si="39"/>
        <v>112</v>
      </c>
      <c r="Q860" t="str">
        <f>INDEX(Elemek!$B$2:$B$113,MATCH(M860,Elemek!$C$2:$C$113,0))</f>
        <v>Ag</v>
      </c>
      <c r="R860" t="str">
        <f t="shared" si="40"/>
        <v>8.844756</v>
      </c>
      <c r="S860" t="str">
        <f t="shared" si="41"/>
        <v>8.844756</v>
      </c>
    </row>
    <row r="861" spans="1:19" x14ac:dyDescent="0.25">
      <c r="A861">
        <v>600</v>
      </c>
      <c r="B861" t="s">
        <v>85</v>
      </c>
      <c r="C861">
        <v>253</v>
      </c>
      <c r="D861">
        <v>100</v>
      </c>
      <c r="E861">
        <v>153</v>
      </c>
      <c r="F861" s="18" t="s">
        <v>880</v>
      </c>
      <c r="H861" t="str">
        <f>IF(B861=$H$1,COUNT($H$2:H862)+1," ")</f>
        <v xml:space="preserve"> </v>
      </c>
      <c r="L861">
        <v>860</v>
      </c>
      <c r="M861">
        <v>98</v>
      </c>
      <c r="N861">
        <v>149</v>
      </c>
      <c r="O861" s="18" t="s">
        <v>1096</v>
      </c>
      <c r="P861">
        <f t="shared" si="39"/>
        <v>247</v>
      </c>
      <c r="Q861" t="str">
        <f>INDEX(Elemek!$B$2:$B$113,MATCH(M861,Elemek!$C$2:$C$113,0))</f>
        <v>Cf</v>
      </c>
      <c r="R861" t="str">
        <f t="shared" si="40"/>
        <v>7.803566</v>
      </c>
      <c r="S861" t="str">
        <f t="shared" si="41"/>
        <v>7.803566</v>
      </c>
    </row>
    <row r="862" spans="1:19" x14ac:dyDescent="0.25">
      <c r="A862">
        <v>852</v>
      </c>
      <c r="B862" t="s">
        <v>85</v>
      </c>
      <c r="C862">
        <v>254</v>
      </c>
      <c r="D862">
        <v>100</v>
      </c>
      <c r="E862">
        <v>154</v>
      </c>
      <c r="F862" s="18" t="s">
        <v>1089</v>
      </c>
      <c r="H862" t="str">
        <f>IF(B862=$H$1,COUNT($H$2:H863)+1," ")</f>
        <v xml:space="preserve"> </v>
      </c>
      <c r="L862">
        <v>861</v>
      </c>
      <c r="M862">
        <v>77</v>
      </c>
      <c r="N862">
        <v>107</v>
      </c>
      <c r="O862" s="18" t="s">
        <v>1097</v>
      </c>
      <c r="P862">
        <f t="shared" si="39"/>
        <v>184</v>
      </c>
      <c r="Q862" t="str">
        <f>INDEX(Elemek!$B$2:$B$113,MATCH(M862,Elemek!$C$2:$C$113,0))</f>
        <v>Ir</v>
      </c>
      <c r="R862" t="str">
        <f t="shared" si="40"/>
        <v>8.286599</v>
      </c>
      <c r="S862" t="str">
        <f t="shared" si="41"/>
        <v>8.286599</v>
      </c>
    </row>
    <row r="863" spans="1:19" x14ac:dyDescent="0.25">
      <c r="A863">
        <v>467</v>
      </c>
      <c r="B863" t="s">
        <v>139</v>
      </c>
      <c r="C863">
        <v>254</v>
      </c>
      <c r="D863">
        <v>98</v>
      </c>
      <c r="E863">
        <v>156</v>
      </c>
      <c r="F863" s="18" t="s">
        <v>764</v>
      </c>
      <c r="H863" t="str">
        <f>IF(B863=$H$1,COUNT($H$2:H864)+1," ")</f>
        <v xml:space="preserve"> </v>
      </c>
      <c r="L863">
        <v>862</v>
      </c>
      <c r="M863">
        <v>77</v>
      </c>
      <c r="N863">
        <v>113</v>
      </c>
      <c r="O863" s="18"/>
      <c r="P863">
        <f t="shared" si="39"/>
        <v>190</v>
      </c>
      <c r="Q863" t="str">
        <f>INDEX(Elemek!$B$2:$B$113,MATCH(M863,Elemek!$C$2:$C$113,0))</f>
        <v>Ir</v>
      </c>
      <c r="R863" t="e">
        <f t="shared" si="40"/>
        <v>#DIV/0!</v>
      </c>
      <c r="S863" t="e">
        <f t="shared" si="41"/>
        <v>#DIV/0!</v>
      </c>
    </row>
    <row r="864" spans="1:19" x14ac:dyDescent="0.25">
      <c r="A864">
        <v>416</v>
      </c>
      <c r="B864" t="s">
        <v>75</v>
      </c>
      <c r="C864">
        <v>254</v>
      </c>
      <c r="D864">
        <v>99</v>
      </c>
      <c r="E864">
        <v>155</v>
      </c>
      <c r="F864" s="18" t="s">
        <v>719</v>
      </c>
      <c r="H864" t="str">
        <f>IF(B864=$H$1,COUNT($H$2:H865)+1," ")</f>
        <v xml:space="preserve"> </v>
      </c>
      <c r="L864">
        <v>863</v>
      </c>
      <c r="M864">
        <v>22</v>
      </c>
      <c r="N864">
        <v>23</v>
      </c>
      <c r="O864" s="18" t="s">
        <v>1098</v>
      </c>
      <c r="P864">
        <f t="shared" si="39"/>
        <v>45</v>
      </c>
      <c r="Q864" t="str">
        <f>INDEX(Elemek!$B$2:$B$113,MATCH(M864,Elemek!$C$2:$C$113,0))</f>
        <v>Ti</v>
      </c>
      <c r="R864" t="str">
        <f t="shared" si="40"/>
        <v>8.938121</v>
      </c>
      <c r="S864" t="str">
        <f t="shared" si="41"/>
        <v>8.938121</v>
      </c>
    </row>
    <row r="865" spans="1:19" x14ac:dyDescent="0.25">
      <c r="A865">
        <v>694</v>
      </c>
      <c r="B865" t="s">
        <v>85</v>
      </c>
      <c r="C865">
        <v>255</v>
      </c>
      <c r="D865">
        <v>100</v>
      </c>
      <c r="E865">
        <v>155</v>
      </c>
      <c r="F865" s="18" t="s">
        <v>961</v>
      </c>
      <c r="H865" t="str">
        <f>IF(B865=$H$1,COUNT($H$2:H866)+1," ")</f>
        <v xml:space="preserve"> </v>
      </c>
      <c r="L865">
        <v>864</v>
      </c>
      <c r="M865">
        <v>67</v>
      </c>
      <c r="N865">
        <v>100</v>
      </c>
      <c r="O865" s="18" t="s">
        <v>1099</v>
      </c>
      <c r="P865">
        <f t="shared" si="39"/>
        <v>167</v>
      </c>
      <c r="Q865" t="str">
        <f>INDEX(Elemek!$B$2:$B$113,MATCH(M865,Elemek!$C$2:$C$113,0))</f>
        <v>Ho</v>
      </c>
      <c r="R865" t="str">
        <f t="shared" si="40"/>
        <v>8.444304</v>
      </c>
      <c r="S865" t="str">
        <f t="shared" si="41"/>
        <v>8.444304</v>
      </c>
    </row>
    <row r="866" spans="1:19" x14ac:dyDescent="0.25">
      <c r="A866">
        <v>485</v>
      </c>
      <c r="B866" t="s">
        <v>75</v>
      </c>
      <c r="C866">
        <v>255</v>
      </c>
      <c r="D866">
        <v>99</v>
      </c>
      <c r="E866">
        <v>156</v>
      </c>
      <c r="F866" s="18" t="s">
        <v>781</v>
      </c>
      <c r="H866" t="str">
        <f>IF(B866=$H$1,COUNT($H$2:H867)+1," ")</f>
        <v xml:space="preserve"> </v>
      </c>
      <c r="L866">
        <v>865</v>
      </c>
      <c r="M866">
        <v>103</v>
      </c>
      <c r="N866">
        <v>161</v>
      </c>
      <c r="O866" s="18"/>
      <c r="P866">
        <f t="shared" si="39"/>
        <v>264</v>
      </c>
      <c r="Q866" t="str">
        <f>INDEX(Elemek!$B$2:$B$113,MATCH(M866,Elemek!$C$2:$C$113,0))</f>
        <v>Lr</v>
      </c>
      <c r="R866" t="e">
        <f t="shared" si="40"/>
        <v>#DIV/0!</v>
      </c>
      <c r="S866" t="e">
        <f t="shared" si="41"/>
        <v>#DIV/0!</v>
      </c>
    </row>
    <row r="867" spans="1:19" x14ac:dyDescent="0.25">
      <c r="A867">
        <v>949</v>
      </c>
      <c r="B867" t="s">
        <v>139</v>
      </c>
      <c r="C867">
        <v>255</v>
      </c>
      <c r="D867">
        <v>98</v>
      </c>
      <c r="E867">
        <v>157</v>
      </c>
      <c r="F867" s="18" t="s">
        <v>1168</v>
      </c>
      <c r="H867" t="str">
        <f>IF(B867=$H$1,COUNT($H$2:H868)+1," ")</f>
        <v xml:space="preserve"> </v>
      </c>
      <c r="L867">
        <v>866</v>
      </c>
      <c r="M867">
        <v>62</v>
      </c>
      <c r="N867">
        <v>72</v>
      </c>
      <c r="O867" s="18"/>
      <c r="P867">
        <f t="shared" si="39"/>
        <v>134</v>
      </c>
      <c r="Q867" t="str">
        <f>INDEX(Elemek!$B$2:$B$113,MATCH(M867,Elemek!$C$2:$C$113,0))</f>
        <v>Sm</v>
      </c>
      <c r="R867" t="e">
        <f t="shared" si="40"/>
        <v>#DIV/0!</v>
      </c>
      <c r="S867" t="e">
        <f t="shared" si="41"/>
        <v>#DIV/0!</v>
      </c>
    </row>
    <row r="868" spans="1:19" x14ac:dyDescent="0.25">
      <c r="A868">
        <v>878</v>
      </c>
      <c r="B868" t="s">
        <v>85</v>
      </c>
      <c r="C868">
        <v>256</v>
      </c>
      <c r="D868">
        <v>100</v>
      </c>
      <c r="E868">
        <v>156</v>
      </c>
      <c r="F868" s="18" t="s">
        <v>1109</v>
      </c>
      <c r="H868" t="str">
        <f>IF(B868=$H$1,COUNT($H$2:H869)+1," ")</f>
        <v xml:space="preserve"> </v>
      </c>
      <c r="L868">
        <v>867</v>
      </c>
      <c r="M868">
        <v>96</v>
      </c>
      <c r="N868">
        <v>143</v>
      </c>
      <c r="O868" s="18" t="s">
        <v>1100</v>
      </c>
      <c r="P868">
        <f t="shared" si="39"/>
        <v>239</v>
      </c>
      <c r="Q868" t="str">
        <f>INDEX(Elemek!$B$2:$B$113,MATCH(M868,Elemek!$C$2:$C$113,0))</f>
        <v>Cm</v>
      </c>
      <c r="R868" t="str">
        <f t="shared" si="40"/>
        <v>7.857143</v>
      </c>
      <c r="S868" t="str">
        <f t="shared" si="41"/>
        <v>7.857143</v>
      </c>
    </row>
    <row r="869" spans="1:19" x14ac:dyDescent="0.25">
      <c r="A869">
        <v>780</v>
      </c>
      <c r="B869" t="s">
        <v>75</v>
      </c>
      <c r="C869">
        <v>256</v>
      </c>
      <c r="D869">
        <v>99</v>
      </c>
      <c r="E869">
        <v>157</v>
      </c>
      <c r="F869" s="18" t="s">
        <v>1029</v>
      </c>
      <c r="H869" t="str">
        <f>IF(B869=$H$1,COUNT($H$2:H870)+1," ")</f>
        <v xml:space="preserve"> </v>
      </c>
      <c r="L869">
        <v>868</v>
      </c>
      <c r="M869">
        <v>81</v>
      </c>
      <c r="N869">
        <v>116</v>
      </c>
      <c r="O869" s="18" t="s">
        <v>1101</v>
      </c>
      <c r="P869">
        <f t="shared" si="39"/>
        <v>197</v>
      </c>
      <c r="Q869" t="str">
        <f>INDEX(Elemek!$B$2:$B$113,MATCH(M869,Elemek!$C$2:$C$113,0))</f>
        <v>Tl</v>
      </c>
      <c r="R869" t="str">
        <f t="shared" si="40"/>
        <v>8.21519</v>
      </c>
      <c r="S869" t="str">
        <f t="shared" si="41"/>
        <v>8.21519</v>
      </c>
    </row>
    <row r="870" spans="1:19" x14ac:dyDescent="0.25">
      <c r="A870">
        <v>957</v>
      </c>
      <c r="B870" t="s">
        <v>180</v>
      </c>
      <c r="C870">
        <v>256</v>
      </c>
      <c r="D870">
        <v>101</v>
      </c>
      <c r="E870">
        <v>155</v>
      </c>
      <c r="F870" s="18" t="s">
        <v>1173</v>
      </c>
      <c r="H870" t="str">
        <f>IF(B870=$H$1,COUNT($H$2:H871)+1," ")</f>
        <v xml:space="preserve"> </v>
      </c>
      <c r="L870">
        <v>869</v>
      </c>
      <c r="M870">
        <v>36</v>
      </c>
      <c r="N870">
        <v>52</v>
      </c>
      <c r="O870" s="18" t="s">
        <v>1102</v>
      </c>
      <c r="P870">
        <f t="shared" si="39"/>
        <v>88</v>
      </c>
      <c r="Q870" t="str">
        <f>INDEX(Elemek!$B$2:$B$113,MATCH(M870,Elemek!$C$2:$C$113,0))</f>
        <v>Kr</v>
      </c>
      <c r="R870" t="str">
        <f t="shared" si="40"/>
        <v>8.976918</v>
      </c>
      <c r="S870" t="str">
        <f t="shared" si="41"/>
        <v>8.976918</v>
      </c>
    </row>
    <row r="871" spans="1:19" x14ac:dyDescent="0.25">
      <c r="A871">
        <v>445</v>
      </c>
      <c r="B871" t="s">
        <v>85</v>
      </c>
      <c r="C871">
        <v>257</v>
      </c>
      <c r="D871">
        <v>100</v>
      </c>
      <c r="E871">
        <v>157</v>
      </c>
      <c r="F871" s="18" t="s">
        <v>745</v>
      </c>
      <c r="H871" t="str">
        <f>IF(B871=$H$1,COUNT($H$2:H872)+1," ")</f>
        <v xml:space="preserve"> </v>
      </c>
      <c r="L871">
        <v>870</v>
      </c>
      <c r="M871">
        <v>16</v>
      </c>
      <c r="N871">
        <v>22</v>
      </c>
      <c r="O871" s="18" t="s">
        <v>1103</v>
      </c>
      <c r="P871">
        <f t="shared" si="39"/>
        <v>38</v>
      </c>
      <c r="Q871" t="str">
        <f>INDEX(Elemek!$B$2:$B$113,MATCH(M871,Elemek!$C$2:$C$113,0))</f>
        <v>S</v>
      </c>
      <c r="R871" t="str">
        <f t="shared" si="40"/>
        <v>8.778196</v>
      </c>
      <c r="S871" t="str">
        <f t="shared" si="41"/>
        <v>8.778196</v>
      </c>
    </row>
    <row r="872" spans="1:19" x14ac:dyDescent="0.25">
      <c r="A872">
        <v>798</v>
      </c>
      <c r="B872" t="s">
        <v>180</v>
      </c>
      <c r="C872">
        <v>257</v>
      </c>
      <c r="D872">
        <v>101</v>
      </c>
      <c r="E872">
        <v>156</v>
      </c>
      <c r="F872" s="18" t="s">
        <v>1044</v>
      </c>
      <c r="H872" t="str">
        <f>IF(B872=$H$1,COUNT($H$2:H873)+1," ")</f>
        <v xml:space="preserve"> </v>
      </c>
      <c r="L872">
        <v>871</v>
      </c>
      <c r="M872">
        <v>38</v>
      </c>
      <c r="N872">
        <v>49</v>
      </c>
      <c r="O872" s="18"/>
      <c r="P872">
        <f t="shared" si="39"/>
        <v>87</v>
      </c>
      <c r="Q872" t="str">
        <f>INDEX(Elemek!$B$2:$B$113,MATCH(M872,Elemek!$C$2:$C$113,0))</f>
        <v>Sr</v>
      </c>
      <c r="R872" t="e">
        <f t="shared" si="40"/>
        <v>#DIV/0!</v>
      </c>
      <c r="S872" t="e">
        <f t="shared" si="41"/>
        <v>#DIV/0!</v>
      </c>
    </row>
    <row r="873" spans="1:19" x14ac:dyDescent="0.25">
      <c r="A873">
        <v>552</v>
      </c>
      <c r="B873" t="s">
        <v>75</v>
      </c>
      <c r="C873">
        <v>257</v>
      </c>
      <c r="D873">
        <v>99</v>
      </c>
      <c r="E873">
        <v>158</v>
      </c>
      <c r="F873" s="18" t="s">
        <v>840</v>
      </c>
      <c r="H873" t="str">
        <f>IF(B873=$H$1,COUNT($H$2:H874)+1," ")</f>
        <v xml:space="preserve"> </v>
      </c>
      <c r="L873">
        <v>872</v>
      </c>
      <c r="M873">
        <v>51</v>
      </c>
      <c r="N873">
        <v>66</v>
      </c>
      <c r="O873" s="18" t="s">
        <v>1104</v>
      </c>
      <c r="P873">
        <f t="shared" si="39"/>
        <v>117</v>
      </c>
      <c r="Q873" t="str">
        <f>INDEX(Elemek!$B$2:$B$113,MATCH(M873,Elemek!$C$2:$C$113,0))</f>
        <v>Sb</v>
      </c>
      <c r="R873" t="str">
        <f t="shared" si="40"/>
        <v>8.828977</v>
      </c>
      <c r="S873" t="str">
        <f t="shared" si="41"/>
        <v>8.828977</v>
      </c>
    </row>
    <row r="874" spans="1:19" x14ac:dyDescent="0.25">
      <c r="A874">
        <v>474</v>
      </c>
      <c r="B874" t="s">
        <v>180</v>
      </c>
      <c r="C874">
        <v>258</v>
      </c>
      <c r="D874">
        <v>101</v>
      </c>
      <c r="E874">
        <v>157</v>
      </c>
      <c r="F874" s="18" t="s">
        <v>770</v>
      </c>
      <c r="H874" t="str">
        <f>IF(B874=$H$1,COUNT($H$2:H875)+1," ")</f>
        <v xml:space="preserve"> </v>
      </c>
      <c r="L874">
        <v>873</v>
      </c>
      <c r="M874">
        <v>89</v>
      </c>
      <c r="N874">
        <v>135</v>
      </c>
      <c r="O874" s="18" t="s">
        <v>1105</v>
      </c>
      <c r="P874">
        <f t="shared" si="39"/>
        <v>224</v>
      </c>
      <c r="Q874" t="str">
        <f>INDEX(Elemek!$B$2:$B$113,MATCH(M874,Elemek!$C$2:$C$113,0))</f>
        <v>Ac</v>
      </c>
      <c r="R874" t="str">
        <f t="shared" si="40"/>
        <v>7.980993</v>
      </c>
      <c r="S874" t="str">
        <f t="shared" si="41"/>
        <v>7.980993</v>
      </c>
    </row>
    <row r="875" spans="1:19" x14ac:dyDescent="0.25">
      <c r="A875">
        <v>942</v>
      </c>
      <c r="B875" t="s">
        <v>180</v>
      </c>
      <c r="C875">
        <v>259</v>
      </c>
      <c r="D875">
        <v>101</v>
      </c>
      <c r="E875">
        <v>158</v>
      </c>
      <c r="F875" s="18" t="s">
        <v>1162</v>
      </c>
      <c r="H875" t="str">
        <f>IF(B875=$H$1,COUNT($H$2:H876)+1," ")</f>
        <v xml:space="preserve"> </v>
      </c>
      <c r="L875">
        <v>874</v>
      </c>
      <c r="M875">
        <v>43</v>
      </c>
      <c r="N875">
        <v>50</v>
      </c>
      <c r="O875" s="18" t="s">
        <v>1106</v>
      </c>
      <c r="P875">
        <f t="shared" si="39"/>
        <v>93</v>
      </c>
      <c r="Q875" t="str">
        <f>INDEX(Elemek!$B$2:$B$113,MATCH(M875,Elemek!$C$2:$C$113,0))</f>
        <v>Tc</v>
      </c>
      <c r="R875" t="str">
        <f t="shared" si="40"/>
        <v>8.970274</v>
      </c>
      <c r="S875" t="str">
        <f t="shared" si="41"/>
        <v>8.970274</v>
      </c>
    </row>
    <row r="876" spans="1:19" x14ac:dyDescent="0.25">
      <c r="A876">
        <v>496</v>
      </c>
      <c r="B876" t="s">
        <v>180</v>
      </c>
      <c r="C876">
        <v>260</v>
      </c>
      <c r="D876">
        <v>101</v>
      </c>
      <c r="E876">
        <v>159</v>
      </c>
      <c r="F876" s="18" t="s">
        <v>791</v>
      </c>
      <c r="H876" t="str">
        <f>IF(B876=$H$1,COUNT($H$2:H877)+1," ")</f>
        <v xml:space="preserve"> </v>
      </c>
      <c r="L876">
        <v>875</v>
      </c>
      <c r="M876">
        <v>39</v>
      </c>
      <c r="N876">
        <v>46</v>
      </c>
      <c r="O876" s="18"/>
      <c r="P876">
        <f t="shared" si="39"/>
        <v>85</v>
      </c>
      <c r="Q876" t="str">
        <f>INDEX(Elemek!$B$2:$B$113,MATCH(M876,Elemek!$C$2:$C$113,0))</f>
        <v>Y</v>
      </c>
      <c r="R876" t="e">
        <f t="shared" si="40"/>
        <v>#DIV/0!</v>
      </c>
      <c r="S876" t="e">
        <f t="shared" si="41"/>
        <v>#DIV/0!</v>
      </c>
    </row>
    <row r="877" spans="1:19" x14ac:dyDescent="0.25">
      <c r="A877">
        <v>843</v>
      </c>
      <c r="B877" t="s">
        <v>162</v>
      </c>
      <c r="C877">
        <v>262</v>
      </c>
      <c r="D877">
        <v>103</v>
      </c>
      <c r="E877">
        <v>159</v>
      </c>
      <c r="F877" s="18" t="s">
        <v>1081</v>
      </c>
      <c r="H877" t="str">
        <f>IF(B877=$H$1,COUNT($H$2:H878)+1," ")</f>
        <v xml:space="preserve"> </v>
      </c>
      <c r="L877">
        <v>876</v>
      </c>
      <c r="M877">
        <v>61</v>
      </c>
      <c r="N877">
        <v>89</v>
      </c>
      <c r="O877" s="18" t="s">
        <v>1107</v>
      </c>
      <c r="P877">
        <f t="shared" si="39"/>
        <v>150</v>
      </c>
      <c r="Q877" t="str">
        <f>INDEX(Elemek!$B$2:$B$113,MATCH(M877,Elemek!$C$2:$C$113,0))</f>
        <v>Pm</v>
      </c>
      <c r="R877" t="str">
        <f t="shared" si="40"/>
        <v>8.562014</v>
      </c>
      <c r="S877" t="str">
        <f t="shared" si="41"/>
        <v>8.562014</v>
      </c>
    </row>
    <row r="878" spans="1:19" x14ac:dyDescent="0.25">
      <c r="A878">
        <v>820</v>
      </c>
      <c r="B878" t="s">
        <v>72</v>
      </c>
      <c r="C878">
        <v>267</v>
      </c>
      <c r="D878">
        <v>105</v>
      </c>
      <c r="E878">
        <v>162</v>
      </c>
      <c r="F878" s="18" t="s">
        <v>1063</v>
      </c>
      <c r="H878" t="str">
        <f>IF(B878=$H$1,COUNT($H$2:H879)+1," ")</f>
        <v xml:space="preserve"> </v>
      </c>
      <c r="L878">
        <v>877</v>
      </c>
      <c r="M878">
        <v>38</v>
      </c>
      <c r="N878">
        <v>54</v>
      </c>
      <c r="O878" s="18" t="s">
        <v>1108</v>
      </c>
      <c r="P878">
        <f t="shared" si="39"/>
        <v>92</v>
      </c>
      <c r="Q878" t="str">
        <f>INDEX(Elemek!$B$2:$B$113,MATCH(M878,Elemek!$C$2:$C$113,0))</f>
        <v>Sr</v>
      </c>
      <c r="R878" t="str">
        <f t="shared" si="40"/>
        <v>8.972067</v>
      </c>
      <c r="S878" t="str">
        <f t="shared" si="41"/>
        <v>8.972067</v>
      </c>
    </row>
    <row r="879" spans="1:19" x14ac:dyDescent="0.25">
      <c r="A879">
        <v>658</v>
      </c>
      <c r="B879" t="s">
        <v>72</v>
      </c>
      <c r="C879">
        <v>268</v>
      </c>
      <c r="D879">
        <v>105</v>
      </c>
      <c r="E879">
        <v>163</v>
      </c>
      <c r="F879" s="18" t="s">
        <v>933</v>
      </c>
      <c r="H879" t="str">
        <f>IF(B879=$H$1,COUNT($H$2:H880)+1," ")</f>
        <v xml:space="preserve"> </v>
      </c>
      <c r="L879">
        <v>878</v>
      </c>
      <c r="M879">
        <v>100</v>
      </c>
      <c r="N879">
        <v>156</v>
      </c>
      <c r="O879" s="18" t="s">
        <v>1109</v>
      </c>
      <c r="P879">
        <f t="shared" si="39"/>
        <v>256</v>
      </c>
      <c r="Q879" t="str">
        <f>INDEX(Elemek!$B$2:$B$113,MATCH(M879,Elemek!$C$2:$C$113,0))</f>
        <v>Fm</v>
      </c>
      <c r="R879" t="str">
        <f t="shared" si="40"/>
        <v>7.737398</v>
      </c>
      <c r="S879" t="str">
        <f t="shared" si="41"/>
        <v>7.737398</v>
      </c>
    </row>
    <row r="880" spans="1:19" x14ac:dyDescent="0.25">
      <c r="A880">
        <v>138</v>
      </c>
      <c r="B880" t="s">
        <v>109</v>
      </c>
      <c r="C880">
        <v>4</v>
      </c>
      <c r="D880">
        <v>2</v>
      </c>
      <c r="E880">
        <v>2</v>
      </c>
      <c r="F880" s="18" t="s">
        <v>445</v>
      </c>
      <c r="H880" t="str">
        <f>IF(B880=$H$1,COUNT($H$2:H881)+1," ")</f>
        <v xml:space="preserve"> </v>
      </c>
      <c r="L880">
        <v>879</v>
      </c>
      <c r="M880">
        <v>14</v>
      </c>
      <c r="N880">
        <v>17</v>
      </c>
      <c r="O880" s="18" t="s">
        <v>1110</v>
      </c>
      <c r="P880">
        <f t="shared" si="39"/>
        <v>31</v>
      </c>
      <c r="Q880" t="str">
        <f>INDEX(Elemek!$B$2:$B$113,MATCH(M880,Elemek!$C$2:$C$113,0))</f>
        <v>Si</v>
      </c>
      <c r="R880" t="str">
        <f t="shared" si="40"/>
        <v>8.811618</v>
      </c>
      <c r="S880" t="str">
        <f t="shared" si="41"/>
        <v>8.811618</v>
      </c>
    </row>
    <row r="881" spans="1:19" x14ac:dyDescent="0.25">
      <c r="A881">
        <v>139</v>
      </c>
      <c r="B881" t="s">
        <v>47</v>
      </c>
      <c r="C881">
        <v>11</v>
      </c>
      <c r="D881">
        <v>5</v>
      </c>
      <c r="E881">
        <v>6</v>
      </c>
      <c r="F881" s="18" t="s">
        <v>446</v>
      </c>
      <c r="H881" t="str">
        <f>IF(B881=$H$1,COUNT($H$2:H882)+1," ")</f>
        <v xml:space="preserve"> </v>
      </c>
      <c r="L881">
        <v>880</v>
      </c>
      <c r="M881">
        <v>25</v>
      </c>
      <c r="N881">
        <v>31</v>
      </c>
      <c r="O881" s="18" t="s">
        <v>1111</v>
      </c>
      <c r="P881">
        <f t="shared" si="39"/>
        <v>56</v>
      </c>
      <c r="Q881" t="str">
        <f>INDEX(Elemek!$B$2:$B$113,MATCH(M881,Elemek!$C$2:$C$113,0))</f>
        <v>Mn</v>
      </c>
      <c r="R881" t="str">
        <f t="shared" si="40"/>
        <v>9.087572</v>
      </c>
      <c r="S881" t="str">
        <f t="shared" si="41"/>
        <v>9.087572</v>
      </c>
    </row>
    <row r="882" spans="1:19" x14ac:dyDescent="0.25">
      <c r="A882">
        <v>140</v>
      </c>
      <c r="B882" t="s">
        <v>47</v>
      </c>
      <c r="C882">
        <v>10</v>
      </c>
      <c r="D882">
        <v>5</v>
      </c>
      <c r="E882">
        <v>5</v>
      </c>
      <c r="F882" s="18" t="s">
        <v>447</v>
      </c>
      <c r="H882" t="str">
        <f>IF(B882=$H$1,COUNT($H$2:H883)+1," ")</f>
        <v xml:space="preserve"> </v>
      </c>
      <c r="L882">
        <v>881</v>
      </c>
      <c r="M882">
        <v>28</v>
      </c>
      <c r="N882">
        <v>37</v>
      </c>
      <c r="O882" s="18" t="s">
        <v>1112</v>
      </c>
      <c r="P882">
        <f t="shared" si="39"/>
        <v>65</v>
      </c>
      <c r="Q882" t="str">
        <f>INDEX(Elemek!$B$2:$B$113,MATCH(M882,Elemek!$C$2:$C$113,0))</f>
        <v>Ni</v>
      </c>
      <c r="R882" t="str">
        <f t="shared" si="40"/>
        <v>9.073267</v>
      </c>
      <c r="S882" t="str">
        <f t="shared" si="41"/>
        <v>9.073267</v>
      </c>
    </row>
    <row r="883" spans="1:19" x14ac:dyDescent="0.25">
      <c r="A883">
        <v>304</v>
      </c>
      <c r="B883" t="s">
        <v>39</v>
      </c>
      <c r="C883">
        <v>10</v>
      </c>
      <c r="D883">
        <v>4</v>
      </c>
      <c r="E883">
        <v>6</v>
      </c>
      <c r="F883" s="18" t="s">
        <v>611</v>
      </c>
      <c r="H883" t="str">
        <f>IF(B883=$H$1,COUNT($H$2:H884)+1," ")</f>
        <v xml:space="preserve"> </v>
      </c>
      <c r="L883">
        <v>882</v>
      </c>
      <c r="M883">
        <v>77</v>
      </c>
      <c r="N883">
        <v>118</v>
      </c>
      <c r="O883" s="18"/>
      <c r="P883">
        <f t="shared" si="39"/>
        <v>195</v>
      </c>
      <c r="Q883" t="str">
        <f>INDEX(Elemek!$B$2:$B$113,MATCH(M883,Elemek!$C$2:$C$113,0))</f>
        <v>Ir</v>
      </c>
      <c r="R883" t="e">
        <f t="shared" si="40"/>
        <v>#DIV/0!</v>
      </c>
      <c r="S883" t="e">
        <f t="shared" si="41"/>
        <v>#DIV/0!</v>
      </c>
    </row>
    <row r="884" spans="1:19" x14ac:dyDescent="0.25">
      <c r="A884">
        <v>141</v>
      </c>
      <c r="B884" t="s">
        <v>39</v>
      </c>
      <c r="C884">
        <v>9</v>
      </c>
      <c r="D884">
        <v>4</v>
      </c>
      <c r="E884">
        <v>5</v>
      </c>
      <c r="F884" s="18" t="s">
        <v>448</v>
      </c>
      <c r="H884" t="str">
        <f>IF(B884=$H$1,COUNT($H$2:H885)+1," ")</f>
        <v xml:space="preserve"> </v>
      </c>
      <c r="L884">
        <v>883</v>
      </c>
      <c r="M884">
        <v>74</v>
      </c>
      <c r="N884">
        <v>102</v>
      </c>
      <c r="O884" s="18" t="s">
        <v>1113</v>
      </c>
      <c r="P884">
        <f t="shared" si="39"/>
        <v>176</v>
      </c>
      <c r="Q884" t="str">
        <f>INDEX(Elemek!$B$2:$B$113,MATCH(M884,Elemek!$C$2:$C$113,0))</f>
        <v>W</v>
      </c>
      <c r="R884" t="str">
        <f t="shared" si="40"/>
        <v>8.359055</v>
      </c>
      <c r="S884" t="str">
        <f t="shared" si="41"/>
        <v>8.359055</v>
      </c>
    </row>
    <row r="885" spans="1:19" x14ac:dyDescent="0.25">
      <c r="A885">
        <v>142</v>
      </c>
      <c r="B885" t="s">
        <v>164</v>
      </c>
      <c r="C885">
        <v>7</v>
      </c>
      <c r="D885">
        <v>3</v>
      </c>
      <c r="E885">
        <v>4</v>
      </c>
      <c r="F885" s="18" t="s">
        <v>449</v>
      </c>
      <c r="H885" t="str">
        <f>IF(B885=$H$1,COUNT($H$2:H886)+1," ")</f>
        <v xml:space="preserve"> </v>
      </c>
      <c r="L885">
        <v>884</v>
      </c>
      <c r="M885">
        <v>48</v>
      </c>
      <c r="N885">
        <v>69</v>
      </c>
      <c r="O885" s="18"/>
      <c r="P885">
        <f t="shared" si="39"/>
        <v>117</v>
      </c>
      <c r="Q885" t="str">
        <f>INDEX(Elemek!$B$2:$B$113,MATCH(M885,Elemek!$C$2:$C$113,0))</f>
        <v>Cd</v>
      </c>
      <c r="R885" t="e">
        <f t="shared" si="40"/>
        <v>#DIV/0!</v>
      </c>
      <c r="S885" t="e">
        <f t="shared" si="41"/>
        <v>#DIV/0!</v>
      </c>
    </row>
    <row r="886" spans="1:19" x14ac:dyDescent="0.25">
      <c r="A886">
        <v>473</v>
      </c>
      <c r="B886" t="s">
        <v>39</v>
      </c>
      <c r="C886">
        <v>7</v>
      </c>
      <c r="D886">
        <v>4</v>
      </c>
      <c r="E886">
        <v>3</v>
      </c>
      <c r="F886" s="18" t="s">
        <v>769</v>
      </c>
      <c r="H886" t="str">
        <f>IF(B886=$H$1,COUNT($H$2:H887)+1," ")</f>
        <v xml:space="preserve"> </v>
      </c>
      <c r="L886">
        <v>885</v>
      </c>
      <c r="M886">
        <v>52</v>
      </c>
      <c r="N886">
        <v>64</v>
      </c>
      <c r="O886" s="18" t="s">
        <v>1114</v>
      </c>
      <c r="P886">
        <f t="shared" si="39"/>
        <v>116</v>
      </c>
      <c r="Q886" t="str">
        <f>INDEX(Elemek!$B$2:$B$113,MATCH(M886,Elemek!$C$2:$C$113,0))</f>
        <v>Te</v>
      </c>
      <c r="R886" t="str">
        <f t="shared" si="40"/>
        <v>8.806414</v>
      </c>
      <c r="S886" t="str">
        <f t="shared" si="41"/>
        <v>8.806414</v>
      </c>
    </row>
    <row r="887" spans="1:19" x14ac:dyDescent="0.25">
      <c r="A887">
        <v>143</v>
      </c>
      <c r="B887" t="s">
        <v>164</v>
      </c>
      <c r="C887">
        <v>6</v>
      </c>
      <c r="D887">
        <v>3</v>
      </c>
      <c r="E887">
        <v>3</v>
      </c>
      <c r="F887" s="18" t="s">
        <v>450</v>
      </c>
      <c r="H887" t="str">
        <f>IF(B887=$H$1,COUNT($H$2:H888)+1," ")</f>
        <v xml:space="preserve"> </v>
      </c>
      <c r="L887">
        <v>886</v>
      </c>
      <c r="M887">
        <v>60</v>
      </c>
      <c r="N887">
        <v>81</v>
      </c>
      <c r="O887" s="18" t="s">
        <v>1115</v>
      </c>
      <c r="P887">
        <f t="shared" si="39"/>
        <v>141</v>
      </c>
      <c r="Q887" t="str">
        <f>INDEX(Elemek!$B$2:$B$113,MATCH(M887,Elemek!$C$2:$C$113,0))</f>
        <v>Nd</v>
      </c>
      <c r="R887" t="str">
        <f t="shared" si="40"/>
        <v>8.668476</v>
      </c>
      <c r="S887" t="str">
        <f t="shared" si="41"/>
        <v>8.668476</v>
      </c>
    </row>
    <row r="888" spans="1:19" x14ac:dyDescent="0.25">
      <c r="A888">
        <v>144</v>
      </c>
      <c r="B888" t="s">
        <v>109</v>
      </c>
      <c r="C888">
        <v>3</v>
      </c>
      <c r="D888">
        <v>2</v>
      </c>
      <c r="E888">
        <v>1</v>
      </c>
      <c r="F888" s="18" t="s">
        <v>451</v>
      </c>
      <c r="H888" t="str">
        <f>IF(B888=$H$1,COUNT($H$2:H889)+1," ")</f>
        <v xml:space="preserve"> </v>
      </c>
      <c r="L888">
        <v>887</v>
      </c>
      <c r="M888">
        <v>67</v>
      </c>
      <c r="N888">
        <v>94</v>
      </c>
      <c r="O888" s="18" t="s">
        <v>1116</v>
      </c>
      <c r="P888">
        <f t="shared" si="39"/>
        <v>161</v>
      </c>
      <c r="Q888" t="str">
        <f>INDEX(Elemek!$B$2:$B$113,MATCH(M888,Elemek!$C$2:$C$113,0))</f>
        <v>Ho</v>
      </c>
      <c r="R888" t="str">
        <f t="shared" si="40"/>
        <v>8.488737</v>
      </c>
      <c r="S888" t="str">
        <f t="shared" si="41"/>
        <v>8.488737</v>
      </c>
    </row>
    <row r="889" spans="1:19" x14ac:dyDescent="0.25">
      <c r="A889">
        <v>378</v>
      </c>
      <c r="B889" t="s">
        <v>112</v>
      </c>
      <c r="C889">
        <v>3</v>
      </c>
      <c r="D889">
        <v>1</v>
      </c>
      <c r="E889">
        <v>2</v>
      </c>
      <c r="F889" s="18" t="s">
        <v>682</v>
      </c>
      <c r="H889" t="str">
        <f>IF(B889=$H$1,COUNT($H$2:H890)+1," ")</f>
        <v xml:space="preserve"> </v>
      </c>
      <c r="L889">
        <v>888</v>
      </c>
      <c r="M889">
        <v>86</v>
      </c>
      <c r="N889">
        <v>124</v>
      </c>
      <c r="O889" s="18" t="s">
        <v>1117</v>
      </c>
      <c r="P889">
        <f t="shared" si="39"/>
        <v>210</v>
      </c>
      <c r="Q889" t="str">
        <f>INDEX(Elemek!$B$2:$B$113,MATCH(M889,Elemek!$C$2:$C$113,0))</f>
        <v>Rn</v>
      </c>
      <c r="R889" t="str">
        <f t="shared" si="40"/>
        <v>8.117032</v>
      </c>
      <c r="S889" t="str">
        <f t="shared" si="41"/>
        <v>8.117032</v>
      </c>
    </row>
    <row r="890" spans="1:19" x14ac:dyDescent="0.25">
      <c r="A890">
        <v>145</v>
      </c>
      <c r="B890" t="s">
        <v>112</v>
      </c>
      <c r="C890">
        <v>2</v>
      </c>
      <c r="D890">
        <v>1</v>
      </c>
      <c r="E890">
        <v>1</v>
      </c>
      <c r="F890" s="18" t="s">
        <v>452</v>
      </c>
      <c r="H890" t="str">
        <f>IF(B890=$H$1,COUNT($H$2:H891)+1," ")</f>
        <v xml:space="preserve"> </v>
      </c>
      <c r="L890">
        <v>889</v>
      </c>
      <c r="M890">
        <v>82</v>
      </c>
      <c r="N890">
        <v>116</v>
      </c>
      <c r="O890" s="18" t="s">
        <v>1118</v>
      </c>
      <c r="P890">
        <f t="shared" si="39"/>
        <v>198</v>
      </c>
      <c r="Q890" t="str">
        <f>INDEX(Elemek!$B$2:$B$113,MATCH(M890,Elemek!$C$2:$C$113,0))</f>
        <v>Pb</v>
      </c>
      <c r="R890" t="str">
        <f t="shared" si="40"/>
        <v>8.202893</v>
      </c>
      <c r="S890" t="str">
        <f t="shared" si="41"/>
        <v>8.202893</v>
      </c>
    </row>
    <row r="891" spans="1:19" x14ac:dyDescent="0.25">
      <c r="A891">
        <v>146</v>
      </c>
      <c r="B891" t="s">
        <v>112</v>
      </c>
      <c r="C891">
        <v>1</v>
      </c>
      <c r="D891">
        <v>1</v>
      </c>
      <c r="E891">
        <v>0</v>
      </c>
      <c r="F891" s="18" t="s">
        <v>453</v>
      </c>
      <c r="H891" t="str">
        <f>IF(B891=$H$1,COUNT($H$2:H892)+1," ")</f>
        <v xml:space="preserve"> </v>
      </c>
      <c r="L891">
        <v>890</v>
      </c>
      <c r="M891">
        <v>96</v>
      </c>
      <c r="N891">
        <v>142</v>
      </c>
      <c r="O891" s="18" t="s">
        <v>1119</v>
      </c>
      <c r="P891">
        <f t="shared" si="39"/>
        <v>238</v>
      </c>
      <c r="Q891" t="str">
        <f>INDEX(Elemek!$B$2:$B$113,MATCH(M891,Elemek!$C$2:$C$113,0))</f>
        <v>Cm</v>
      </c>
      <c r="R891" t="str">
        <f t="shared" si="40"/>
        <v>7.863764</v>
      </c>
      <c r="S891" t="str">
        <f t="shared" si="41"/>
        <v>7.863764</v>
      </c>
    </row>
    <row r="892" spans="1:19" x14ac:dyDescent="0.25">
      <c r="A892">
        <v>365</v>
      </c>
      <c r="B892" t="s">
        <v>104</v>
      </c>
      <c r="C892">
        <v>178</v>
      </c>
      <c r="D892">
        <v>72</v>
      </c>
      <c r="E892">
        <v>106</v>
      </c>
      <c r="F892" s="18"/>
      <c r="H892" t="str">
        <f>IF(B892=$H$1,COUNT($H$2:H893)+1," ")</f>
        <v xml:space="preserve"> </v>
      </c>
      <c r="L892">
        <v>891</v>
      </c>
      <c r="M892">
        <v>35</v>
      </c>
      <c r="N892">
        <v>48</v>
      </c>
      <c r="O892" s="18" t="s">
        <v>1120</v>
      </c>
      <c r="P892">
        <f t="shared" si="39"/>
        <v>83</v>
      </c>
      <c r="Q892" t="str">
        <f>INDEX(Elemek!$B$2:$B$113,MATCH(M892,Elemek!$C$2:$C$113,0))</f>
        <v>Br</v>
      </c>
      <c r="R892" t="str">
        <f t="shared" si="40"/>
        <v>9.023243</v>
      </c>
      <c r="S892" t="str">
        <f t="shared" si="41"/>
        <v>9.023243</v>
      </c>
    </row>
    <row r="893" spans="1:19" x14ac:dyDescent="0.25">
      <c r="A893">
        <v>373</v>
      </c>
      <c r="B893" t="s">
        <v>197</v>
      </c>
      <c r="C893">
        <v>93</v>
      </c>
      <c r="D893">
        <v>41</v>
      </c>
      <c r="E893">
        <v>52</v>
      </c>
      <c r="F893" s="18"/>
      <c r="H893" t="str">
        <f>IF(B893=$H$1,COUNT($H$2:H894)+1," ")</f>
        <v xml:space="preserve"> </v>
      </c>
      <c r="L893">
        <v>892</v>
      </c>
      <c r="M893">
        <v>66</v>
      </c>
      <c r="N893">
        <v>86</v>
      </c>
      <c r="O893" s="18" t="s">
        <v>1121</v>
      </c>
      <c r="P893">
        <f t="shared" si="39"/>
        <v>152</v>
      </c>
      <c r="Q893" t="str">
        <f>INDEX(Elemek!$B$2:$B$113,MATCH(M893,Elemek!$C$2:$C$113,0))</f>
        <v>Dy</v>
      </c>
      <c r="R893" t="str">
        <f t="shared" si="40"/>
        <v>8.53267</v>
      </c>
      <c r="S893" t="str">
        <f t="shared" si="41"/>
        <v>8.53267</v>
      </c>
    </row>
    <row r="894" spans="1:19" x14ac:dyDescent="0.25">
      <c r="A894">
        <v>375</v>
      </c>
      <c r="B894" t="s">
        <v>134</v>
      </c>
      <c r="C894">
        <v>113</v>
      </c>
      <c r="D894">
        <v>48</v>
      </c>
      <c r="E894">
        <v>65</v>
      </c>
      <c r="F894" s="18"/>
      <c r="H894" t="str">
        <f>IF(B894=$H$1,COUNT($H$2:H895)+1," ")</f>
        <v xml:space="preserve"> </v>
      </c>
      <c r="L894">
        <v>893</v>
      </c>
      <c r="M894">
        <v>73</v>
      </c>
      <c r="N894">
        <v>105</v>
      </c>
      <c r="O894" s="18" t="s">
        <v>1122</v>
      </c>
      <c r="P894">
        <f t="shared" si="39"/>
        <v>178</v>
      </c>
      <c r="Q894" t="str">
        <f>INDEX(Elemek!$B$2:$B$113,MATCH(M894,Elemek!$C$2:$C$113,0))</f>
        <v>Ta</v>
      </c>
      <c r="R894" t="str">
        <f t="shared" si="40"/>
        <v>8.355075</v>
      </c>
      <c r="S894" t="str">
        <f t="shared" si="41"/>
        <v>8.355075</v>
      </c>
    </row>
    <row r="895" spans="1:19" x14ac:dyDescent="0.25">
      <c r="A895">
        <v>414</v>
      </c>
      <c r="B895" t="s">
        <v>207</v>
      </c>
      <c r="C895">
        <v>119</v>
      </c>
      <c r="D895">
        <v>50</v>
      </c>
      <c r="E895">
        <v>69</v>
      </c>
      <c r="F895" s="18"/>
      <c r="H895" t="str">
        <f>IF(B895=$H$1,COUNT($H$2:H896)+1," ")</f>
        <v xml:space="preserve"> </v>
      </c>
      <c r="L895">
        <v>894</v>
      </c>
      <c r="M895">
        <v>78</v>
      </c>
      <c r="N895">
        <v>109</v>
      </c>
      <c r="O895" s="18" t="s">
        <v>1123</v>
      </c>
      <c r="P895">
        <f t="shared" si="39"/>
        <v>187</v>
      </c>
      <c r="Q895" t="str">
        <f>INDEX(Elemek!$B$2:$B$113,MATCH(M895,Elemek!$C$2:$C$113,0))</f>
        <v>Pt</v>
      </c>
      <c r="R895" t="str">
        <f t="shared" si="40"/>
        <v>8.267638</v>
      </c>
      <c r="S895" t="str">
        <f t="shared" si="41"/>
        <v>8.267638</v>
      </c>
    </row>
    <row r="896" spans="1:19" x14ac:dyDescent="0.25">
      <c r="A896">
        <v>423</v>
      </c>
      <c r="B896" t="s">
        <v>245</v>
      </c>
      <c r="C896">
        <v>102</v>
      </c>
      <c r="D896">
        <v>45</v>
      </c>
      <c r="E896">
        <v>57</v>
      </c>
      <c r="F896" s="18"/>
      <c r="H896" t="str">
        <f>IF(B896=$H$1,COUNT($H$2:H897)+1," ")</f>
        <v xml:space="preserve"> </v>
      </c>
      <c r="L896">
        <v>895</v>
      </c>
      <c r="M896">
        <v>66</v>
      </c>
      <c r="N896">
        <v>99</v>
      </c>
      <c r="O896" s="18" t="s">
        <v>1124</v>
      </c>
      <c r="P896">
        <f t="shared" si="39"/>
        <v>165</v>
      </c>
      <c r="Q896" t="str">
        <f>INDEX(Elemek!$B$2:$B$113,MATCH(M896,Elemek!$C$2:$C$113,0))</f>
        <v>Dy</v>
      </c>
      <c r="R896" t="str">
        <f t="shared" si="40"/>
        <v>8.456891</v>
      </c>
      <c r="S896" t="str">
        <f t="shared" si="41"/>
        <v>8.456891</v>
      </c>
    </row>
    <row r="897" spans="1:19" x14ac:dyDescent="0.25">
      <c r="A897">
        <v>432</v>
      </c>
      <c r="B897" t="s">
        <v>167</v>
      </c>
      <c r="C897">
        <v>174</v>
      </c>
      <c r="D897">
        <v>71</v>
      </c>
      <c r="E897">
        <v>103</v>
      </c>
      <c r="F897" s="18"/>
      <c r="H897" t="str">
        <f>IF(B897=$H$1,COUNT($H$2:H898)+1," ")</f>
        <v xml:space="preserve"> </v>
      </c>
      <c r="L897">
        <v>896</v>
      </c>
      <c r="M897">
        <v>53</v>
      </c>
      <c r="N897">
        <v>79</v>
      </c>
      <c r="O897" s="18" t="s">
        <v>1125</v>
      </c>
      <c r="P897">
        <f t="shared" si="39"/>
        <v>132</v>
      </c>
      <c r="Q897" t="str">
        <f>INDEX(Elemek!$B$2:$B$113,MATCH(M897,Elemek!$C$2:$C$113,0))</f>
        <v>I</v>
      </c>
      <c r="R897" t="str">
        <f t="shared" si="40"/>
        <v>8.72057</v>
      </c>
      <c r="S897" t="str">
        <f t="shared" si="41"/>
        <v>8.72057</v>
      </c>
    </row>
    <row r="898" spans="1:19" x14ac:dyDescent="0.25">
      <c r="A898">
        <v>440</v>
      </c>
      <c r="B898" t="s">
        <v>279</v>
      </c>
      <c r="C898">
        <v>123</v>
      </c>
      <c r="D898">
        <v>52</v>
      </c>
      <c r="E898">
        <v>71</v>
      </c>
      <c r="F898" s="18"/>
      <c r="H898" t="str">
        <f>IF(B898=$H$1,COUNT($H$2:H899)+1," ")</f>
        <v xml:space="preserve"> </v>
      </c>
      <c r="L898">
        <v>897</v>
      </c>
      <c r="M898">
        <v>68</v>
      </c>
      <c r="N898">
        <v>90</v>
      </c>
      <c r="O898" s="18" t="s">
        <v>1126</v>
      </c>
      <c r="P898">
        <f t="shared" si="39"/>
        <v>158</v>
      </c>
      <c r="Q898" t="str">
        <f>INDEX(Elemek!$B$2:$B$113,MATCH(M898,Elemek!$C$2:$C$113,0))</f>
        <v>Er</v>
      </c>
      <c r="R898" t="str">
        <f t="shared" si="40"/>
        <v>8.484619</v>
      </c>
      <c r="S898" t="str">
        <f t="shared" si="41"/>
        <v>8.484619</v>
      </c>
    </row>
    <row r="899" spans="1:19" x14ac:dyDescent="0.25">
      <c r="A899">
        <v>449</v>
      </c>
      <c r="B899" t="s">
        <v>276</v>
      </c>
      <c r="C899">
        <v>97</v>
      </c>
      <c r="D899">
        <v>43</v>
      </c>
      <c r="E899">
        <v>54</v>
      </c>
      <c r="F899" s="18"/>
      <c r="H899" t="str">
        <f>IF(B899=$H$1,COUNT($H$2:H900)+1," ")</f>
        <v xml:space="preserve"> </v>
      </c>
      <c r="L899">
        <v>898</v>
      </c>
      <c r="M899">
        <v>32</v>
      </c>
      <c r="N899">
        <v>34</v>
      </c>
      <c r="O899" s="18" t="s">
        <v>1127</v>
      </c>
      <c r="P899">
        <f t="shared" ref="P899:P962" si="42">N899+M899</f>
        <v>66</v>
      </c>
      <c r="Q899" t="str">
        <f>INDEX(Elemek!$B$2:$B$113,MATCH(M899,Elemek!$C$2:$C$113,0))</f>
        <v>Ge</v>
      </c>
      <c r="R899" t="str">
        <f t="shared" ref="R899:R962" si="43">IF(NOT(ISBLANK(O899)),O899,ROUNDDOWN(AVERAGE($O$2:$O$990),2))</f>
        <v>9.004964</v>
      </c>
      <c r="S899" t="str">
        <f t="shared" ref="S899:S962" si="44">IF(ISBLANK(O899),ROUNDDOWN(AVERAGEIF($M$2:$M$990,M899,$O$2:$O$990),2),O899)</f>
        <v>9.004964</v>
      </c>
    </row>
    <row r="900" spans="1:19" x14ac:dyDescent="0.25">
      <c r="A900">
        <v>457</v>
      </c>
      <c r="B900" t="s">
        <v>123</v>
      </c>
      <c r="C900">
        <v>192</v>
      </c>
      <c r="D900">
        <v>77</v>
      </c>
      <c r="E900">
        <v>115</v>
      </c>
      <c r="F900" s="18"/>
      <c r="H900" t="str">
        <f>IF(B900=$H$1,COUNT($H$2:H901)+1," ")</f>
        <v xml:space="preserve"> </v>
      </c>
      <c r="L900">
        <v>899</v>
      </c>
      <c r="M900">
        <v>56</v>
      </c>
      <c r="N900">
        <v>73</v>
      </c>
      <c r="O900" s="18" t="s">
        <v>1128</v>
      </c>
      <c r="P900">
        <f t="shared" si="42"/>
        <v>129</v>
      </c>
      <c r="Q900" t="str">
        <f>INDEX(Elemek!$B$2:$B$113,MATCH(M900,Elemek!$C$2:$C$113,0))</f>
        <v>Ba</v>
      </c>
      <c r="R900" t="str">
        <f t="shared" si="43"/>
        <v>8.730746</v>
      </c>
      <c r="S900" t="str">
        <f t="shared" si="44"/>
        <v>8.730746</v>
      </c>
    </row>
    <row r="901" spans="1:19" x14ac:dyDescent="0.25">
      <c r="A901">
        <v>466</v>
      </c>
      <c r="B901" t="s">
        <v>197</v>
      </c>
      <c r="C901">
        <v>91</v>
      </c>
      <c r="D901">
        <v>41</v>
      </c>
      <c r="E901">
        <v>50</v>
      </c>
      <c r="F901" s="18"/>
      <c r="H901" t="str">
        <f>IF(B901=$H$1,COUNT($H$2:H902)+1," ")</f>
        <v xml:space="preserve"> </v>
      </c>
      <c r="L901">
        <v>900</v>
      </c>
      <c r="M901">
        <v>62</v>
      </c>
      <c r="N901">
        <v>88</v>
      </c>
      <c r="O901" s="18"/>
      <c r="P901">
        <f t="shared" si="42"/>
        <v>150</v>
      </c>
      <c r="Q901" t="str">
        <f>INDEX(Elemek!$B$2:$B$113,MATCH(M901,Elemek!$C$2:$C$113,0))</f>
        <v>Sm</v>
      </c>
      <c r="R901" t="e">
        <f t="shared" si="43"/>
        <v>#DIV/0!</v>
      </c>
      <c r="S901" t="e">
        <f t="shared" si="44"/>
        <v>#DIV/0!</v>
      </c>
    </row>
    <row r="902" spans="1:19" x14ac:dyDescent="0.25">
      <c r="A902">
        <v>471</v>
      </c>
      <c r="B902" t="s">
        <v>279</v>
      </c>
      <c r="C902">
        <v>125</v>
      </c>
      <c r="D902">
        <v>52</v>
      </c>
      <c r="E902">
        <v>73</v>
      </c>
      <c r="F902" s="18"/>
      <c r="H902" t="str">
        <f>IF(B902=$H$1,COUNT($H$2:H903)+1," ")</f>
        <v xml:space="preserve"> </v>
      </c>
      <c r="L902">
        <v>901</v>
      </c>
      <c r="M902">
        <v>74</v>
      </c>
      <c r="N902">
        <v>103</v>
      </c>
      <c r="O902" s="18" t="s">
        <v>1129</v>
      </c>
      <c r="P902">
        <f t="shared" si="42"/>
        <v>177</v>
      </c>
      <c r="Q902" t="str">
        <f>INDEX(Elemek!$B$2:$B$113,MATCH(M902,Elemek!$C$2:$C$113,0))</f>
        <v>W</v>
      </c>
      <c r="R902" t="str">
        <f t="shared" si="43"/>
        <v>8.352118</v>
      </c>
      <c r="S902" t="str">
        <f t="shared" si="44"/>
        <v>8.352118</v>
      </c>
    </row>
    <row r="903" spans="1:19" x14ac:dyDescent="0.25">
      <c r="A903">
        <v>488</v>
      </c>
      <c r="B903" t="s">
        <v>240</v>
      </c>
      <c r="C903">
        <v>184</v>
      </c>
      <c r="D903">
        <v>75</v>
      </c>
      <c r="E903">
        <v>109</v>
      </c>
      <c r="F903" s="18"/>
      <c r="H903" t="str">
        <f>IF(B903=$H$1,COUNT($H$2:H904)+1," ")</f>
        <v xml:space="preserve"> </v>
      </c>
      <c r="L903">
        <v>902</v>
      </c>
      <c r="M903">
        <v>45</v>
      </c>
      <c r="N903">
        <v>61</v>
      </c>
      <c r="O903" s="18" t="s">
        <v>1130</v>
      </c>
      <c r="P903">
        <f t="shared" si="42"/>
        <v>106</v>
      </c>
      <c r="Q903" t="str">
        <f>INDEX(Elemek!$B$2:$B$113,MATCH(M903,Elemek!$C$2:$C$113,0))</f>
        <v>Rh</v>
      </c>
      <c r="R903" t="str">
        <f t="shared" si="43"/>
        <v>8.884761</v>
      </c>
      <c r="S903" t="str">
        <f t="shared" si="44"/>
        <v>8.884761</v>
      </c>
    </row>
    <row r="904" spans="1:19" x14ac:dyDescent="0.25">
      <c r="A904">
        <v>502</v>
      </c>
      <c r="B904" t="s">
        <v>104</v>
      </c>
      <c r="C904">
        <v>179</v>
      </c>
      <c r="D904">
        <v>72</v>
      </c>
      <c r="E904">
        <v>107</v>
      </c>
      <c r="F904" s="18"/>
      <c r="H904" t="str">
        <f>IF(B904=$H$1,COUNT($H$2:H905)+1," ")</f>
        <v xml:space="preserve"> </v>
      </c>
      <c r="L904">
        <v>903</v>
      </c>
      <c r="M904">
        <v>56</v>
      </c>
      <c r="N904">
        <v>73</v>
      </c>
      <c r="O904" s="18"/>
      <c r="P904">
        <f t="shared" si="42"/>
        <v>129</v>
      </c>
      <c r="Q904" t="str">
        <f>INDEX(Elemek!$B$2:$B$113,MATCH(M904,Elemek!$C$2:$C$113,0))</f>
        <v>Ba</v>
      </c>
      <c r="R904" t="e">
        <f t="shared" si="43"/>
        <v>#DIV/0!</v>
      </c>
      <c r="S904" t="e">
        <f t="shared" si="44"/>
        <v>#DIV/0!</v>
      </c>
    </row>
    <row r="905" spans="1:19" x14ac:dyDescent="0.25">
      <c r="A905">
        <v>508</v>
      </c>
      <c r="B905" t="s">
        <v>279</v>
      </c>
      <c r="C905">
        <v>121</v>
      </c>
      <c r="D905">
        <v>52</v>
      </c>
      <c r="E905">
        <v>69</v>
      </c>
      <c r="F905" s="18"/>
      <c r="H905" t="str">
        <f>IF(B905=$H$1,COUNT($H$2:H906)+1," ")</f>
        <v xml:space="preserve"> </v>
      </c>
      <c r="L905">
        <v>904</v>
      </c>
      <c r="M905">
        <v>59</v>
      </c>
      <c r="N905">
        <v>79</v>
      </c>
      <c r="O905" s="18" t="s">
        <v>1131</v>
      </c>
      <c r="P905">
        <f t="shared" si="42"/>
        <v>138</v>
      </c>
      <c r="Q905" t="str">
        <f>INDEX(Elemek!$B$2:$B$113,MATCH(M905,Elemek!$C$2:$C$113,0))</f>
        <v>Pr</v>
      </c>
      <c r="R905" t="str">
        <f t="shared" si="43"/>
        <v>8.671088</v>
      </c>
      <c r="S905" t="str">
        <f t="shared" si="44"/>
        <v>8.671088</v>
      </c>
    </row>
    <row r="906" spans="1:19" x14ac:dyDescent="0.25">
      <c r="A906">
        <v>522</v>
      </c>
      <c r="B906" t="s">
        <v>207</v>
      </c>
      <c r="C906">
        <v>117</v>
      </c>
      <c r="D906">
        <v>50</v>
      </c>
      <c r="E906">
        <v>67</v>
      </c>
      <c r="F906" s="18"/>
      <c r="H906" t="str">
        <f>IF(B906=$H$1,COUNT($H$2:H907)+1," ")</f>
        <v xml:space="preserve"> </v>
      </c>
      <c r="L906">
        <v>905</v>
      </c>
      <c r="M906">
        <v>53</v>
      </c>
      <c r="N906">
        <v>68</v>
      </c>
      <c r="O906" s="18" t="s">
        <v>1132</v>
      </c>
      <c r="P906">
        <f t="shared" si="42"/>
        <v>121</v>
      </c>
      <c r="Q906" t="str">
        <f>INDEX(Elemek!$B$2:$B$113,MATCH(M906,Elemek!$C$2:$C$113,0))</f>
        <v>I</v>
      </c>
      <c r="R906" t="str">
        <f t="shared" si="43"/>
        <v>8.784443</v>
      </c>
      <c r="S906" t="str">
        <f t="shared" si="44"/>
        <v>8.784443</v>
      </c>
    </row>
    <row r="907" spans="1:19" x14ac:dyDescent="0.25">
      <c r="A907">
        <v>530</v>
      </c>
      <c r="B907" t="s">
        <v>302</v>
      </c>
      <c r="C907">
        <v>131</v>
      </c>
      <c r="D907">
        <v>54</v>
      </c>
      <c r="E907">
        <v>77</v>
      </c>
      <c r="F907" s="18"/>
      <c r="H907" t="str">
        <f>IF(B907=$H$1,COUNT($H$2:H908)+1," ")</f>
        <v xml:space="preserve"> </v>
      </c>
      <c r="L907">
        <v>906</v>
      </c>
      <c r="M907">
        <v>50</v>
      </c>
      <c r="N907">
        <v>77</v>
      </c>
      <c r="O907" s="18" t="s">
        <v>1133</v>
      </c>
      <c r="P907">
        <f t="shared" si="42"/>
        <v>127</v>
      </c>
      <c r="Q907" t="str">
        <f>INDEX(Elemek!$B$2:$B$113,MATCH(M907,Elemek!$C$2:$C$113,0))</f>
        <v>Sn</v>
      </c>
      <c r="R907" t="str">
        <f t="shared" si="43"/>
        <v>8.7288</v>
      </c>
      <c r="S907" t="str">
        <f t="shared" si="44"/>
        <v>8.7288</v>
      </c>
    </row>
    <row r="908" spans="1:19" x14ac:dyDescent="0.25">
      <c r="A908">
        <v>537</v>
      </c>
      <c r="B908" t="s">
        <v>123</v>
      </c>
      <c r="C908">
        <v>193</v>
      </c>
      <c r="D908">
        <v>77</v>
      </c>
      <c r="E908">
        <v>116</v>
      </c>
      <c r="F908" s="18"/>
      <c r="H908" t="str">
        <f>IF(B908=$H$1,COUNT($H$2:H909)+1," ")</f>
        <v xml:space="preserve"> </v>
      </c>
      <c r="L908">
        <v>907</v>
      </c>
      <c r="M908">
        <v>54</v>
      </c>
      <c r="N908">
        <v>69</v>
      </c>
      <c r="O908" s="18" t="s">
        <v>1134</v>
      </c>
      <c r="P908">
        <f t="shared" si="42"/>
        <v>123</v>
      </c>
      <c r="Q908" t="str">
        <f>INDEX(Elemek!$B$2:$B$113,MATCH(M908,Elemek!$C$2:$C$113,0))</f>
        <v>Xe</v>
      </c>
      <c r="R908" t="str">
        <f t="shared" si="43"/>
        <v>8.764409</v>
      </c>
      <c r="S908" t="str">
        <f t="shared" si="44"/>
        <v>8.764409</v>
      </c>
    </row>
    <row r="909" spans="1:19" x14ac:dyDescent="0.25">
      <c r="A909">
        <v>539</v>
      </c>
      <c r="B909" t="s">
        <v>197</v>
      </c>
      <c r="C909">
        <v>92</v>
      </c>
      <c r="D909">
        <v>41</v>
      </c>
      <c r="E909">
        <v>51</v>
      </c>
      <c r="F909" s="18"/>
      <c r="H909" t="str">
        <f>IF(B909=$H$1,COUNT($H$2:H910)+1," ")</f>
        <v xml:space="preserve"> </v>
      </c>
      <c r="L909">
        <v>908</v>
      </c>
      <c r="M909">
        <v>78</v>
      </c>
      <c r="N909">
        <v>108</v>
      </c>
      <c r="O909" s="18" t="s">
        <v>1135</v>
      </c>
      <c r="P909">
        <f t="shared" si="42"/>
        <v>186</v>
      </c>
      <c r="Q909" t="str">
        <f>INDEX(Elemek!$B$2:$B$113,MATCH(M909,Elemek!$C$2:$C$113,0))</f>
        <v>Pt</v>
      </c>
      <c r="R909" t="str">
        <f t="shared" si="43"/>
        <v>8.274897</v>
      </c>
      <c r="S909" t="str">
        <f t="shared" si="44"/>
        <v>8.274897</v>
      </c>
    </row>
    <row r="910" spans="1:19" x14ac:dyDescent="0.25">
      <c r="A910">
        <v>546</v>
      </c>
      <c r="B910" t="s">
        <v>302</v>
      </c>
      <c r="C910">
        <v>129</v>
      </c>
      <c r="D910">
        <v>54</v>
      </c>
      <c r="E910">
        <v>75</v>
      </c>
      <c r="F910" s="18"/>
      <c r="H910" t="str">
        <f>IF(B910=$H$1,COUNT($H$2:H911)+1," ")</f>
        <v xml:space="preserve"> </v>
      </c>
      <c r="L910">
        <v>909</v>
      </c>
      <c r="M910">
        <v>95</v>
      </c>
      <c r="N910">
        <v>150</v>
      </c>
      <c r="O910" s="18" t="s">
        <v>1136</v>
      </c>
      <c r="P910">
        <f t="shared" si="42"/>
        <v>245</v>
      </c>
      <c r="Q910" t="str">
        <f>INDEX(Elemek!$B$2:$B$113,MATCH(M910,Elemek!$C$2:$C$113,0))</f>
        <v>Am</v>
      </c>
      <c r="R910" t="str">
        <f t="shared" si="43"/>
        <v>7.818674</v>
      </c>
      <c r="S910" t="str">
        <f t="shared" si="44"/>
        <v>7.818674</v>
      </c>
    </row>
    <row r="911" spans="1:19" x14ac:dyDescent="0.25">
      <c r="A911">
        <v>557</v>
      </c>
      <c r="B911" t="s">
        <v>167</v>
      </c>
      <c r="C911">
        <v>177</v>
      </c>
      <c r="D911">
        <v>71</v>
      </c>
      <c r="E911">
        <v>106</v>
      </c>
      <c r="F911" s="18"/>
      <c r="H911" t="str">
        <f>IF(B911=$H$1,COUNT($H$2:H912)+1," ")</f>
        <v xml:space="preserve"> </v>
      </c>
      <c r="L911">
        <v>910</v>
      </c>
      <c r="M911">
        <v>41</v>
      </c>
      <c r="N911">
        <v>48</v>
      </c>
      <c r="O911" s="18" t="s">
        <v>1137</v>
      </c>
      <c r="P911">
        <f t="shared" si="42"/>
        <v>89</v>
      </c>
      <c r="Q911" t="str">
        <f>INDEX(Elemek!$B$2:$B$113,MATCH(M911,Elemek!$C$2:$C$113,0))</f>
        <v>Nb</v>
      </c>
      <c r="R911" t="str">
        <f t="shared" si="43"/>
        <v>8.977507</v>
      </c>
      <c r="S911" t="str">
        <f t="shared" si="44"/>
        <v>8.977507</v>
      </c>
    </row>
    <row r="912" spans="1:19" x14ac:dyDescent="0.25">
      <c r="A912">
        <v>566</v>
      </c>
      <c r="B912" t="s">
        <v>228</v>
      </c>
      <c r="C912">
        <v>148</v>
      </c>
      <c r="D912">
        <v>61</v>
      </c>
      <c r="E912">
        <v>87</v>
      </c>
      <c r="F912" s="18"/>
      <c r="H912" t="str">
        <f>IF(B912=$H$1,COUNT($H$2:H913)+1," ")</f>
        <v xml:space="preserve"> </v>
      </c>
      <c r="L912">
        <v>911</v>
      </c>
      <c r="M912">
        <v>76</v>
      </c>
      <c r="N912">
        <v>119</v>
      </c>
      <c r="O912" s="18"/>
      <c r="P912">
        <f t="shared" si="42"/>
        <v>195</v>
      </c>
      <c r="Q912" t="str">
        <f>INDEX(Elemek!$B$2:$B$113,MATCH(M912,Elemek!$C$2:$C$113,0))</f>
        <v>Os</v>
      </c>
      <c r="R912" t="e">
        <f t="shared" si="43"/>
        <v>#DIV/0!</v>
      </c>
      <c r="S912" t="e">
        <f t="shared" si="44"/>
        <v>#DIV/0!</v>
      </c>
    </row>
    <row r="913" spans="1:19" x14ac:dyDescent="0.25">
      <c r="A913">
        <v>571</v>
      </c>
      <c r="B913" t="s">
        <v>44</v>
      </c>
      <c r="C913">
        <v>210</v>
      </c>
      <c r="D913">
        <v>83</v>
      </c>
      <c r="E913">
        <v>127</v>
      </c>
      <c r="F913" s="18"/>
      <c r="H913" t="str">
        <f>IF(B913=$H$1,COUNT($H$2:H914)+1," ")</f>
        <v xml:space="preserve"> </v>
      </c>
      <c r="L913">
        <v>912</v>
      </c>
      <c r="M913">
        <v>49</v>
      </c>
      <c r="N913">
        <v>68</v>
      </c>
      <c r="O913" s="18" t="s">
        <v>1138</v>
      </c>
      <c r="P913">
        <f t="shared" si="42"/>
        <v>117</v>
      </c>
      <c r="Q913" t="str">
        <f>INDEX(Elemek!$B$2:$B$113,MATCH(M913,Elemek!$C$2:$C$113,0))</f>
        <v>In</v>
      </c>
      <c r="R913" t="str">
        <f t="shared" si="43"/>
        <v>8.828849</v>
      </c>
      <c r="S913" t="str">
        <f t="shared" si="44"/>
        <v>8.828849</v>
      </c>
    </row>
    <row r="914" spans="1:19" x14ac:dyDescent="0.25">
      <c r="A914">
        <v>577</v>
      </c>
      <c r="B914" t="s">
        <v>245</v>
      </c>
      <c r="C914">
        <v>101</v>
      </c>
      <c r="D914">
        <v>45</v>
      </c>
      <c r="E914">
        <v>56</v>
      </c>
      <c r="F914" s="18"/>
      <c r="H914" t="str">
        <f>IF(B914=$H$1,COUNT($H$2:H915)+1," ")</f>
        <v xml:space="preserve"> </v>
      </c>
      <c r="L914">
        <v>913</v>
      </c>
      <c r="M914">
        <v>77</v>
      </c>
      <c r="N914">
        <v>109</v>
      </c>
      <c r="O914" s="18"/>
      <c r="P914">
        <f t="shared" si="42"/>
        <v>186</v>
      </c>
      <c r="Q914" t="str">
        <f>INDEX(Elemek!$B$2:$B$113,MATCH(M914,Elemek!$C$2:$C$113,0))</f>
        <v>Ir</v>
      </c>
      <c r="R914" t="e">
        <f t="shared" si="43"/>
        <v>#DIV/0!</v>
      </c>
      <c r="S914" t="e">
        <f t="shared" si="44"/>
        <v>#DIV/0!</v>
      </c>
    </row>
    <row r="915" spans="1:19" x14ac:dyDescent="0.25">
      <c r="A915">
        <v>578</v>
      </c>
      <c r="B915" t="s">
        <v>217</v>
      </c>
      <c r="C915">
        <v>193</v>
      </c>
      <c r="D915">
        <v>78</v>
      </c>
      <c r="E915">
        <v>115</v>
      </c>
      <c r="F915" s="18"/>
      <c r="H915" t="str">
        <f>IF(B915=$H$1,COUNT($H$2:H916)+1," ")</f>
        <v xml:space="preserve"> </v>
      </c>
      <c r="L915">
        <v>914</v>
      </c>
      <c r="M915">
        <v>70</v>
      </c>
      <c r="N915">
        <v>107</v>
      </c>
      <c r="O915" s="18" t="s">
        <v>1139</v>
      </c>
      <c r="P915">
        <f t="shared" si="42"/>
        <v>177</v>
      </c>
      <c r="Q915" t="str">
        <f>INDEX(Elemek!$B$2:$B$113,MATCH(M915,Elemek!$C$2:$C$113,0))</f>
        <v>Yb</v>
      </c>
      <c r="R915" t="str">
        <f t="shared" si="43"/>
        <v>8.359401</v>
      </c>
      <c r="S915" t="str">
        <f t="shared" si="44"/>
        <v>8.359401</v>
      </c>
    </row>
    <row r="916" spans="1:19" x14ac:dyDescent="0.25">
      <c r="A916">
        <v>583</v>
      </c>
      <c r="B916" t="s">
        <v>217</v>
      </c>
      <c r="C916">
        <v>195</v>
      </c>
      <c r="D916">
        <v>78</v>
      </c>
      <c r="E916">
        <v>117</v>
      </c>
      <c r="F916" s="18"/>
      <c r="H916" t="str">
        <f>IF(B916=$H$1,COUNT($H$2:H917)+1," ")</f>
        <v xml:space="preserve"> </v>
      </c>
      <c r="L916">
        <v>915</v>
      </c>
      <c r="M916">
        <v>81</v>
      </c>
      <c r="N916">
        <v>117</v>
      </c>
      <c r="O916" s="18"/>
      <c r="P916">
        <f t="shared" si="42"/>
        <v>198</v>
      </c>
      <c r="Q916" t="str">
        <f>INDEX(Elemek!$B$2:$B$113,MATCH(M916,Elemek!$C$2:$C$113,0))</f>
        <v>Tl</v>
      </c>
      <c r="R916" t="e">
        <f t="shared" si="43"/>
        <v>#DIV/0!</v>
      </c>
      <c r="S916" t="e">
        <f t="shared" si="44"/>
        <v>#DIV/0!</v>
      </c>
    </row>
    <row r="917" spans="1:19" x14ac:dyDescent="0.25">
      <c r="A917">
        <v>586</v>
      </c>
      <c r="B917" t="s">
        <v>240</v>
      </c>
      <c r="C917">
        <v>186</v>
      </c>
      <c r="D917">
        <v>75</v>
      </c>
      <c r="E917">
        <v>111</v>
      </c>
      <c r="F917" s="18"/>
      <c r="H917" t="str">
        <f>IF(B917=$H$1,COUNT($H$2:H918)+1," ")</f>
        <v xml:space="preserve"> </v>
      </c>
      <c r="L917">
        <v>916</v>
      </c>
      <c r="M917">
        <v>81</v>
      </c>
      <c r="N917">
        <v>115</v>
      </c>
      <c r="O917" s="18" t="s">
        <v>1140</v>
      </c>
      <c r="P917">
        <f t="shared" si="42"/>
        <v>196</v>
      </c>
      <c r="Q917" t="str">
        <f>INDEX(Elemek!$B$2:$B$113,MATCH(M917,Elemek!$C$2:$C$113,0))</f>
        <v>Tl</v>
      </c>
      <c r="R917" t="str">
        <f t="shared" si="43"/>
        <v>8.211618</v>
      </c>
      <c r="S917" t="str">
        <f t="shared" si="44"/>
        <v>8.211618</v>
      </c>
    </row>
    <row r="918" spans="1:19" x14ac:dyDescent="0.25">
      <c r="A918">
        <v>589</v>
      </c>
      <c r="B918" t="s">
        <v>197</v>
      </c>
      <c r="C918">
        <v>95</v>
      </c>
      <c r="D918">
        <v>41</v>
      </c>
      <c r="E918">
        <v>54</v>
      </c>
      <c r="F918" s="18"/>
      <c r="H918" t="str">
        <f>IF(B918=$H$1,COUNT($H$2:H919)+1," ")</f>
        <v xml:space="preserve"> </v>
      </c>
      <c r="L918">
        <v>917</v>
      </c>
      <c r="M918">
        <v>36</v>
      </c>
      <c r="N918">
        <v>47</v>
      </c>
      <c r="O918" s="18"/>
      <c r="P918">
        <f t="shared" si="42"/>
        <v>83</v>
      </c>
      <c r="Q918" t="str">
        <f>INDEX(Elemek!$B$2:$B$113,MATCH(M918,Elemek!$C$2:$C$113,0))</f>
        <v>Kr</v>
      </c>
      <c r="R918" t="e">
        <f t="shared" si="43"/>
        <v>#DIV/0!</v>
      </c>
      <c r="S918" t="e">
        <f t="shared" si="44"/>
        <v>#DIV/0!</v>
      </c>
    </row>
    <row r="919" spans="1:19" x14ac:dyDescent="0.25">
      <c r="A919">
        <v>622</v>
      </c>
      <c r="B919" t="s">
        <v>24</v>
      </c>
      <c r="C919">
        <v>198</v>
      </c>
      <c r="D919">
        <v>79</v>
      </c>
      <c r="E919">
        <v>119</v>
      </c>
      <c r="F919" s="18"/>
      <c r="H919" t="str">
        <f>IF(B919=$H$1,COUNT($H$2:H920)+1," ")</f>
        <v xml:space="preserve"> </v>
      </c>
      <c r="L919">
        <v>918</v>
      </c>
      <c r="M919">
        <v>9</v>
      </c>
      <c r="N919">
        <v>9</v>
      </c>
      <c r="O919" s="18" t="s">
        <v>1141</v>
      </c>
      <c r="P919">
        <f t="shared" si="42"/>
        <v>18</v>
      </c>
      <c r="Q919" t="str">
        <f>INDEX(Elemek!$B$2:$B$113,MATCH(M919,Elemek!$C$2:$C$113,0))</f>
        <v>F</v>
      </c>
      <c r="R919" t="str">
        <f t="shared" si="43"/>
        <v>8.022789</v>
      </c>
      <c r="S919" t="str">
        <f t="shared" si="44"/>
        <v>8.022789</v>
      </c>
    </row>
    <row r="920" spans="1:19" x14ac:dyDescent="0.25">
      <c r="A920">
        <v>623</v>
      </c>
      <c r="B920" t="s">
        <v>134</v>
      </c>
      <c r="C920">
        <v>115</v>
      </c>
      <c r="D920">
        <v>48</v>
      </c>
      <c r="E920">
        <v>67</v>
      </c>
      <c r="F920" s="18"/>
      <c r="H920" t="str">
        <f>IF(B920=$H$1,COUNT($H$2:H921)+1," ")</f>
        <v xml:space="preserve"> </v>
      </c>
      <c r="L920">
        <v>919</v>
      </c>
      <c r="M920">
        <v>18</v>
      </c>
      <c r="N920">
        <v>23</v>
      </c>
      <c r="O920" s="18" t="s">
        <v>1142</v>
      </c>
      <c r="P920">
        <f t="shared" si="42"/>
        <v>41</v>
      </c>
      <c r="Q920" t="str">
        <f>INDEX(Elemek!$B$2:$B$113,MATCH(M920,Elemek!$C$2:$C$113,0))</f>
        <v>Ar</v>
      </c>
      <c r="R920" t="str">
        <f t="shared" si="43"/>
        <v>8.877852</v>
      </c>
      <c r="S920" t="str">
        <f t="shared" si="44"/>
        <v>8.877852</v>
      </c>
    </row>
    <row r="921" spans="1:19" x14ac:dyDescent="0.25">
      <c r="A921">
        <v>625</v>
      </c>
      <c r="B921" t="s">
        <v>302</v>
      </c>
      <c r="C921">
        <v>133</v>
      </c>
      <c r="D921">
        <v>54</v>
      </c>
      <c r="E921">
        <v>79</v>
      </c>
      <c r="F921" s="18"/>
      <c r="H921" t="str">
        <f>IF(B921=$H$1,COUNT($H$2:H922)+1," ")</f>
        <v xml:space="preserve"> </v>
      </c>
      <c r="L921">
        <v>920</v>
      </c>
      <c r="M921">
        <v>69</v>
      </c>
      <c r="N921">
        <v>94</v>
      </c>
      <c r="O921" s="18" t="s">
        <v>1143</v>
      </c>
      <c r="P921">
        <f t="shared" si="42"/>
        <v>163</v>
      </c>
      <c r="Q921" t="str">
        <f>INDEX(Elemek!$B$2:$B$113,MATCH(M921,Elemek!$C$2:$C$113,0))</f>
        <v>Tm</v>
      </c>
      <c r="R921" t="str">
        <f t="shared" si="43"/>
        <v>8.456205</v>
      </c>
      <c r="S921" t="str">
        <f t="shared" si="44"/>
        <v>8.456205</v>
      </c>
    </row>
    <row r="922" spans="1:19" x14ac:dyDescent="0.25">
      <c r="A922">
        <v>639</v>
      </c>
      <c r="B922" t="s">
        <v>75</v>
      </c>
      <c r="C922">
        <v>254</v>
      </c>
      <c r="D922">
        <v>99</v>
      </c>
      <c r="E922">
        <v>155</v>
      </c>
      <c r="F922" s="18"/>
      <c r="H922" t="str">
        <f>IF(B922=$H$1,COUNT($H$2:H923)+1," ")</f>
        <v xml:space="preserve"> </v>
      </c>
      <c r="L922">
        <v>921</v>
      </c>
      <c r="M922">
        <v>91</v>
      </c>
      <c r="N922">
        <v>148</v>
      </c>
      <c r="O922" s="18" t="s">
        <v>1144</v>
      </c>
      <c r="P922">
        <f t="shared" si="42"/>
        <v>239</v>
      </c>
      <c r="Q922" t="str">
        <f>INDEX(Elemek!$B$2:$B$113,MATCH(M922,Elemek!$C$2:$C$113,0))</f>
        <v>Pa</v>
      </c>
      <c r="R922" t="str">
        <f t="shared" si="43"/>
        <v>7.848148</v>
      </c>
      <c r="S922" t="str">
        <f t="shared" si="44"/>
        <v>7.848148</v>
      </c>
    </row>
    <row r="923" spans="1:19" x14ac:dyDescent="0.25">
      <c r="A923">
        <v>641</v>
      </c>
      <c r="B923" t="s">
        <v>36</v>
      </c>
      <c r="C923">
        <v>133</v>
      </c>
      <c r="D923">
        <v>56</v>
      </c>
      <c r="E923">
        <v>77</v>
      </c>
      <c r="F923" s="18"/>
      <c r="H923" t="str">
        <f>IF(B923=$H$1,COUNT($H$2:H924)+1," ")</f>
        <v xml:space="preserve"> </v>
      </c>
      <c r="L923">
        <v>922</v>
      </c>
      <c r="M923">
        <v>83</v>
      </c>
      <c r="N923">
        <v>118</v>
      </c>
      <c r="O923" s="18" t="s">
        <v>1145</v>
      </c>
      <c r="P923">
        <f t="shared" si="42"/>
        <v>201</v>
      </c>
      <c r="Q923" t="str">
        <f>INDEX(Elemek!$B$2:$B$113,MATCH(M923,Elemek!$C$2:$C$113,0))</f>
        <v>Bi</v>
      </c>
      <c r="R923" t="str">
        <f t="shared" si="43"/>
        <v>8.177875</v>
      </c>
      <c r="S923" t="str">
        <f t="shared" si="44"/>
        <v>8.177875</v>
      </c>
    </row>
    <row r="924" spans="1:19" x14ac:dyDescent="0.25">
      <c r="A924">
        <v>666</v>
      </c>
      <c r="B924" t="s">
        <v>36</v>
      </c>
      <c r="C924">
        <v>135</v>
      </c>
      <c r="D924">
        <v>56</v>
      </c>
      <c r="E924">
        <v>79</v>
      </c>
      <c r="F924" s="18"/>
      <c r="H924" t="str">
        <f>IF(B924=$H$1,COUNT($H$2:H925)+1," ")</f>
        <v xml:space="preserve"> </v>
      </c>
      <c r="L924">
        <v>923</v>
      </c>
      <c r="M924">
        <v>85</v>
      </c>
      <c r="N924">
        <v>122</v>
      </c>
      <c r="O924" s="18" t="s">
        <v>1146</v>
      </c>
      <c r="P924">
        <f t="shared" si="42"/>
        <v>207</v>
      </c>
      <c r="Q924" t="str">
        <f>INDEX(Elemek!$B$2:$B$113,MATCH(M924,Elemek!$C$2:$C$113,0))</f>
        <v>At</v>
      </c>
      <c r="R924" t="str">
        <f t="shared" si="43"/>
        <v>8.135303</v>
      </c>
      <c r="S924" t="str">
        <f t="shared" si="44"/>
        <v>8.135303</v>
      </c>
    </row>
    <row r="925" spans="1:19" x14ac:dyDescent="0.25">
      <c r="A925">
        <v>667</v>
      </c>
      <c r="B925" t="s">
        <v>207</v>
      </c>
      <c r="C925">
        <v>121</v>
      </c>
      <c r="D925">
        <v>50</v>
      </c>
      <c r="E925">
        <v>71</v>
      </c>
      <c r="F925" s="18"/>
      <c r="H925" t="str">
        <f>IF(B925=$H$1,COUNT($H$2:H926)+1," ")</f>
        <v xml:space="preserve"> </v>
      </c>
      <c r="L925">
        <v>924</v>
      </c>
      <c r="M925">
        <v>86</v>
      </c>
      <c r="N925">
        <v>138</v>
      </c>
      <c r="O925" s="18" t="s">
        <v>1147</v>
      </c>
      <c r="P925">
        <f t="shared" si="42"/>
        <v>224</v>
      </c>
      <c r="Q925" t="str">
        <f>INDEX(Elemek!$B$2:$B$113,MATCH(M925,Elemek!$C$2:$C$113,0))</f>
        <v>Rn</v>
      </c>
      <c r="R925" t="str">
        <f t="shared" si="43"/>
        <v>7.971327</v>
      </c>
      <c r="S925" t="str">
        <f t="shared" si="44"/>
        <v>7.971327</v>
      </c>
    </row>
    <row r="926" spans="1:19" x14ac:dyDescent="0.25">
      <c r="A926">
        <v>668</v>
      </c>
      <c r="B926" t="s">
        <v>117</v>
      </c>
      <c r="C926">
        <v>166</v>
      </c>
      <c r="D926">
        <v>67</v>
      </c>
      <c r="E926">
        <v>99</v>
      </c>
      <c r="F926" s="18"/>
      <c r="H926" t="str">
        <f>IF(B926=$H$1,COUNT($H$2:H927)+1," ")</f>
        <v xml:space="preserve"> </v>
      </c>
      <c r="L926">
        <v>925</v>
      </c>
      <c r="M926">
        <v>38</v>
      </c>
      <c r="N926">
        <v>42</v>
      </c>
      <c r="O926" s="18" t="s">
        <v>1148</v>
      </c>
      <c r="P926">
        <f t="shared" si="42"/>
        <v>80</v>
      </c>
      <c r="Q926" t="str">
        <f>INDEX(Elemek!$B$2:$B$113,MATCH(M926,Elemek!$C$2:$C$113,0))</f>
        <v>Sr</v>
      </c>
      <c r="R926" t="str">
        <f t="shared" si="43"/>
        <v>8.950177</v>
      </c>
      <c r="S926" t="str">
        <f t="shared" si="44"/>
        <v>8.950177</v>
      </c>
    </row>
    <row r="927" spans="1:19" x14ac:dyDescent="0.25">
      <c r="A927">
        <v>674</v>
      </c>
      <c r="B927" t="s">
        <v>282</v>
      </c>
      <c r="C927">
        <v>156</v>
      </c>
      <c r="D927">
        <v>65</v>
      </c>
      <c r="E927">
        <v>91</v>
      </c>
      <c r="F927" s="18"/>
      <c r="H927" t="str">
        <f>IF(B927=$H$1,COUNT($H$2:H928)+1," ")</f>
        <v xml:space="preserve"> </v>
      </c>
      <c r="L927">
        <v>926</v>
      </c>
      <c r="M927">
        <v>76</v>
      </c>
      <c r="N927">
        <v>105</v>
      </c>
      <c r="O927" s="18" t="s">
        <v>1149</v>
      </c>
      <c r="P927">
        <f t="shared" si="42"/>
        <v>181</v>
      </c>
      <c r="Q927" t="str">
        <f>INDEX(Elemek!$B$2:$B$113,MATCH(M927,Elemek!$C$2:$C$113,0))</f>
        <v>Os</v>
      </c>
      <c r="R927" t="str">
        <f t="shared" si="43"/>
        <v>8.311935</v>
      </c>
      <c r="S927" t="str">
        <f t="shared" si="44"/>
        <v>8.311935</v>
      </c>
    </row>
    <row r="928" spans="1:19" x14ac:dyDescent="0.25">
      <c r="A928">
        <v>676</v>
      </c>
      <c r="B928" t="s">
        <v>115</v>
      </c>
      <c r="C928">
        <v>197</v>
      </c>
      <c r="D928">
        <v>80</v>
      </c>
      <c r="E928">
        <v>117</v>
      </c>
      <c r="F928" s="18"/>
      <c r="H928" t="str">
        <f>IF(B928=$H$1,COUNT($H$2:H929)+1," ")</f>
        <v xml:space="preserve"> </v>
      </c>
      <c r="L928">
        <v>927</v>
      </c>
      <c r="M928">
        <v>84</v>
      </c>
      <c r="N928">
        <v>121</v>
      </c>
      <c r="O928" s="18" t="s">
        <v>1150</v>
      </c>
      <c r="P928">
        <f t="shared" si="42"/>
        <v>205</v>
      </c>
      <c r="Q928" t="str">
        <f>INDEX(Elemek!$B$2:$B$113,MATCH(M928,Elemek!$C$2:$C$113,0))</f>
        <v>Po</v>
      </c>
      <c r="R928" t="str">
        <f t="shared" si="43"/>
        <v>8.156737</v>
      </c>
      <c r="S928" t="str">
        <f t="shared" si="44"/>
        <v>8.156737</v>
      </c>
    </row>
    <row r="929" spans="1:19" x14ac:dyDescent="0.25">
      <c r="A929">
        <v>678</v>
      </c>
      <c r="B929" t="s">
        <v>42</v>
      </c>
      <c r="C929">
        <v>248</v>
      </c>
      <c r="D929">
        <v>97</v>
      </c>
      <c r="E929">
        <v>151</v>
      </c>
      <c r="F929" s="18"/>
      <c r="H929" t="str">
        <f>IF(B929=$H$1,COUNT($H$2:H930)+1," ")</f>
        <v xml:space="preserve"> </v>
      </c>
      <c r="L929">
        <v>928</v>
      </c>
      <c r="M929">
        <v>60</v>
      </c>
      <c r="N929">
        <v>89</v>
      </c>
      <c r="O929" s="18" t="s">
        <v>1151</v>
      </c>
      <c r="P929">
        <f t="shared" si="42"/>
        <v>149</v>
      </c>
      <c r="Q929" t="str">
        <f>INDEX(Elemek!$B$2:$B$113,MATCH(M929,Elemek!$C$2:$C$113,0))</f>
        <v>Nd</v>
      </c>
      <c r="R929" t="str">
        <f t="shared" si="43"/>
        <v>8.570529</v>
      </c>
      <c r="S929" t="str">
        <f t="shared" si="44"/>
        <v>8.570529</v>
      </c>
    </row>
    <row r="930" spans="1:19" x14ac:dyDescent="0.25">
      <c r="A930">
        <v>682</v>
      </c>
      <c r="B930" t="s">
        <v>191</v>
      </c>
      <c r="C930">
        <v>236</v>
      </c>
      <c r="D930">
        <v>93</v>
      </c>
      <c r="E930">
        <v>143</v>
      </c>
      <c r="F930" s="18"/>
      <c r="H930" t="str">
        <f>IF(B930=$H$1,COUNT($H$2:H931)+1," ")</f>
        <v xml:space="preserve"> </v>
      </c>
      <c r="L930">
        <v>929</v>
      </c>
      <c r="M930">
        <v>83</v>
      </c>
      <c r="N930">
        <v>119</v>
      </c>
      <c r="O930" s="18" t="s">
        <v>1152</v>
      </c>
      <c r="P930">
        <f t="shared" si="42"/>
        <v>202</v>
      </c>
      <c r="Q930" t="str">
        <f>INDEX(Elemek!$B$2:$B$113,MATCH(M930,Elemek!$C$2:$C$113,0))</f>
        <v>Bi</v>
      </c>
      <c r="R930" t="str">
        <f t="shared" si="43"/>
        <v>8.173966</v>
      </c>
      <c r="S930" t="str">
        <f t="shared" si="44"/>
        <v>8.173966</v>
      </c>
    </row>
    <row r="931" spans="1:19" x14ac:dyDescent="0.25">
      <c r="A931">
        <v>687</v>
      </c>
      <c r="B931" t="s">
        <v>282</v>
      </c>
      <c r="C931">
        <v>154</v>
      </c>
      <c r="D931">
        <v>65</v>
      </c>
      <c r="E931">
        <v>89</v>
      </c>
      <c r="F931" s="18"/>
      <c r="H931" t="str">
        <f>IF(B931=$H$1,COUNT($H$2:H932)+1," ")</f>
        <v xml:space="preserve"> </v>
      </c>
      <c r="L931">
        <v>930</v>
      </c>
      <c r="M931">
        <v>99</v>
      </c>
      <c r="N931">
        <v>150</v>
      </c>
      <c r="O931" s="18" t="s">
        <v>1153</v>
      </c>
      <c r="P931">
        <f t="shared" si="42"/>
        <v>249</v>
      </c>
      <c r="Q931" t="str">
        <f>INDEX(Elemek!$B$2:$B$113,MATCH(M931,Elemek!$C$2:$C$113,0))</f>
        <v>Es</v>
      </c>
      <c r="R931" t="str">
        <f t="shared" si="43"/>
        <v>7.785464</v>
      </c>
      <c r="S931" t="str">
        <f t="shared" si="44"/>
        <v>7.785464</v>
      </c>
    </row>
    <row r="932" spans="1:19" x14ac:dyDescent="0.25">
      <c r="A932">
        <v>695</v>
      </c>
      <c r="B932" t="s">
        <v>276</v>
      </c>
      <c r="C932">
        <v>95</v>
      </c>
      <c r="D932">
        <v>43</v>
      </c>
      <c r="E932">
        <v>52</v>
      </c>
      <c r="F932" s="18"/>
      <c r="H932" t="str">
        <f>IF(B932=$H$1,COUNT($H$2:H933)+1," ")</f>
        <v xml:space="preserve"> </v>
      </c>
      <c r="L932">
        <v>931</v>
      </c>
      <c r="M932">
        <v>65</v>
      </c>
      <c r="N932">
        <v>82</v>
      </c>
      <c r="O932" s="18" t="s">
        <v>1154</v>
      </c>
      <c r="P932">
        <f t="shared" si="42"/>
        <v>147</v>
      </c>
      <c r="Q932" t="str">
        <f>INDEX(Elemek!$B$2:$B$113,MATCH(M932,Elemek!$C$2:$C$113,0))</f>
        <v>Tb</v>
      </c>
      <c r="R932" t="str">
        <f t="shared" si="43"/>
        <v>8.552634</v>
      </c>
      <c r="S932" t="str">
        <f t="shared" si="44"/>
        <v>8.552634</v>
      </c>
    </row>
    <row r="933" spans="1:19" x14ac:dyDescent="0.25">
      <c r="A933">
        <v>699</v>
      </c>
      <c r="B933" t="s">
        <v>123</v>
      </c>
      <c r="C933">
        <v>194</v>
      </c>
      <c r="D933">
        <v>77</v>
      </c>
      <c r="E933">
        <v>117</v>
      </c>
      <c r="F933" s="18"/>
      <c r="H933" t="str">
        <f>IF(B933=$H$1,COUNT($H$2:H934)+1," ")</f>
        <v xml:space="preserve"> </v>
      </c>
      <c r="L933">
        <v>932</v>
      </c>
      <c r="M933">
        <v>40</v>
      </c>
      <c r="N933">
        <v>47</v>
      </c>
      <c r="O933" s="18" t="s">
        <v>1155</v>
      </c>
      <c r="P933">
        <f t="shared" si="42"/>
        <v>87</v>
      </c>
      <c r="Q933" t="str">
        <f>INDEX(Elemek!$B$2:$B$113,MATCH(M933,Elemek!$C$2:$C$113,0))</f>
        <v>Zr</v>
      </c>
      <c r="R933" t="str">
        <f t="shared" si="43"/>
        <v>8.983373</v>
      </c>
      <c r="S933" t="str">
        <f t="shared" si="44"/>
        <v>8.983373</v>
      </c>
    </row>
    <row r="934" spans="1:19" x14ac:dyDescent="0.25">
      <c r="A934">
        <v>714</v>
      </c>
      <c r="B934" t="s">
        <v>279</v>
      </c>
      <c r="C934">
        <v>119</v>
      </c>
      <c r="D934">
        <v>52</v>
      </c>
      <c r="E934">
        <v>67</v>
      </c>
      <c r="F934" s="18"/>
      <c r="H934" t="str">
        <f>IF(B934=$H$1,COUNT($H$2:H935)+1," ")</f>
        <v xml:space="preserve"> </v>
      </c>
      <c r="L934">
        <v>933</v>
      </c>
      <c r="M934">
        <v>56</v>
      </c>
      <c r="N934">
        <v>70</v>
      </c>
      <c r="O934" s="18" t="s">
        <v>1156</v>
      </c>
      <c r="P934">
        <f t="shared" si="42"/>
        <v>126</v>
      </c>
      <c r="Q934" t="str">
        <f>INDEX(Elemek!$B$2:$B$113,MATCH(M934,Elemek!$C$2:$C$113,0))</f>
        <v>Ba</v>
      </c>
      <c r="R934" t="str">
        <f t="shared" si="43"/>
        <v>8.727439</v>
      </c>
      <c r="S934" t="str">
        <f t="shared" si="44"/>
        <v>8.727439</v>
      </c>
    </row>
    <row r="935" spans="1:19" x14ac:dyDescent="0.25">
      <c r="A935">
        <v>715</v>
      </c>
      <c r="B935" t="s">
        <v>17</v>
      </c>
      <c r="C935">
        <v>242</v>
      </c>
      <c r="D935">
        <v>95</v>
      </c>
      <c r="E935">
        <v>147</v>
      </c>
      <c r="F935" s="18"/>
      <c r="H935" t="str">
        <f>IF(B935=$H$1,COUNT($H$2:H936)+1," ")</f>
        <v xml:space="preserve"> </v>
      </c>
      <c r="L935">
        <v>934</v>
      </c>
      <c r="M935">
        <v>49</v>
      </c>
      <c r="N935">
        <v>64</v>
      </c>
      <c r="O935" s="18"/>
      <c r="P935">
        <f t="shared" si="42"/>
        <v>113</v>
      </c>
      <c r="Q935" t="str">
        <f>INDEX(Elemek!$B$2:$B$113,MATCH(M935,Elemek!$C$2:$C$113,0))</f>
        <v>In</v>
      </c>
      <c r="R935" t="e">
        <f t="shared" si="43"/>
        <v>#DIV/0!</v>
      </c>
      <c r="S935" t="e">
        <f t="shared" si="44"/>
        <v>#DIV/0!</v>
      </c>
    </row>
    <row r="936" spans="1:19" x14ac:dyDescent="0.25">
      <c r="A936">
        <v>728</v>
      </c>
      <c r="B936" t="s">
        <v>128</v>
      </c>
      <c r="C936">
        <v>87</v>
      </c>
      <c r="D936">
        <v>39</v>
      </c>
      <c r="E936">
        <v>48</v>
      </c>
      <c r="F936" s="18"/>
      <c r="H936" t="str">
        <f>IF(B936=$H$1,COUNT($H$2:H937)+1," ")</f>
        <v xml:space="preserve"> </v>
      </c>
      <c r="L936">
        <v>935</v>
      </c>
      <c r="M936">
        <v>27</v>
      </c>
      <c r="N936">
        <v>34</v>
      </c>
      <c r="O936" s="18" t="s">
        <v>1157</v>
      </c>
      <c r="P936">
        <f t="shared" si="42"/>
        <v>61</v>
      </c>
      <c r="Q936" t="str">
        <f>INDEX(Elemek!$B$2:$B$113,MATCH(M936,Elemek!$C$2:$C$113,0))</f>
        <v>Co</v>
      </c>
      <c r="R936" t="str">
        <f t="shared" si="43"/>
        <v>9.102449</v>
      </c>
      <c r="S936" t="str">
        <f t="shared" si="44"/>
        <v>9.102449</v>
      </c>
    </row>
    <row r="937" spans="1:19" x14ac:dyDescent="0.25">
      <c r="A937">
        <v>730</v>
      </c>
      <c r="B937" t="s">
        <v>212</v>
      </c>
      <c r="C937">
        <v>191</v>
      </c>
      <c r="D937">
        <v>76</v>
      </c>
      <c r="E937">
        <v>115</v>
      </c>
      <c r="F937" s="18"/>
      <c r="H937" t="str">
        <f>IF(B937=$H$1,COUNT($H$2:H938)+1," ")</f>
        <v xml:space="preserve"> </v>
      </c>
      <c r="L937">
        <v>936</v>
      </c>
      <c r="M937">
        <v>44</v>
      </c>
      <c r="N937">
        <v>51</v>
      </c>
      <c r="O937" s="18" t="s">
        <v>1158</v>
      </c>
      <c r="P937">
        <f t="shared" si="42"/>
        <v>95</v>
      </c>
      <c r="Q937" t="str">
        <f>INDEX(Elemek!$B$2:$B$113,MATCH(M937,Elemek!$C$2:$C$113,0))</f>
        <v>Ru</v>
      </c>
      <c r="R937" t="str">
        <f t="shared" si="43"/>
        <v>8.949749</v>
      </c>
      <c r="S937" t="str">
        <f t="shared" si="44"/>
        <v>8.949749</v>
      </c>
    </row>
    <row r="938" spans="1:19" x14ac:dyDescent="0.25">
      <c r="A938">
        <v>732</v>
      </c>
      <c r="B938" t="s">
        <v>80</v>
      </c>
      <c r="C938">
        <v>150</v>
      </c>
      <c r="D938">
        <v>63</v>
      </c>
      <c r="E938">
        <v>87</v>
      </c>
      <c r="F938" s="18"/>
      <c r="H938" t="str">
        <f>IF(B938=$H$1,COUNT($H$2:H939)+1," ")</f>
        <v xml:space="preserve"> </v>
      </c>
      <c r="L938">
        <v>937</v>
      </c>
      <c r="M938">
        <v>95</v>
      </c>
      <c r="N938">
        <v>143</v>
      </c>
      <c r="O938" s="18" t="s">
        <v>1159</v>
      </c>
      <c r="P938">
        <f t="shared" si="42"/>
        <v>238</v>
      </c>
      <c r="Q938" t="str">
        <f>INDEX(Elemek!$B$2:$B$113,MATCH(M938,Elemek!$C$2:$C$113,0))</f>
        <v>Am</v>
      </c>
      <c r="R938" t="str">
        <f t="shared" si="43"/>
        <v>7.867882</v>
      </c>
      <c r="S938" t="str">
        <f t="shared" si="44"/>
        <v>7.867882</v>
      </c>
    </row>
    <row r="939" spans="1:19" x14ac:dyDescent="0.25">
      <c r="A939">
        <v>734</v>
      </c>
      <c r="B939" t="s">
        <v>240</v>
      </c>
      <c r="C939">
        <v>182</v>
      </c>
      <c r="D939">
        <v>75</v>
      </c>
      <c r="E939">
        <v>107</v>
      </c>
      <c r="F939" s="18"/>
      <c r="H939" t="str">
        <f>IF(B939=$H$1,COUNT($H$2:H940)+1," ")</f>
        <v xml:space="preserve"> </v>
      </c>
      <c r="L939">
        <v>938</v>
      </c>
      <c r="M939">
        <v>85</v>
      </c>
      <c r="N939">
        <v>123</v>
      </c>
      <c r="O939" s="18" t="s">
        <v>1160</v>
      </c>
      <c r="P939">
        <f t="shared" si="42"/>
        <v>208</v>
      </c>
      <c r="Q939" t="str">
        <f>INDEX(Elemek!$B$2:$B$113,MATCH(M939,Elemek!$C$2:$C$113,0))</f>
        <v>At</v>
      </c>
      <c r="R939" t="str">
        <f t="shared" si="43"/>
        <v>8.131376</v>
      </c>
      <c r="S939" t="str">
        <f t="shared" si="44"/>
        <v>8.131376</v>
      </c>
    </row>
    <row r="940" spans="1:19" x14ac:dyDescent="0.25">
      <c r="A940">
        <v>746</v>
      </c>
      <c r="B940" t="s">
        <v>115</v>
      </c>
      <c r="C940">
        <v>195</v>
      </c>
      <c r="D940">
        <v>80</v>
      </c>
      <c r="E940">
        <v>115</v>
      </c>
      <c r="F940" s="18"/>
      <c r="H940" t="str">
        <f>IF(B940=$H$1,COUNT($H$2:H941)+1," ")</f>
        <v xml:space="preserve"> </v>
      </c>
      <c r="L940">
        <v>939</v>
      </c>
      <c r="M940">
        <v>58</v>
      </c>
      <c r="N940">
        <v>75</v>
      </c>
      <c r="O940" s="18"/>
      <c r="P940">
        <f t="shared" si="42"/>
        <v>133</v>
      </c>
      <c r="Q940" t="str">
        <f>INDEX(Elemek!$B$2:$B$113,MATCH(M940,Elemek!$C$2:$C$113,0))</f>
        <v>Ce</v>
      </c>
      <c r="R940" t="e">
        <f t="shared" si="43"/>
        <v>#DIV/0!</v>
      </c>
      <c r="S940" t="e">
        <f t="shared" si="44"/>
        <v>#DIV/0!</v>
      </c>
    </row>
    <row r="941" spans="1:19" x14ac:dyDescent="0.25">
      <c r="A941">
        <v>753</v>
      </c>
      <c r="B941" t="s">
        <v>162</v>
      </c>
      <c r="C941">
        <v>266</v>
      </c>
      <c r="D941">
        <v>103</v>
      </c>
      <c r="E941">
        <v>163</v>
      </c>
      <c r="F941" s="18"/>
      <c r="H941" t="str">
        <f>IF(B941=$H$1,COUNT($H$2:H942)+1," ")</f>
        <v xml:space="preserve"> </v>
      </c>
      <c r="L941">
        <v>940</v>
      </c>
      <c r="M941">
        <v>35</v>
      </c>
      <c r="N941">
        <v>40</v>
      </c>
      <c r="O941" s="18" t="s">
        <v>1161</v>
      </c>
      <c r="P941">
        <f t="shared" si="42"/>
        <v>75</v>
      </c>
      <c r="Q941" t="str">
        <f>INDEX(Elemek!$B$2:$B$113,MATCH(M941,Elemek!$C$2:$C$113,0))</f>
        <v>Br</v>
      </c>
      <c r="R941" t="str">
        <f t="shared" si="43"/>
        <v>8.993181</v>
      </c>
      <c r="S941" t="str">
        <f t="shared" si="44"/>
        <v>8.993181</v>
      </c>
    </row>
    <row r="942" spans="1:19" x14ac:dyDescent="0.25">
      <c r="A942">
        <v>754</v>
      </c>
      <c r="B942" t="s">
        <v>282</v>
      </c>
      <c r="C942">
        <v>154</v>
      </c>
      <c r="D942">
        <v>65</v>
      </c>
      <c r="E942">
        <v>89</v>
      </c>
      <c r="F942" s="18"/>
      <c r="H942" t="str">
        <f>IF(B942=$H$1,COUNT($H$2:H943)+1," ")</f>
        <v xml:space="preserve"> </v>
      </c>
      <c r="L942">
        <v>941</v>
      </c>
      <c r="M942">
        <v>63</v>
      </c>
      <c r="N942">
        <v>89</v>
      </c>
      <c r="O942" s="18"/>
      <c r="P942">
        <f t="shared" si="42"/>
        <v>152</v>
      </c>
      <c r="Q942" t="str">
        <f>INDEX(Elemek!$B$2:$B$113,MATCH(M942,Elemek!$C$2:$C$113,0))</f>
        <v>Eu</v>
      </c>
      <c r="R942" t="e">
        <f t="shared" si="43"/>
        <v>#DIV/0!</v>
      </c>
      <c r="S942" t="e">
        <f t="shared" si="44"/>
        <v>#DIV/0!</v>
      </c>
    </row>
    <row r="943" spans="1:19" x14ac:dyDescent="0.25">
      <c r="A943">
        <v>755</v>
      </c>
      <c r="B943" t="s">
        <v>212</v>
      </c>
      <c r="C943">
        <v>183</v>
      </c>
      <c r="D943">
        <v>76</v>
      </c>
      <c r="E943">
        <v>107</v>
      </c>
      <c r="F943" s="18"/>
      <c r="H943" t="str">
        <f>IF(B943=$H$1,COUNT($H$2:H944)+1," ")</f>
        <v xml:space="preserve"> </v>
      </c>
      <c r="L943">
        <v>942</v>
      </c>
      <c r="M943">
        <v>101</v>
      </c>
      <c r="N943">
        <v>158</v>
      </c>
      <c r="O943" s="18" t="s">
        <v>1162</v>
      </c>
      <c r="P943">
        <f t="shared" si="42"/>
        <v>259</v>
      </c>
      <c r="Q943" t="str">
        <f>INDEX(Elemek!$B$2:$B$113,MATCH(M943,Elemek!$C$2:$C$113,0))</f>
        <v>Md</v>
      </c>
      <c r="R943" t="str">
        <f t="shared" si="43"/>
        <v>7.70986</v>
      </c>
      <c r="S943" t="str">
        <f t="shared" si="44"/>
        <v>7.70986</v>
      </c>
    </row>
    <row r="944" spans="1:19" x14ac:dyDescent="0.25">
      <c r="A944">
        <v>758</v>
      </c>
      <c r="B944" t="s">
        <v>24</v>
      </c>
      <c r="C944">
        <v>196</v>
      </c>
      <c r="D944">
        <v>79</v>
      </c>
      <c r="E944">
        <v>117</v>
      </c>
      <c r="F944" s="18"/>
      <c r="H944" t="str">
        <f>IF(B944=$H$1,COUNT($H$2:H945)+1," ")</f>
        <v xml:space="preserve"> </v>
      </c>
      <c r="L944">
        <v>943</v>
      </c>
      <c r="M944">
        <v>78</v>
      </c>
      <c r="N944">
        <v>119</v>
      </c>
      <c r="O944" s="18"/>
      <c r="P944">
        <f t="shared" si="42"/>
        <v>197</v>
      </c>
      <c r="Q944" t="str">
        <f>INDEX(Elemek!$B$2:$B$113,MATCH(M944,Elemek!$C$2:$C$113,0))</f>
        <v>Pt</v>
      </c>
      <c r="R944" t="e">
        <f t="shared" si="43"/>
        <v>#DIV/0!</v>
      </c>
      <c r="S944" t="e">
        <f t="shared" si="44"/>
        <v>#DIV/0!</v>
      </c>
    </row>
    <row r="945" spans="1:19" x14ac:dyDescent="0.25">
      <c r="A945">
        <v>761</v>
      </c>
      <c r="B945" t="s">
        <v>279</v>
      </c>
      <c r="C945">
        <v>127</v>
      </c>
      <c r="D945">
        <v>52</v>
      </c>
      <c r="E945">
        <v>75</v>
      </c>
      <c r="F945" s="18"/>
      <c r="H945" t="str">
        <f>IF(B945=$H$1,COUNT($H$2:H946)+1," ")</f>
        <v xml:space="preserve"> </v>
      </c>
      <c r="L945">
        <v>944</v>
      </c>
      <c r="M945">
        <v>88</v>
      </c>
      <c r="N945">
        <v>142</v>
      </c>
      <c r="O945" s="18" t="s">
        <v>1163</v>
      </c>
      <c r="P945">
        <f t="shared" si="42"/>
        <v>230</v>
      </c>
      <c r="Q945" t="str">
        <f>INDEX(Elemek!$B$2:$B$113,MATCH(M945,Elemek!$C$2:$C$113,0))</f>
        <v>Ra</v>
      </c>
      <c r="R945" t="str">
        <f t="shared" si="43"/>
        <v>7.921249</v>
      </c>
      <c r="S945" t="str">
        <f t="shared" si="44"/>
        <v>7.921249</v>
      </c>
    </row>
    <row r="946" spans="1:19" x14ac:dyDescent="0.25">
      <c r="A946">
        <v>763</v>
      </c>
      <c r="B946" t="s">
        <v>80</v>
      </c>
      <c r="C946">
        <v>152</v>
      </c>
      <c r="D946">
        <v>63</v>
      </c>
      <c r="E946">
        <v>89</v>
      </c>
      <c r="F946" s="18"/>
      <c r="H946" t="str">
        <f>IF(B946=$H$1,COUNT($H$2:H947)+1," ")</f>
        <v xml:space="preserve"> </v>
      </c>
      <c r="L946">
        <v>945</v>
      </c>
      <c r="M946">
        <v>57</v>
      </c>
      <c r="N946">
        <v>85</v>
      </c>
      <c r="O946" s="18" t="s">
        <v>1164</v>
      </c>
      <c r="P946">
        <f t="shared" si="42"/>
        <v>142</v>
      </c>
      <c r="Q946" t="str">
        <f>INDEX(Elemek!$B$2:$B$113,MATCH(M946,Elemek!$C$2:$C$113,0))</f>
        <v>La</v>
      </c>
      <c r="R946" t="str">
        <f t="shared" si="43"/>
        <v>8.634954</v>
      </c>
      <c r="S946" t="str">
        <f t="shared" si="44"/>
        <v>8.634954</v>
      </c>
    </row>
    <row r="947" spans="1:19" x14ac:dyDescent="0.25">
      <c r="A947">
        <v>766</v>
      </c>
      <c r="B947" t="s">
        <v>148</v>
      </c>
      <c r="C947">
        <v>58</v>
      </c>
      <c r="D947">
        <v>27</v>
      </c>
      <c r="E947">
        <v>31</v>
      </c>
      <c r="F947" s="18"/>
      <c r="H947" t="str">
        <f>IF(B947=$H$1,COUNT($H$2:H948)+1," ")</f>
        <v xml:space="preserve"> </v>
      </c>
      <c r="L947">
        <v>946</v>
      </c>
      <c r="M947">
        <v>33</v>
      </c>
      <c r="N947">
        <v>45</v>
      </c>
      <c r="O947" s="18" t="s">
        <v>1165</v>
      </c>
      <c r="P947">
        <f t="shared" si="42"/>
        <v>78</v>
      </c>
      <c r="Q947" t="str">
        <f>INDEX(Elemek!$B$2:$B$113,MATCH(M947,Elemek!$C$2:$C$113,0))</f>
        <v>As</v>
      </c>
      <c r="R947" t="str">
        <f t="shared" si="43"/>
        <v>9.004879</v>
      </c>
      <c r="S947" t="str">
        <f t="shared" si="44"/>
        <v>9.004879</v>
      </c>
    </row>
    <row r="948" spans="1:19" x14ac:dyDescent="0.25">
      <c r="A948">
        <v>768</v>
      </c>
      <c r="B948" t="s">
        <v>57</v>
      </c>
      <c r="C948">
        <v>137</v>
      </c>
      <c r="D948">
        <v>58</v>
      </c>
      <c r="E948">
        <v>79</v>
      </c>
      <c r="F948" s="18"/>
      <c r="H948" t="str">
        <f>IF(B948=$H$1,COUNT($H$2:H949)+1," ")</f>
        <v xml:space="preserve"> </v>
      </c>
      <c r="L948">
        <v>947</v>
      </c>
      <c r="M948">
        <v>82</v>
      </c>
      <c r="N948">
        <v>117</v>
      </c>
      <c r="O948" s="18" t="s">
        <v>1166</v>
      </c>
      <c r="P948">
        <f t="shared" si="42"/>
        <v>199</v>
      </c>
      <c r="Q948" t="str">
        <f>INDEX(Elemek!$B$2:$B$113,MATCH(M948,Elemek!$C$2:$C$113,0))</f>
        <v>Pb</v>
      </c>
      <c r="R948" t="str">
        <f t="shared" si="43"/>
        <v>8.198111</v>
      </c>
      <c r="S948" t="str">
        <f t="shared" si="44"/>
        <v>8.198111</v>
      </c>
    </row>
    <row r="949" spans="1:19" x14ac:dyDescent="0.25">
      <c r="A949">
        <v>775</v>
      </c>
      <c r="B949" t="s">
        <v>273</v>
      </c>
      <c r="C949">
        <v>180</v>
      </c>
      <c r="D949">
        <v>73</v>
      </c>
      <c r="E949">
        <v>107</v>
      </c>
      <c r="F949" s="18"/>
      <c r="H949" t="str">
        <f>IF(B949=$H$1,COUNT($H$2:H950)+1," ")</f>
        <v xml:space="preserve"> </v>
      </c>
      <c r="L949">
        <v>948</v>
      </c>
      <c r="M949">
        <v>32</v>
      </c>
      <c r="N949">
        <v>46</v>
      </c>
      <c r="O949" s="18" t="s">
        <v>1167</v>
      </c>
      <c r="P949">
        <f t="shared" si="42"/>
        <v>78</v>
      </c>
      <c r="Q949" t="str">
        <f>INDEX(Elemek!$B$2:$B$113,MATCH(M949,Elemek!$C$2:$C$113,0))</f>
        <v>Ge</v>
      </c>
      <c r="R949" t="str">
        <f t="shared" si="43"/>
        <v>8.992635</v>
      </c>
      <c r="S949" t="str">
        <f t="shared" si="44"/>
        <v>8.992635</v>
      </c>
    </row>
    <row r="950" spans="1:19" x14ac:dyDescent="0.25">
      <c r="A950">
        <v>785</v>
      </c>
      <c r="B950" t="s">
        <v>182</v>
      </c>
      <c r="C950">
        <v>93</v>
      </c>
      <c r="D950">
        <v>42</v>
      </c>
      <c r="E950">
        <v>51</v>
      </c>
      <c r="F950" s="18"/>
      <c r="H950" t="str">
        <f>IF(B950=$H$1,COUNT($H$2:H951)+1," ")</f>
        <v xml:space="preserve"> </v>
      </c>
      <c r="L950">
        <v>949</v>
      </c>
      <c r="M950">
        <v>98</v>
      </c>
      <c r="N950">
        <v>157</v>
      </c>
      <c r="O950" s="18" t="s">
        <v>1168</v>
      </c>
      <c r="P950">
        <f t="shared" si="42"/>
        <v>255</v>
      </c>
      <c r="Q950" t="str">
        <f>INDEX(Elemek!$B$2:$B$113,MATCH(M950,Elemek!$C$2:$C$113,0))</f>
        <v>Cf</v>
      </c>
      <c r="R950" t="str">
        <f t="shared" si="43"/>
        <v>7.738739</v>
      </c>
      <c r="S950" t="str">
        <f t="shared" si="44"/>
        <v>7.738739</v>
      </c>
    </row>
    <row r="951" spans="1:19" x14ac:dyDescent="0.25">
      <c r="A951">
        <v>793</v>
      </c>
      <c r="B951" t="s">
        <v>276</v>
      </c>
      <c r="C951">
        <v>99</v>
      </c>
      <c r="D951">
        <v>43</v>
      </c>
      <c r="E951">
        <v>56</v>
      </c>
      <c r="F951" s="18"/>
      <c r="H951" t="str">
        <f>IF(B951=$H$1,COUNT($H$2:H952)+1," ")</f>
        <v xml:space="preserve"> </v>
      </c>
      <c r="L951">
        <v>950</v>
      </c>
      <c r="M951">
        <v>81</v>
      </c>
      <c r="N951">
        <v>115</v>
      </c>
      <c r="O951" s="18"/>
      <c r="P951">
        <f t="shared" si="42"/>
        <v>196</v>
      </c>
      <c r="Q951" t="str">
        <f>INDEX(Elemek!$B$2:$B$113,MATCH(M951,Elemek!$C$2:$C$113,0))</f>
        <v>Tl</v>
      </c>
      <c r="R951" t="e">
        <f t="shared" si="43"/>
        <v>#DIV/0!</v>
      </c>
      <c r="S951" t="e">
        <f t="shared" si="44"/>
        <v>#DIV/0!</v>
      </c>
    </row>
    <row r="952" spans="1:19" x14ac:dyDescent="0.25">
      <c r="A952">
        <v>795</v>
      </c>
      <c r="B952" t="s">
        <v>212</v>
      </c>
      <c r="C952">
        <v>189</v>
      </c>
      <c r="D952">
        <v>76</v>
      </c>
      <c r="E952">
        <v>113</v>
      </c>
      <c r="F952" s="18"/>
      <c r="H952" t="str">
        <f>IF(B952=$H$1,COUNT($H$2:H953)+1," ")</f>
        <v xml:space="preserve"> </v>
      </c>
      <c r="L952">
        <v>951</v>
      </c>
      <c r="M952">
        <v>77</v>
      </c>
      <c r="N952">
        <v>119</v>
      </c>
      <c r="O952" s="18" t="s">
        <v>1169</v>
      </c>
      <c r="P952">
        <f t="shared" si="42"/>
        <v>196</v>
      </c>
      <c r="Q952" t="str">
        <f>INDEX(Elemek!$B$2:$B$113,MATCH(M952,Elemek!$C$2:$C$113,0))</f>
        <v>Ir</v>
      </c>
      <c r="R952" t="str">
        <f t="shared" si="43"/>
        <v>8.21944</v>
      </c>
      <c r="S952" t="str">
        <f t="shared" si="44"/>
        <v>8.21944</v>
      </c>
    </row>
    <row r="953" spans="1:19" x14ac:dyDescent="0.25">
      <c r="A953">
        <v>801</v>
      </c>
      <c r="B953" t="s">
        <v>104</v>
      </c>
      <c r="C953">
        <v>180</v>
      </c>
      <c r="D953">
        <v>72</v>
      </c>
      <c r="E953">
        <v>108</v>
      </c>
      <c r="F953" s="18"/>
      <c r="H953" t="str">
        <f>IF(B953=$H$1,COUNT($H$2:H954)+1," ")</f>
        <v xml:space="preserve"> </v>
      </c>
      <c r="L953">
        <v>952</v>
      </c>
      <c r="M953">
        <v>53</v>
      </c>
      <c r="N953">
        <v>79</v>
      </c>
      <c r="O953" s="18"/>
      <c r="P953">
        <f t="shared" si="42"/>
        <v>132</v>
      </c>
      <c r="Q953" t="str">
        <f>INDEX(Elemek!$B$2:$B$113,MATCH(M953,Elemek!$C$2:$C$113,0))</f>
        <v>I</v>
      </c>
      <c r="R953" t="e">
        <f t="shared" si="43"/>
        <v>#DIV/0!</v>
      </c>
      <c r="S953" t="e">
        <f t="shared" si="44"/>
        <v>#DIV/0!</v>
      </c>
    </row>
    <row r="954" spans="1:19" x14ac:dyDescent="0.25">
      <c r="A954">
        <v>804</v>
      </c>
      <c r="B954" t="s">
        <v>282</v>
      </c>
      <c r="C954">
        <v>156</v>
      </c>
      <c r="D954">
        <v>65</v>
      </c>
      <c r="E954">
        <v>91</v>
      </c>
      <c r="F954" s="18"/>
      <c r="H954" t="str">
        <f>IF(B954=$H$1,COUNT($H$2:H955)+1," ")</f>
        <v xml:space="preserve"> </v>
      </c>
      <c r="L954">
        <v>953</v>
      </c>
      <c r="M954">
        <v>56</v>
      </c>
      <c r="N954">
        <v>83</v>
      </c>
      <c r="O954" s="18" t="s">
        <v>1170</v>
      </c>
      <c r="P954">
        <f t="shared" si="42"/>
        <v>139</v>
      </c>
      <c r="Q954" t="str">
        <f>INDEX(Elemek!$B$2:$B$113,MATCH(M954,Elemek!$C$2:$C$113,0))</f>
        <v>Ba</v>
      </c>
      <c r="R954" t="str">
        <f t="shared" si="43"/>
        <v>8.682217</v>
      </c>
      <c r="S954" t="str">
        <f t="shared" si="44"/>
        <v>8.682217</v>
      </c>
    </row>
    <row r="955" spans="1:19" x14ac:dyDescent="0.25">
      <c r="A955">
        <v>819</v>
      </c>
      <c r="B955" t="s">
        <v>245</v>
      </c>
      <c r="C955">
        <v>99</v>
      </c>
      <c r="D955">
        <v>45</v>
      </c>
      <c r="E955">
        <v>54</v>
      </c>
      <c r="F955" s="18"/>
      <c r="H955" t="str">
        <f>IF(B955=$H$1,COUNT($H$2:H956)+1," ")</f>
        <v xml:space="preserve"> </v>
      </c>
      <c r="L955">
        <v>954</v>
      </c>
      <c r="M955">
        <v>32</v>
      </c>
      <c r="N955">
        <v>43</v>
      </c>
      <c r="O955" s="18" t="s">
        <v>1171</v>
      </c>
      <c r="P955">
        <f t="shared" si="42"/>
        <v>75</v>
      </c>
      <c r="Q955" t="str">
        <f>INDEX(Elemek!$B$2:$B$113,MATCH(M955,Elemek!$C$2:$C$113,0))</f>
        <v>Ge</v>
      </c>
      <c r="R955" t="str">
        <f t="shared" si="43"/>
        <v>9.029413</v>
      </c>
      <c r="S955" t="str">
        <f t="shared" si="44"/>
        <v>9.029413</v>
      </c>
    </row>
    <row r="956" spans="1:19" x14ac:dyDescent="0.25">
      <c r="A956">
        <v>824</v>
      </c>
      <c r="B956" t="s">
        <v>120</v>
      </c>
      <c r="C956">
        <v>115</v>
      </c>
      <c r="D956">
        <v>49</v>
      </c>
      <c r="E956">
        <v>66</v>
      </c>
      <c r="F956" s="18"/>
      <c r="H956" t="str">
        <f>IF(B956=$H$1,COUNT($H$2:H957)+1," ")</f>
        <v xml:space="preserve"> </v>
      </c>
      <c r="L956">
        <v>955</v>
      </c>
      <c r="M956">
        <v>53</v>
      </c>
      <c r="N956">
        <v>67</v>
      </c>
      <c r="O956" s="18" t="s">
        <v>1172</v>
      </c>
      <c r="P956">
        <f t="shared" si="42"/>
        <v>120</v>
      </c>
      <c r="Q956" t="str">
        <f>INDEX(Elemek!$B$2:$B$113,MATCH(M956,Elemek!$C$2:$C$113,0))</f>
        <v>I</v>
      </c>
      <c r="R956" t="str">
        <f t="shared" si="43"/>
        <v>8.769577</v>
      </c>
      <c r="S956" t="str">
        <f t="shared" si="44"/>
        <v>8.769577</v>
      </c>
    </row>
    <row r="957" spans="1:19" x14ac:dyDescent="0.25">
      <c r="A957">
        <v>825</v>
      </c>
      <c r="B957" t="s">
        <v>152</v>
      </c>
      <c r="C957">
        <v>85</v>
      </c>
      <c r="D957">
        <v>36</v>
      </c>
      <c r="E957">
        <v>49</v>
      </c>
      <c r="F957" s="18"/>
      <c r="H957" t="str">
        <f>IF(B957=$H$1,COUNT($H$2:H958)+1," ")</f>
        <v xml:space="preserve"> </v>
      </c>
      <c r="L957">
        <v>956</v>
      </c>
      <c r="M957">
        <v>105</v>
      </c>
      <c r="N957">
        <v>161</v>
      </c>
      <c r="O957" s="18"/>
      <c r="P957">
        <f t="shared" si="42"/>
        <v>266</v>
      </c>
      <c r="Q957" t="str">
        <f>INDEX(Elemek!$B$2:$B$113,MATCH(M957,Elemek!$C$2:$C$113,0))</f>
        <v>Db</v>
      </c>
      <c r="R957" t="e">
        <f t="shared" si="43"/>
        <v>#DIV/0!</v>
      </c>
      <c r="S957" t="e">
        <f t="shared" si="44"/>
        <v>#DIV/0!</v>
      </c>
    </row>
    <row r="958" spans="1:19" x14ac:dyDescent="0.25">
      <c r="A958">
        <v>835</v>
      </c>
      <c r="B958" t="s">
        <v>267</v>
      </c>
      <c r="C958">
        <v>44</v>
      </c>
      <c r="D958">
        <v>21</v>
      </c>
      <c r="E958">
        <v>23</v>
      </c>
      <c r="F958" s="18"/>
      <c r="H958" t="str">
        <f>IF(B958=$H$1,COUNT($H$2:H959)+1," ")</f>
        <v xml:space="preserve"> </v>
      </c>
      <c r="L958">
        <v>957</v>
      </c>
      <c r="M958">
        <v>101</v>
      </c>
      <c r="N958">
        <v>155</v>
      </c>
      <c r="O958" s="18" t="s">
        <v>1173</v>
      </c>
      <c r="P958">
        <f t="shared" si="42"/>
        <v>256</v>
      </c>
      <c r="Q958" t="str">
        <f>INDEX(Elemek!$B$2:$B$113,MATCH(M958,Elemek!$C$2:$C$113,0))</f>
        <v>Md</v>
      </c>
      <c r="R958" t="str">
        <f t="shared" si="43"/>
        <v>7.729062</v>
      </c>
      <c r="S958" t="str">
        <f t="shared" si="44"/>
        <v>7.729062</v>
      </c>
    </row>
    <row r="959" spans="1:19" x14ac:dyDescent="0.25">
      <c r="A959">
        <v>841</v>
      </c>
      <c r="B959" t="s">
        <v>115</v>
      </c>
      <c r="C959">
        <v>193</v>
      </c>
      <c r="D959">
        <v>80</v>
      </c>
      <c r="E959">
        <v>113</v>
      </c>
      <c r="F959" s="18"/>
      <c r="H959" t="str">
        <f>IF(B959=$H$1,COUNT($H$2:H960)+1," ")</f>
        <v xml:space="preserve"> </v>
      </c>
      <c r="L959">
        <v>958</v>
      </c>
      <c r="M959">
        <v>59</v>
      </c>
      <c r="N959">
        <v>78</v>
      </c>
      <c r="O959" s="18" t="s">
        <v>1174</v>
      </c>
      <c r="P959">
        <f t="shared" si="42"/>
        <v>137</v>
      </c>
      <c r="Q959" t="str">
        <f>INDEX(Elemek!$B$2:$B$113,MATCH(M959,Elemek!$C$2:$C$113,0))</f>
        <v>Pr</v>
      </c>
      <c r="R959" t="str">
        <f t="shared" si="43"/>
        <v>8.678459</v>
      </c>
      <c r="S959" t="str">
        <f t="shared" si="44"/>
        <v>8.678459</v>
      </c>
    </row>
    <row r="960" spans="1:19" x14ac:dyDescent="0.25">
      <c r="A960">
        <v>842</v>
      </c>
      <c r="B960" t="s">
        <v>167</v>
      </c>
      <c r="C960">
        <v>176</v>
      </c>
      <c r="D960">
        <v>71</v>
      </c>
      <c r="E960">
        <v>105</v>
      </c>
      <c r="F960" s="18"/>
      <c r="H960" t="str">
        <f>IF(B960=$H$1,COUNT($H$2:H961)+1," ")</f>
        <v xml:space="preserve"> </v>
      </c>
      <c r="L960">
        <v>959</v>
      </c>
      <c r="M960">
        <v>36</v>
      </c>
      <c r="N960">
        <v>51</v>
      </c>
      <c r="O960" s="18" t="s">
        <v>1175</v>
      </c>
      <c r="P960">
        <f t="shared" si="42"/>
        <v>87</v>
      </c>
      <c r="Q960" t="str">
        <f>INDEX(Elemek!$B$2:$B$113,MATCH(M960,Elemek!$C$2:$C$113,0))</f>
        <v>Kr</v>
      </c>
      <c r="R960" t="str">
        <f t="shared" si="43"/>
        <v>8.999022</v>
      </c>
      <c r="S960" t="str">
        <f t="shared" si="44"/>
        <v>8.999022</v>
      </c>
    </row>
    <row r="961" spans="1:19" x14ac:dyDescent="0.25">
      <c r="A961">
        <v>844</v>
      </c>
      <c r="B961" t="s">
        <v>205</v>
      </c>
      <c r="C961">
        <v>202</v>
      </c>
      <c r="D961">
        <v>82</v>
      </c>
      <c r="E961">
        <v>120</v>
      </c>
      <c r="F961" s="18"/>
      <c r="H961" t="str">
        <f>IF(B961=$H$1,COUNT($H$2:H962)+1," ")</f>
        <v xml:space="preserve"> </v>
      </c>
      <c r="L961">
        <v>960</v>
      </c>
      <c r="M961">
        <v>70</v>
      </c>
      <c r="N961">
        <v>94</v>
      </c>
      <c r="O961" s="18" t="s">
        <v>1176</v>
      </c>
      <c r="P961">
        <f t="shared" si="42"/>
        <v>164</v>
      </c>
      <c r="Q961" t="str">
        <f>INDEX(Elemek!$B$2:$B$113,MATCH(M961,Elemek!$C$2:$C$113,0))</f>
        <v>Yb</v>
      </c>
      <c r="R961" t="str">
        <f t="shared" si="43"/>
        <v>8.443419</v>
      </c>
      <c r="S961" t="str">
        <f t="shared" si="44"/>
        <v>8.443419</v>
      </c>
    </row>
    <row r="962" spans="1:19" x14ac:dyDescent="0.25">
      <c r="A962">
        <v>856</v>
      </c>
      <c r="B962" t="s">
        <v>128</v>
      </c>
      <c r="C962">
        <v>90</v>
      </c>
      <c r="D962">
        <v>39</v>
      </c>
      <c r="E962">
        <v>51</v>
      </c>
      <c r="F962" s="18"/>
      <c r="H962" t="str">
        <f>IF(B962=$H$1,COUNT($H$2:H963)+1," ")</f>
        <v xml:space="preserve"> </v>
      </c>
      <c r="L962">
        <v>961</v>
      </c>
      <c r="M962">
        <v>68</v>
      </c>
      <c r="N962">
        <v>95</v>
      </c>
      <c r="O962" s="18" t="s">
        <v>1177</v>
      </c>
      <c r="P962">
        <f t="shared" si="42"/>
        <v>163</v>
      </c>
      <c r="Q962" t="str">
        <f>INDEX(Elemek!$B$2:$B$113,MATCH(M962,Elemek!$C$2:$C$113,0))</f>
        <v>Er</v>
      </c>
      <c r="R962" t="str">
        <f t="shared" si="43"/>
        <v>8.471168</v>
      </c>
      <c r="S962" t="str">
        <f t="shared" si="44"/>
        <v>8.471168</v>
      </c>
    </row>
    <row r="963" spans="1:19" x14ac:dyDescent="0.25">
      <c r="A963">
        <v>862</v>
      </c>
      <c r="B963" t="s">
        <v>123</v>
      </c>
      <c r="C963">
        <v>190</v>
      </c>
      <c r="D963">
        <v>77</v>
      </c>
      <c r="E963">
        <v>113</v>
      </c>
      <c r="F963" s="18"/>
      <c r="H963" t="str">
        <f>IF(B963=$H$1,COUNT($H$2:H964)+1," ")</f>
        <v xml:space="preserve"> </v>
      </c>
      <c r="L963">
        <v>962</v>
      </c>
      <c r="M963">
        <v>36</v>
      </c>
      <c r="N963">
        <v>41</v>
      </c>
      <c r="O963" s="18" t="s">
        <v>1178</v>
      </c>
      <c r="P963">
        <f t="shared" ref="P963:P990" si="45">N963+M963</f>
        <v>77</v>
      </c>
      <c r="Q963" t="str">
        <f>INDEX(Elemek!$B$2:$B$113,MATCH(M963,Elemek!$C$2:$C$113,0))</f>
        <v>Kr</v>
      </c>
      <c r="R963" t="str">
        <f t="shared" ref="R963:R990" si="46">IF(NOT(ISBLANK(O963)),O963,ROUNDDOWN(AVERAGE($O$2:$O$990),2))</f>
        <v>8.982618</v>
      </c>
      <c r="S963" t="str">
        <f t="shared" ref="S963:S990" si="47">IF(ISBLANK(O963),ROUNDDOWN(AVERAGEIF($M$2:$M$990,M963,$O$2:$O$990),2),O963)</f>
        <v>8.982618</v>
      </c>
    </row>
    <row r="964" spans="1:19" x14ac:dyDescent="0.25">
      <c r="A964">
        <v>865</v>
      </c>
      <c r="B964" t="s">
        <v>162</v>
      </c>
      <c r="C964">
        <v>264</v>
      </c>
      <c r="D964">
        <v>103</v>
      </c>
      <c r="E964">
        <v>161</v>
      </c>
      <c r="F964" s="18"/>
      <c r="H964" t="str">
        <f>IF(B964=$H$1,COUNT($H$2:H965)+1," ")</f>
        <v xml:space="preserve"> </v>
      </c>
      <c r="L964">
        <v>963</v>
      </c>
      <c r="M964">
        <v>70</v>
      </c>
      <c r="N964">
        <v>108</v>
      </c>
      <c r="O964" s="18" t="s">
        <v>1179</v>
      </c>
      <c r="P964">
        <f t="shared" si="45"/>
        <v>178</v>
      </c>
      <c r="Q964" t="str">
        <f>INDEX(Elemek!$B$2:$B$113,MATCH(M964,Elemek!$C$2:$C$113,0))</f>
        <v>Yb</v>
      </c>
      <c r="R964" t="str">
        <f t="shared" si="46"/>
        <v>8.35053</v>
      </c>
      <c r="S964" t="str">
        <f t="shared" si="47"/>
        <v>8.35053</v>
      </c>
    </row>
    <row r="965" spans="1:19" x14ac:dyDescent="0.25">
      <c r="A965">
        <v>866</v>
      </c>
      <c r="B965" t="s">
        <v>258</v>
      </c>
      <c r="C965">
        <v>134</v>
      </c>
      <c r="D965">
        <v>62</v>
      </c>
      <c r="E965">
        <v>72</v>
      </c>
      <c r="F965" s="18"/>
      <c r="H965" t="str">
        <f>IF(B965=$H$1,COUNT($H$2:H966)+1," ")</f>
        <v xml:space="preserve"> </v>
      </c>
      <c r="L965">
        <v>964</v>
      </c>
      <c r="M965">
        <v>95</v>
      </c>
      <c r="N965">
        <v>142</v>
      </c>
      <c r="O965" s="18" t="s">
        <v>1180</v>
      </c>
      <c r="P965">
        <f t="shared" si="45"/>
        <v>237</v>
      </c>
      <c r="Q965" t="str">
        <f>INDEX(Elemek!$B$2:$B$113,MATCH(M965,Elemek!$C$2:$C$113,0))</f>
        <v>Am</v>
      </c>
      <c r="R965" t="str">
        <f t="shared" si="46"/>
        <v>7.87483</v>
      </c>
      <c r="S965" t="str">
        <f t="shared" si="47"/>
        <v>7.87483</v>
      </c>
    </row>
    <row r="966" spans="1:19" x14ac:dyDescent="0.25">
      <c r="A966">
        <v>871</v>
      </c>
      <c r="B966" t="s">
        <v>256</v>
      </c>
      <c r="C966">
        <v>87</v>
      </c>
      <c r="D966">
        <v>38</v>
      </c>
      <c r="E966">
        <v>49</v>
      </c>
      <c r="F966" s="18"/>
      <c r="H966" t="str">
        <f>IF(B966=$H$1,COUNT($H$2:H967)+1," ")</f>
        <v xml:space="preserve"> </v>
      </c>
      <c r="L966">
        <v>965</v>
      </c>
      <c r="M966">
        <v>62</v>
      </c>
      <c r="N966">
        <v>80</v>
      </c>
      <c r="O966" s="18" t="s">
        <v>1181</v>
      </c>
      <c r="P966">
        <f t="shared" si="45"/>
        <v>142</v>
      </c>
      <c r="Q966" t="str">
        <f>INDEX(Elemek!$B$2:$B$113,MATCH(M966,Elemek!$C$2:$C$113,0))</f>
        <v>Sm</v>
      </c>
      <c r="R966" t="str">
        <f t="shared" si="46"/>
        <v>8.627616</v>
      </c>
      <c r="S966" t="str">
        <f t="shared" si="47"/>
        <v>8.627616</v>
      </c>
    </row>
    <row r="967" spans="1:19" x14ac:dyDescent="0.25">
      <c r="A967">
        <v>875</v>
      </c>
      <c r="B967" t="s">
        <v>128</v>
      </c>
      <c r="C967">
        <v>85</v>
      </c>
      <c r="D967">
        <v>39</v>
      </c>
      <c r="E967">
        <v>46</v>
      </c>
      <c r="F967" s="18"/>
      <c r="H967" t="str">
        <f>IF(B967=$H$1,COUNT($H$2:H968)+1," ")</f>
        <v xml:space="preserve"> </v>
      </c>
      <c r="L967">
        <v>966</v>
      </c>
      <c r="M967">
        <v>41</v>
      </c>
      <c r="N967">
        <v>56</v>
      </c>
      <c r="O967" s="18" t="s">
        <v>1182</v>
      </c>
      <c r="P967">
        <f t="shared" si="45"/>
        <v>97</v>
      </c>
      <c r="Q967" t="str">
        <f>INDEX(Elemek!$B$2:$B$113,MATCH(M967,Elemek!$C$2:$C$113,0))</f>
        <v>Nb</v>
      </c>
      <c r="R967" t="str">
        <f t="shared" si="46"/>
        <v>8.953864</v>
      </c>
      <c r="S967" t="str">
        <f t="shared" si="47"/>
        <v>8.953864</v>
      </c>
    </row>
    <row r="968" spans="1:19" x14ac:dyDescent="0.25">
      <c r="A968">
        <v>882</v>
      </c>
      <c r="B968" t="s">
        <v>123</v>
      </c>
      <c r="C968">
        <v>195</v>
      </c>
      <c r="D968">
        <v>77</v>
      </c>
      <c r="E968">
        <v>118</v>
      </c>
      <c r="F968" s="18"/>
      <c r="H968" t="str">
        <f>IF(B968=$H$1,COUNT($H$2:H969)+1," ")</f>
        <v xml:space="preserve"> </v>
      </c>
      <c r="L968">
        <v>967</v>
      </c>
      <c r="M968">
        <v>78</v>
      </c>
      <c r="N968">
        <v>107</v>
      </c>
      <c r="O968" s="18" t="s">
        <v>1183</v>
      </c>
      <c r="P968">
        <f t="shared" si="45"/>
        <v>185</v>
      </c>
      <c r="Q968" t="str">
        <f>INDEX(Elemek!$B$2:$B$113,MATCH(M968,Elemek!$C$2:$C$113,0))</f>
        <v>Pt</v>
      </c>
      <c r="R968" t="str">
        <f t="shared" si="46"/>
        <v>8.269598</v>
      </c>
      <c r="S968" t="str">
        <f t="shared" si="47"/>
        <v>8.269598</v>
      </c>
    </row>
    <row r="969" spans="1:19" x14ac:dyDescent="0.25">
      <c r="A969">
        <v>884</v>
      </c>
      <c r="B969" t="s">
        <v>134</v>
      </c>
      <c r="C969">
        <v>117</v>
      </c>
      <c r="D969">
        <v>48</v>
      </c>
      <c r="E969">
        <v>69</v>
      </c>
      <c r="F969" s="18"/>
      <c r="H969" t="str">
        <f>IF(B969=$H$1,COUNT($H$2:H970)+1," ")</f>
        <v xml:space="preserve"> </v>
      </c>
      <c r="L969">
        <v>968</v>
      </c>
      <c r="M969">
        <v>81</v>
      </c>
      <c r="N969">
        <v>114</v>
      </c>
      <c r="O969" s="18" t="s">
        <v>1184</v>
      </c>
      <c r="P969">
        <f t="shared" si="45"/>
        <v>195</v>
      </c>
      <c r="Q969" t="str">
        <f>INDEX(Elemek!$B$2:$B$113,MATCH(M969,Elemek!$C$2:$C$113,0))</f>
        <v>Tl</v>
      </c>
      <c r="R969" t="str">
        <f t="shared" si="46"/>
        <v>8.215712</v>
      </c>
      <c r="S969" t="str">
        <f t="shared" si="47"/>
        <v>8.215712</v>
      </c>
    </row>
    <row r="970" spans="1:19" x14ac:dyDescent="0.25">
      <c r="A970">
        <v>900</v>
      </c>
      <c r="B970" t="s">
        <v>258</v>
      </c>
      <c r="C970">
        <v>150</v>
      </c>
      <c r="D970">
        <v>62</v>
      </c>
      <c r="E970">
        <v>88</v>
      </c>
      <c r="F970" s="18"/>
      <c r="H970" t="str">
        <f>IF(B970=$H$1,COUNT($H$2:H971)+1," ")</f>
        <v xml:space="preserve"> </v>
      </c>
      <c r="L970">
        <v>969</v>
      </c>
      <c r="M970">
        <v>52</v>
      </c>
      <c r="N970">
        <v>77</v>
      </c>
      <c r="O970" s="18"/>
      <c r="P970">
        <f t="shared" si="45"/>
        <v>129</v>
      </c>
      <c r="Q970" t="str">
        <f>INDEX(Elemek!$B$2:$B$113,MATCH(M970,Elemek!$C$2:$C$113,0))</f>
        <v>Te</v>
      </c>
      <c r="R970" t="e">
        <f t="shared" si="46"/>
        <v>#DIV/0!</v>
      </c>
      <c r="S970" t="e">
        <f t="shared" si="47"/>
        <v>#DIV/0!</v>
      </c>
    </row>
    <row r="971" spans="1:19" x14ac:dyDescent="0.25">
      <c r="A971">
        <v>903</v>
      </c>
      <c r="B971" t="s">
        <v>36</v>
      </c>
      <c r="C971">
        <v>129</v>
      </c>
      <c r="D971">
        <v>56</v>
      </c>
      <c r="E971">
        <v>73</v>
      </c>
      <c r="F971" s="18"/>
      <c r="H971" t="str">
        <f>IF(B971=$H$1,COUNT($H$2:H972)+1," ")</f>
        <v xml:space="preserve"> </v>
      </c>
      <c r="L971">
        <v>970</v>
      </c>
      <c r="M971">
        <v>47</v>
      </c>
      <c r="N971">
        <v>57</v>
      </c>
      <c r="O971" s="18" t="s">
        <v>1185</v>
      </c>
      <c r="P971">
        <f t="shared" si="45"/>
        <v>104</v>
      </c>
      <c r="Q971" t="str">
        <f>INDEX(Elemek!$B$2:$B$113,MATCH(M971,Elemek!$C$2:$C$113,0))</f>
        <v>Ag</v>
      </c>
      <c r="R971" t="str">
        <f t="shared" si="46"/>
        <v>8.889702</v>
      </c>
      <c r="S971" t="str">
        <f t="shared" si="47"/>
        <v>8.889702</v>
      </c>
    </row>
    <row r="972" spans="1:19" x14ac:dyDescent="0.25">
      <c r="A972">
        <v>911</v>
      </c>
      <c r="B972" t="s">
        <v>212</v>
      </c>
      <c r="C972">
        <v>195</v>
      </c>
      <c r="D972">
        <v>76</v>
      </c>
      <c r="E972">
        <v>119</v>
      </c>
      <c r="F972" s="18"/>
      <c r="H972" t="str">
        <f>IF(B972=$H$1,COUNT($H$2:H973)+1," ")</f>
        <v xml:space="preserve"> </v>
      </c>
      <c r="L972">
        <v>971</v>
      </c>
      <c r="M972">
        <v>49</v>
      </c>
      <c r="N972">
        <v>61</v>
      </c>
      <c r="O972" s="18"/>
      <c r="P972">
        <f t="shared" si="45"/>
        <v>110</v>
      </c>
      <c r="Q972" t="str">
        <f>INDEX(Elemek!$B$2:$B$113,MATCH(M972,Elemek!$C$2:$C$113,0))</f>
        <v>In</v>
      </c>
      <c r="R972" t="e">
        <f t="shared" si="46"/>
        <v>#DIV/0!</v>
      </c>
      <c r="S972" t="e">
        <f t="shared" si="47"/>
        <v>#DIV/0!</v>
      </c>
    </row>
    <row r="973" spans="1:19" x14ac:dyDescent="0.25">
      <c r="A973">
        <v>913</v>
      </c>
      <c r="B973" t="s">
        <v>123</v>
      </c>
      <c r="C973">
        <v>186</v>
      </c>
      <c r="D973">
        <v>77</v>
      </c>
      <c r="E973">
        <v>109</v>
      </c>
      <c r="F973" s="18"/>
      <c r="H973" t="str">
        <f>IF(B973=$H$1,COUNT($H$2:H974)+1," ")</f>
        <v xml:space="preserve"> </v>
      </c>
      <c r="L973">
        <v>972</v>
      </c>
      <c r="M973">
        <v>73</v>
      </c>
      <c r="N973">
        <v>101</v>
      </c>
      <c r="O973" s="18" t="s">
        <v>1186</v>
      </c>
      <c r="P973">
        <f t="shared" si="45"/>
        <v>174</v>
      </c>
      <c r="Q973" t="str">
        <f>INDEX(Elemek!$B$2:$B$113,MATCH(M973,Elemek!$C$2:$C$113,0))</f>
        <v>Ta</v>
      </c>
      <c r="R973" t="str">
        <f t="shared" si="46"/>
        <v>8.368684</v>
      </c>
      <c r="S973" t="str">
        <f t="shared" si="47"/>
        <v>8.368684</v>
      </c>
    </row>
    <row r="974" spans="1:19" x14ac:dyDescent="0.25">
      <c r="A974">
        <v>915</v>
      </c>
      <c r="B974" t="s">
        <v>270</v>
      </c>
      <c r="C974">
        <v>198</v>
      </c>
      <c r="D974">
        <v>81</v>
      </c>
      <c r="E974">
        <v>117</v>
      </c>
      <c r="F974" s="18"/>
      <c r="H974" t="str">
        <f>IF(B974=$H$1,COUNT($H$2:H975)+1," ")</f>
        <v xml:space="preserve"> </v>
      </c>
      <c r="L974">
        <v>973</v>
      </c>
      <c r="M974">
        <v>31</v>
      </c>
      <c r="N974">
        <v>37</v>
      </c>
      <c r="O974" s="18" t="s">
        <v>1187</v>
      </c>
      <c r="P974">
        <f t="shared" si="45"/>
        <v>68</v>
      </c>
      <c r="Q974" t="str">
        <f>INDEX(Elemek!$B$2:$B$113,MATCH(M974,Elemek!$C$2:$C$113,0))</f>
        <v>Ga</v>
      </c>
      <c r="R974" t="str">
        <f t="shared" si="46"/>
        <v>9.057888</v>
      </c>
      <c r="S974" t="str">
        <f t="shared" si="47"/>
        <v>9.057888</v>
      </c>
    </row>
    <row r="975" spans="1:19" x14ac:dyDescent="0.25">
      <c r="A975">
        <v>917</v>
      </c>
      <c r="B975" t="s">
        <v>152</v>
      </c>
      <c r="C975">
        <v>83</v>
      </c>
      <c r="D975">
        <v>36</v>
      </c>
      <c r="E975">
        <v>47</v>
      </c>
      <c r="F975" s="18"/>
      <c r="H975" t="str">
        <f>IF(B975=$H$1,COUNT($H$2:H976)+1," ")</f>
        <v xml:space="preserve"> </v>
      </c>
      <c r="L975">
        <v>974</v>
      </c>
      <c r="M975">
        <v>38</v>
      </c>
      <c r="N975">
        <v>47</v>
      </c>
      <c r="O975" s="18"/>
      <c r="P975">
        <f t="shared" si="45"/>
        <v>85</v>
      </c>
      <c r="Q975" t="str">
        <f>INDEX(Elemek!$B$2:$B$113,MATCH(M975,Elemek!$C$2:$C$113,0))</f>
        <v>Sr</v>
      </c>
      <c r="R975" t="e">
        <f t="shared" si="46"/>
        <v>#DIV/0!</v>
      </c>
      <c r="S975" t="e">
        <f t="shared" si="47"/>
        <v>#DIV/0!</v>
      </c>
    </row>
    <row r="976" spans="1:19" x14ac:dyDescent="0.25">
      <c r="A976">
        <v>934</v>
      </c>
      <c r="B976" t="s">
        <v>120</v>
      </c>
      <c r="C976">
        <v>113</v>
      </c>
      <c r="D976">
        <v>49</v>
      </c>
      <c r="E976">
        <v>64</v>
      </c>
      <c r="F976" s="18"/>
      <c r="H976" t="str">
        <f>IF(B976=$H$1,COUNT($H$2:H977)+1," ")</f>
        <v xml:space="preserve"> </v>
      </c>
      <c r="L976">
        <v>975</v>
      </c>
      <c r="M976">
        <v>77</v>
      </c>
      <c r="N976">
        <v>113</v>
      </c>
      <c r="O976" s="18"/>
      <c r="P976">
        <f t="shared" si="45"/>
        <v>190</v>
      </c>
      <c r="Q976" t="str">
        <f>INDEX(Elemek!$B$2:$B$113,MATCH(M976,Elemek!$C$2:$C$113,0))</f>
        <v>Ir</v>
      </c>
      <c r="R976" t="e">
        <f t="shared" si="46"/>
        <v>#DIV/0!</v>
      </c>
      <c r="S976" t="e">
        <f t="shared" si="47"/>
        <v>#DIV/0!</v>
      </c>
    </row>
    <row r="977" spans="1:19" x14ac:dyDescent="0.25">
      <c r="A977">
        <v>939</v>
      </c>
      <c r="B977" t="s">
        <v>57</v>
      </c>
      <c r="C977">
        <v>133</v>
      </c>
      <c r="D977">
        <v>58</v>
      </c>
      <c r="E977">
        <v>75</v>
      </c>
      <c r="F977" s="18"/>
      <c r="H977" t="str">
        <f>IF(B977=$H$1,COUNT($H$2:H978)+1," ")</f>
        <v xml:space="preserve"> </v>
      </c>
      <c r="L977">
        <v>976</v>
      </c>
      <c r="M977">
        <v>67</v>
      </c>
      <c r="N977">
        <v>95</v>
      </c>
      <c r="O977" s="18" t="s">
        <v>1188</v>
      </c>
      <c r="P977">
        <f t="shared" si="45"/>
        <v>162</v>
      </c>
      <c r="Q977" t="str">
        <f>INDEX(Elemek!$B$2:$B$113,MATCH(M977,Elemek!$C$2:$C$113,0))</f>
        <v>Ho</v>
      </c>
      <c r="R977" t="str">
        <f t="shared" si="46"/>
        <v>8.478371</v>
      </c>
      <c r="S977" t="str">
        <f t="shared" si="47"/>
        <v>8.478371</v>
      </c>
    </row>
    <row r="978" spans="1:19" x14ac:dyDescent="0.25">
      <c r="A978">
        <v>941</v>
      </c>
      <c r="B978" t="s">
        <v>80</v>
      </c>
      <c r="C978">
        <v>152</v>
      </c>
      <c r="D978">
        <v>63</v>
      </c>
      <c r="E978">
        <v>89</v>
      </c>
      <c r="F978" s="18"/>
      <c r="H978" t="str">
        <f>IF(B978=$H$1,COUNT($H$2:H979)+1," ")</f>
        <v xml:space="preserve"> </v>
      </c>
      <c r="L978">
        <v>977</v>
      </c>
      <c r="M978">
        <v>82</v>
      </c>
      <c r="N978">
        <v>122</v>
      </c>
      <c r="O978" s="18"/>
      <c r="P978">
        <f t="shared" si="45"/>
        <v>204</v>
      </c>
      <c r="Q978" t="str">
        <f>INDEX(Elemek!$B$2:$B$113,MATCH(M978,Elemek!$C$2:$C$113,0))</f>
        <v>Pb</v>
      </c>
      <c r="R978" t="e">
        <f t="shared" si="46"/>
        <v>#DIV/0!</v>
      </c>
      <c r="S978" t="e">
        <f t="shared" si="47"/>
        <v>#DIV/0!</v>
      </c>
    </row>
    <row r="979" spans="1:19" x14ac:dyDescent="0.25">
      <c r="A979">
        <v>943</v>
      </c>
      <c r="B979" t="s">
        <v>217</v>
      </c>
      <c r="C979">
        <v>197</v>
      </c>
      <c r="D979">
        <v>78</v>
      </c>
      <c r="E979">
        <v>119</v>
      </c>
      <c r="F979" s="18"/>
      <c r="H979" t="str">
        <f>IF(B979=$H$1,COUNT($H$2:H980)+1," ")</f>
        <v xml:space="preserve"> </v>
      </c>
      <c r="L979">
        <v>978</v>
      </c>
      <c r="M979">
        <v>41</v>
      </c>
      <c r="N979">
        <v>48</v>
      </c>
      <c r="O979" s="18"/>
      <c r="P979">
        <f t="shared" si="45"/>
        <v>89</v>
      </c>
      <c r="Q979" t="str">
        <f>INDEX(Elemek!$B$2:$B$113,MATCH(M979,Elemek!$C$2:$C$113,0))</f>
        <v>Nb</v>
      </c>
      <c r="R979" t="e">
        <f t="shared" si="46"/>
        <v>#DIV/0!</v>
      </c>
      <c r="S979" t="e">
        <f t="shared" si="47"/>
        <v>#DIV/0!</v>
      </c>
    </row>
    <row r="980" spans="1:19" x14ac:dyDescent="0.25">
      <c r="A980">
        <v>950</v>
      </c>
      <c r="B980" t="s">
        <v>270</v>
      </c>
      <c r="C980">
        <v>196</v>
      </c>
      <c r="D980">
        <v>81</v>
      </c>
      <c r="E980">
        <v>115</v>
      </c>
      <c r="F980" s="18"/>
      <c r="H980" t="str">
        <f>IF(B980=$H$1,COUNT($H$2:H981)+1," ")</f>
        <v xml:space="preserve"> </v>
      </c>
      <c r="L980">
        <v>979</v>
      </c>
      <c r="M980">
        <v>47</v>
      </c>
      <c r="N980">
        <v>56</v>
      </c>
      <c r="O980" s="18" t="s">
        <v>1189</v>
      </c>
      <c r="P980">
        <f t="shared" si="45"/>
        <v>103</v>
      </c>
      <c r="Q980" t="str">
        <f>INDEX(Elemek!$B$2:$B$113,MATCH(M980,Elemek!$C$2:$C$113,0))</f>
        <v>Ag</v>
      </c>
      <c r="R980" t="str">
        <f t="shared" si="46"/>
        <v>8.894541</v>
      </c>
      <c r="S980" t="str">
        <f t="shared" si="47"/>
        <v>8.894541</v>
      </c>
    </row>
    <row r="981" spans="1:19" x14ac:dyDescent="0.25">
      <c r="A981">
        <v>952</v>
      </c>
      <c r="B981" t="s">
        <v>131</v>
      </c>
      <c r="C981">
        <v>132</v>
      </c>
      <c r="D981">
        <v>53</v>
      </c>
      <c r="E981">
        <v>79</v>
      </c>
      <c r="F981" s="18"/>
      <c r="H981" t="str">
        <f>IF(B981=$H$1,COUNT($H$2:H982)+1," ")</f>
        <v xml:space="preserve"> </v>
      </c>
      <c r="L981">
        <v>980</v>
      </c>
      <c r="M981">
        <v>96</v>
      </c>
      <c r="N981">
        <v>153</v>
      </c>
      <c r="O981" s="18" t="s">
        <v>1190</v>
      </c>
      <c r="P981">
        <f t="shared" si="45"/>
        <v>249</v>
      </c>
      <c r="Q981" t="str">
        <f>INDEX(Elemek!$B$2:$B$113,MATCH(M981,Elemek!$C$2:$C$113,0))</f>
        <v>Cm</v>
      </c>
      <c r="R981" t="str">
        <f t="shared" si="46"/>
        <v>7.787191</v>
      </c>
      <c r="S981" t="str">
        <f t="shared" si="47"/>
        <v>7.787191</v>
      </c>
    </row>
    <row r="982" spans="1:19" x14ac:dyDescent="0.25">
      <c r="A982">
        <v>956</v>
      </c>
      <c r="B982" t="s">
        <v>72</v>
      </c>
      <c r="C982">
        <v>266</v>
      </c>
      <c r="D982">
        <v>105</v>
      </c>
      <c r="E982">
        <v>161</v>
      </c>
      <c r="F982" s="18"/>
      <c r="H982" t="str">
        <f>IF(B982=$H$1,COUNT($H$2:H983)+1," ")</f>
        <v xml:space="preserve"> </v>
      </c>
      <c r="L982">
        <v>981</v>
      </c>
      <c r="M982">
        <v>72</v>
      </c>
      <c r="N982">
        <v>111</v>
      </c>
      <c r="O982" s="18" t="s">
        <v>1191</v>
      </c>
      <c r="P982">
        <f t="shared" si="45"/>
        <v>183</v>
      </c>
      <c r="Q982" t="str">
        <f>INDEX(Elemek!$B$2:$B$113,MATCH(M982,Elemek!$C$2:$C$113,0))</f>
        <v>Hf</v>
      </c>
      <c r="R982" t="str">
        <f t="shared" si="46"/>
        <v>8.307885</v>
      </c>
      <c r="S982" t="str">
        <f t="shared" si="47"/>
        <v>8.307885</v>
      </c>
    </row>
    <row r="983" spans="1:19" x14ac:dyDescent="0.25">
      <c r="A983">
        <v>969</v>
      </c>
      <c r="B983" t="s">
        <v>279</v>
      </c>
      <c r="C983">
        <v>129</v>
      </c>
      <c r="D983">
        <v>52</v>
      </c>
      <c r="E983">
        <v>77</v>
      </c>
      <c r="F983" s="18"/>
      <c r="H983" t="str">
        <f>IF(B983=$H$1,COUNT($H$2:H984)+1," ")</f>
        <v xml:space="preserve"> </v>
      </c>
      <c r="L983">
        <v>982</v>
      </c>
      <c r="M983">
        <v>89</v>
      </c>
      <c r="N983">
        <v>140</v>
      </c>
      <c r="O983" s="18" t="s">
        <v>1192</v>
      </c>
      <c r="P983">
        <f t="shared" si="45"/>
        <v>229</v>
      </c>
      <c r="Q983" t="str">
        <f>INDEX(Elemek!$B$2:$B$113,MATCH(M983,Elemek!$C$2:$C$113,0))</f>
        <v>Ac</v>
      </c>
      <c r="R983" t="str">
        <f t="shared" si="46"/>
        <v>7.937048</v>
      </c>
      <c r="S983" t="str">
        <f t="shared" si="47"/>
        <v>7.937048</v>
      </c>
    </row>
    <row r="984" spans="1:19" x14ac:dyDescent="0.25">
      <c r="A984">
        <v>971</v>
      </c>
      <c r="B984" t="s">
        <v>120</v>
      </c>
      <c r="C984">
        <v>110</v>
      </c>
      <c r="D984">
        <v>49</v>
      </c>
      <c r="E984">
        <v>61</v>
      </c>
      <c r="F984" s="18"/>
      <c r="H984" t="str">
        <f>IF(B984=$H$1,COUNT($H$2:H985)+1," ")</f>
        <v xml:space="preserve"> </v>
      </c>
      <c r="L984">
        <v>983</v>
      </c>
      <c r="M984">
        <v>52</v>
      </c>
      <c r="N984">
        <v>65</v>
      </c>
      <c r="O984" s="18" t="s">
        <v>1193</v>
      </c>
      <c r="P984">
        <f t="shared" si="45"/>
        <v>117</v>
      </c>
      <c r="Q984" t="str">
        <f>INDEX(Elemek!$B$2:$B$113,MATCH(M984,Elemek!$C$2:$C$113,0))</f>
        <v>Te</v>
      </c>
      <c r="R984" t="str">
        <f t="shared" si="46"/>
        <v>8.798652</v>
      </c>
      <c r="S984" t="str">
        <f t="shared" si="47"/>
        <v>8.798652</v>
      </c>
    </row>
    <row r="985" spans="1:19" x14ac:dyDescent="0.25">
      <c r="A985">
        <v>974</v>
      </c>
      <c r="B985" t="s">
        <v>256</v>
      </c>
      <c r="C985">
        <v>85</v>
      </c>
      <c r="D985">
        <v>38</v>
      </c>
      <c r="E985">
        <v>47</v>
      </c>
      <c r="F985" s="18"/>
      <c r="H985" t="str">
        <f>IF(B985=$H$1,COUNT($H$2:H986)+1," ")</f>
        <v xml:space="preserve"> </v>
      </c>
      <c r="L985">
        <v>984</v>
      </c>
      <c r="M985">
        <v>93</v>
      </c>
      <c r="N985">
        <v>147</v>
      </c>
      <c r="O985" s="18" t="s">
        <v>1194</v>
      </c>
      <c r="P985">
        <f t="shared" si="45"/>
        <v>240</v>
      </c>
      <c r="Q985" t="str">
        <f>INDEX(Elemek!$B$2:$B$113,MATCH(M985,Elemek!$C$2:$C$113,0))</f>
        <v>Np</v>
      </c>
      <c r="R985" t="str">
        <f t="shared" si="46"/>
        <v>7.853348</v>
      </c>
      <c r="S985" t="str">
        <f t="shared" si="47"/>
        <v>7.853348</v>
      </c>
    </row>
    <row r="986" spans="1:19" x14ac:dyDescent="0.25">
      <c r="A986">
        <v>975</v>
      </c>
      <c r="B986" t="s">
        <v>123</v>
      </c>
      <c r="C986">
        <v>190</v>
      </c>
      <c r="D986">
        <v>77</v>
      </c>
      <c r="E986">
        <v>113</v>
      </c>
      <c r="F986" s="18"/>
      <c r="H986" t="str">
        <f>IF(B986=$H$1,COUNT($H$2:H987)+1," ")</f>
        <v xml:space="preserve"> </v>
      </c>
      <c r="L986">
        <v>985</v>
      </c>
      <c r="M986">
        <v>72</v>
      </c>
      <c r="N986">
        <v>110</v>
      </c>
      <c r="O986" s="18"/>
      <c r="P986">
        <f t="shared" si="45"/>
        <v>182</v>
      </c>
      <c r="Q986" t="str">
        <f>INDEX(Elemek!$B$2:$B$113,MATCH(M986,Elemek!$C$2:$C$113,0))</f>
        <v>Hf</v>
      </c>
      <c r="R986" t="e">
        <f t="shared" si="46"/>
        <v>#DIV/0!</v>
      </c>
      <c r="S986" t="e">
        <f t="shared" si="47"/>
        <v>#DIV/0!</v>
      </c>
    </row>
    <row r="987" spans="1:19" x14ac:dyDescent="0.25">
      <c r="A987">
        <v>977</v>
      </c>
      <c r="B987" t="s">
        <v>205</v>
      </c>
      <c r="C987">
        <v>204</v>
      </c>
      <c r="D987">
        <v>82</v>
      </c>
      <c r="E987">
        <v>122</v>
      </c>
      <c r="F987" s="18"/>
      <c r="H987" t="str">
        <f>IF(B987=$H$1,COUNT($H$2:H988)+1," ")</f>
        <v xml:space="preserve"> </v>
      </c>
      <c r="L987">
        <v>986</v>
      </c>
      <c r="M987">
        <v>83</v>
      </c>
      <c r="N987">
        <v>129</v>
      </c>
      <c r="O987" s="18" t="s">
        <v>1195</v>
      </c>
      <c r="P987">
        <f t="shared" si="45"/>
        <v>212</v>
      </c>
      <c r="Q987" t="str">
        <f>INDEX(Elemek!$B$2:$B$113,MATCH(M987,Elemek!$C$2:$C$113,0))</f>
        <v>Bi</v>
      </c>
      <c r="R987" t="str">
        <f t="shared" si="46"/>
        <v>8.109617</v>
      </c>
      <c r="S987" t="str">
        <f t="shared" si="47"/>
        <v>8.109617</v>
      </c>
    </row>
    <row r="988" spans="1:19" x14ac:dyDescent="0.25">
      <c r="A988">
        <v>978</v>
      </c>
      <c r="B988" t="s">
        <v>197</v>
      </c>
      <c r="C988">
        <v>89</v>
      </c>
      <c r="D988">
        <v>41</v>
      </c>
      <c r="E988">
        <v>48</v>
      </c>
      <c r="F988" s="18"/>
      <c r="H988" t="str">
        <f>IF(B988=$H$1,COUNT($H$2:H989)+1," ")</f>
        <v xml:space="preserve"> </v>
      </c>
      <c r="L988">
        <v>987</v>
      </c>
      <c r="M988">
        <v>51</v>
      </c>
      <c r="N988">
        <v>65</v>
      </c>
      <c r="O988" s="18" t="s">
        <v>1196</v>
      </c>
      <c r="P988">
        <f t="shared" si="45"/>
        <v>116</v>
      </c>
      <c r="Q988" t="str">
        <f>INDEX(Elemek!$B$2:$B$113,MATCH(M988,Elemek!$C$2:$C$113,0))</f>
        <v>Sb</v>
      </c>
      <c r="R988" t="str">
        <f t="shared" si="46"/>
        <v>8.816483</v>
      </c>
      <c r="S988" t="str">
        <f t="shared" si="47"/>
        <v>8.816483</v>
      </c>
    </row>
    <row r="989" spans="1:19" x14ac:dyDescent="0.25">
      <c r="A989">
        <v>985</v>
      </c>
      <c r="B989" t="s">
        <v>104</v>
      </c>
      <c r="C989">
        <v>182</v>
      </c>
      <c r="D989">
        <v>72</v>
      </c>
      <c r="E989">
        <v>110</v>
      </c>
      <c r="F989" s="18"/>
      <c r="H989" t="str">
        <f>IF(B989=$H$1,COUNT($H$2:H990)+1," ")</f>
        <v xml:space="preserve"> </v>
      </c>
      <c r="L989">
        <v>988</v>
      </c>
      <c r="M989">
        <v>65</v>
      </c>
      <c r="N989">
        <v>83</v>
      </c>
      <c r="O989" s="18" t="s">
        <v>1197</v>
      </c>
      <c r="P989">
        <f t="shared" si="45"/>
        <v>148</v>
      </c>
      <c r="Q989" t="str">
        <f>INDEX(Elemek!$B$2:$B$113,MATCH(M989,Elemek!$C$2:$C$113,0))</f>
        <v>Tb</v>
      </c>
      <c r="R989" t="str">
        <f t="shared" si="46"/>
        <v>8.547949</v>
      </c>
      <c r="S989" t="str">
        <f t="shared" si="47"/>
        <v>8.547949</v>
      </c>
    </row>
    <row r="990" spans="1:19" x14ac:dyDescent="0.25">
      <c r="A990">
        <v>989</v>
      </c>
      <c r="B990" t="s">
        <v>72</v>
      </c>
      <c r="C990">
        <v>270</v>
      </c>
      <c r="D990">
        <v>105</v>
      </c>
      <c r="E990">
        <v>165</v>
      </c>
      <c r="F990" s="18"/>
      <c r="H990" t="str">
        <f>IF(B990=$H$1,COUNT($H$2:H991)+1," ")</f>
        <v xml:space="preserve"> </v>
      </c>
      <c r="L990">
        <v>989</v>
      </c>
      <c r="M990">
        <v>105</v>
      </c>
      <c r="N990">
        <v>165</v>
      </c>
      <c r="O990" s="18"/>
      <c r="P990">
        <f t="shared" si="45"/>
        <v>270</v>
      </c>
      <c r="Q990" t="str">
        <f>INDEX(Elemek!$B$2:$B$113,MATCH(M990,Elemek!$C$2:$C$113,0))</f>
        <v>Db</v>
      </c>
      <c r="R990" t="e">
        <f t="shared" si="46"/>
        <v>#DIV/0!</v>
      </c>
      <c r="S990" t="e">
        <f t="shared" si="47"/>
        <v>#DIV/0!</v>
      </c>
    </row>
  </sheetData>
  <autoFilter ref="A1:F990" xr:uid="{601F8192-DFAA-4A9F-B666-72AC994EB514}">
    <sortState xmlns:xlrd2="http://schemas.microsoft.com/office/spreadsheetml/2017/richdata2" ref="A2:F990">
      <sortCondition descending="1" ref="F1:F990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Elemek</vt:lpstr>
      <vt:lpstr>Vas</vt:lpstr>
      <vt:lpstr>Izotópok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Ódor Artúr</dc:creator>
  <cp:lastModifiedBy>Artúr Ódor</cp:lastModifiedBy>
  <dcterms:created xsi:type="dcterms:W3CDTF">2025-12-23T13:07:06Z</dcterms:created>
  <dcterms:modified xsi:type="dcterms:W3CDTF">2025-12-24T09:31:56Z</dcterms:modified>
</cp:coreProperties>
</file>