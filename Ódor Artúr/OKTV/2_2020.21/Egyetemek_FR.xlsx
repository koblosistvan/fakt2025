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ora\OneDrive\Dokumentumok\fakt2025\Ódor Artúr\OKTV\2_2020.21\"/>
    </mc:Choice>
  </mc:AlternateContent>
  <xr:revisionPtr revIDLastSave="52" documentId="8_{C6028096-1714-447B-B9D7-FFE65944ACA8}" xr6:coauthVersionLast="36" xr6:coauthVersionMax="36" xr10:uidLastSave="{EA92DB18-4EDC-4A48-B7D1-4BAE9F7C654E}"/>
  <bookViews>
    <workbookView xWindow="0" yWindow="0" windowWidth="28800" windowHeight="12105" xr2:uid="{7FA334D6-DEFE-459A-B437-1CAC23619078}"/>
  </bookViews>
  <sheets>
    <sheet name="Francia egyetemek QS rangsora" sheetId="1" r:id="rId1"/>
    <sheet name="Jelmagyarázat" sheetId="2" r:id="rId2"/>
    <sheet name="Megoldások" sheetId="4" r:id="rId3"/>
    <sheet name="Költözé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B2" i="5"/>
  <c r="G14" i="4"/>
  <c r="G13" i="4"/>
  <c r="G12" i="4"/>
  <c r="G11" i="4"/>
  <c r="G10" i="4"/>
  <c r="G9" i="4"/>
  <c r="B7" i="4"/>
  <c r="A7" i="4"/>
  <c r="D14" i="4"/>
  <c r="D13" i="4"/>
  <c r="D12" i="4"/>
  <c r="D11" i="4"/>
  <c r="D10" i="4"/>
  <c r="D9" i="4"/>
  <c r="A5" i="4" l="1"/>
  <c r="R3" i="1"/>
  <c r="R4" i="1"/>
  <c r="R1" i="1" s="1"/>
  <c r="A3" i="4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2" i="1"/>
  <c r="C1" i="4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</calcChain>
</file>

<file path=xl/sharedStrings.xml><?xml version="1.0" encoding="utf-8"?>
<sst xmlns="http://schemas.openxmlformats.org/spreadsheetml/2006/main" count="415" uniqueCount="95">
  <si>
    <t>Egyetem neve</t>
  </si>
  <si>
    <t>Méret</t>
  </si>
  <si>
    <t>Kutatás</t>
  </si>
  <si>
    <t>Életkor</t>
  </si>
  <si>
    <t>Státusz</t>
  </si>
  <si>
    <t>CentraleSupélec</t>
  </si>
  <si>
    <t>S</t>
  </si>
  <si>
    <t>VH</t>
  </si>
  <si>
    <t>A</t>
  </si>
  <si>
    <t>-</t>
  </si>
  <si>
    <t>Ecole des Ponts ParisTech</t>
  </si>
  <si>
    <t>HI</t>
  </si>
  <si>
    <t>Ecole Normale Supérieure de Lyon</t>
  </si>
  <si>
    <t>Ecole Normale Supérieure, Paris (ENS Paris)</t>
  </si>
  <si>
    <t>B</t>
  </si>
  <si>
    <t>Ecole Polytechnique</t>
  </si>
  <si>
    <t>ENS Paris-Saclay</t>
  </si>
  <si>
    <t>ESCP Europe</t>
  </si>
  <si>
    <t>MD</t>
  </si>
  <si>
    <t>ESSEC Business School, Paris</t>
  </si>
  <si>
    <t>M</t>
  </si>
  <si>
    <t>Grenoble INP, Grenoble Institute of Technology</t>
  </si>
  <si>
    <t>HEC Paris</t>
  </si>
  <si>
    <t>INSEAD (France)</t>
  </si>
  <si>
    <t>Institut National des Sciences Appliquées de Lyon (INSA)</t>
  </si>
  <si>
    <t>Sciences Po Paris</t>
  </si>
  <si>
    <t>Sorbonne University</t>
  </si>
  <si>
    <t>XL</t>
  </si>
  <si>
    <t>TELECOM ParisTech</t>
  </si>
  <si>
    <t>Université Aix-Marseille</t>
  </si>
  <si>
    <t>Université Claude Bernard Lyon 1</t>
  </si>
  <si>
    <t>Université de Bordeaux</t>
  </si>
  <si>
    <t>Université de Caen Basse-Normandie</t>
  </si>
  <si>
    <t>L</t>
  </si>
  <si>
    <t>Université de Cergy-Pontoise</t>
  </si>
  <si>
    <t>Université de Lille</t>
  </si>
  <si>
    <t>Université de Lorraine</t>
  </si>
  <si>
    <t>Université de Montpellier</t>
  </si>
  <si>
    <t>Université de Nantes</t>
  </si>
  <si>
    <t>Université de Poitiers</t>
  </si>
  <si>
    <t>Université de Rennes 1</t>
  </si>
  <si>
    <t>Université de Strasbourg</t>
  </si>
  <si>
    <t>Université de Technologie, Compiègne (UTC)</t>
  </si>
  <si>
    <t>Université Grenoble-Alpes (UGA)</t>
  </si>
  <si>
    <t>Université Jean Moulin Lyon 3</t>
  </si>
  <si>
    <t>LO</t>
  </si>
  <si>
    <t>Université Lumière Lyon 2</t>
  </si>
  <si>
    <t>Université Nice Sophia-Antipolis</t>
  </si>
  <si>
    <t>Université Panthéon-Assas (Paris 2)</t>
  </si>
  <si>
    <t>Université Paris 1 Panthéon-Sorbonne</t>
  </si>
  <si>
    <t>Université Paris Dauphine</t>
  </si>
  <si>
    <t>Université Paris Descartes</t>
  </si>
  <si>
    <t>Université Paris Diderot - Paris 7</t>
  </si>
  <si>
    <t>Université Paris Ouest Nanterre La Défense</t>
  </si>
  <si>
    <t>Université Paris-Sorbonne (Paris IV)</t>
  </si>
  <si>
    <t>Université Paris-Sud 11</t>
  </si>
  <si>
    <t>Université Paul Sabatier Toulouse III</t>
  </si>
  <si>
    <t>Université Paul-Valéry Montpellier 3</t>
  </si>
  <si>
    <t>Université Pierre et Marie Curie (UPMC)</t>
  </si>
  <si>
    <t>Université PSL (Paris Sciences &amp; Lettres)</t>
  </si>
  <si>
    <t>Université Sorbonne Nouvelle Paris 3</t>
  </si>
  <si>
    <t>Université Toulouse 1, Capitole</t>
  </si>
  <si>
    <t>University of Côte d'Azur</t>
  </si>
  <si>
    <t>University of Paris</t>
  </si>
  <si>
    <t>University Toulouse – Jean Jaurès</t>
  </si>
  <si>
    <t>Jelentés</t>
  </si>
  <si>
    <t>Hallgatói létszám</t>
  </si>
  <si>
    <t>Kutatói intenzitás</t>
  </si>
  <si>
    <t>Extra nagy</t>
  </si>
  <si>
    <t>&gt;=30000</t>
  </si>
  <si>
    <t>Nagyon magas</t>
  </si>
  <si>
    <t>Nagy</t>
  </si>
  <si>
    <t>&gt;=12000</t>
  </si>
  <si>
    <t>Magas</t>
  </si>
  <si>
    <t>Közepes</t>
  </si>
  <si>
    <t>&gt;=5000</t>
  </si>
  <si>
    <t>Kicsi</t>
  </si>
  <si>
    <t>&lt;5000</t>
  </si>
  <si>
    <t>Alacsony</t>
  </si>
  <si>
    <t>Osztályzás</t>
  </si>
  <si>
    <t>Életor</t>
  </si>
  <si>
    <t>Történelmi</t>
  </si>
  <si>
    <t>Több, mint 100 éves</t>
  </si>
  <si>
    <t>Érett</t>
  </si>
  <si>
    <t>50 – 100 éves</t>
  </si>
  <si>
    <t>Megalapozott</t>
  </si>
  <si>
    <t>25 – 50 éves</t>
  </si>
  <si>
    <t>Fiatal</t>
  </si>
  <si>
    <t>10 - 25 éves</t>
  </si>
  <si>
    <t>Új</t>
  </si>
  <si>
    <t>10 évnél fiatalabb</t>
  </si>
  <si>
    <t>Legjobb év</t>
  </si>
  <si>
    <t>Város</t>
  </si>
  <si>
    <t>&lt;&gt;LO</t>
  </si>
  <si>
    <t>Előző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</si>
</sst>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&quot; km&quot;"/>
    <numFmt numFmtId="166" formatCode="General&quot; kg&quot;"/>
    <numFmt numFmtId="168" formatCode="#,##0\ [$€-40C]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/>
      <top/>
      <bottom style="thin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2" borderId="4" xfId="0" applyFill="1" applyBorder="1"/>
    <xf numFmtId="0" fontId="1" fillId="4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165" fontId="0" fillId="0" borderId="9" xfId="0" applyNumberFormat="1" applyBorder="1"/>
    <xf numFmtId="166" fontId="0" fillId="0" borderId="9" xfId="0" applyNumberFormat="1" applyBorder="1"/>
    <xf numFmtId="168" fontId="0" fillId="0" borderId="9" xfId="0" applyNumberFormat="1" applyBorder="1"/>
  </cellXfs>
  <cellStyles count="1">
    <cellStyle name="Normál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DAEC-5B95-4BB7-87F1-7614C6ECB368}">
  <dimension ref="A1:R50"/>
  <sheetViews>
    <sheetView tabSelected="1" zoomScale="115" zoomScaleNormal="115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P11" sqref="P11"/>
    </sheetView>
  </sheetViews>
  <sheetFormatPr defaultRowHeight="19.5" customHeight="1" x14ac:dyDescent="0.25"/>
  <cols>
    <col min="1" max="1" width="52.42578125" bestFit="1" customWidth="1"/>
    <col min="2" max="13" width="9.28515625" customWidth="1"/>
    <col min="14" max="14" width="11.28515625" customWidth="1"/>
  </cols>
  <sheetData>
    <row r="1" spans="1:18" ht="19.5" customHeight="1" thickTop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>
        <v>2013</v>
      </c>
      <c r="G1" s="5">
        <v>2014</v>
      </c>
      <c r="H1" s="5">
        <v>2015</v>
      </c>
      <c r="I1" s="5">
        <v>2016</v>
      </c>
      <c r="J1" s="5">
        <v>2017</v>
      </c>
      <c r="K1" s="5">
        <v>2018</v>
      </c>
      <c r="L1" s="5">
        <v>2019</v>
      </c>
      <c r="M1" s="5">
        <v>2020</v>
      </c>
      <c r="N1" s="16" t="s">
        <v>91</v>
      </c>
      <c r="R1">
        <f>MAX(R2:R50)</f>
        <v>23</v>
      </c>
    </row>
    <row r="2" spans="1:18" ht="19.5" customHeight="1" thickTop="1" x14ac:dyDescent="0.25">
      <c r="A2" s="4" t="s">
        <v>5</v>
      </c>
      <c r="B2" s="6" t="s">
        <v>6</v>
      </c>
      <c r="C2" s="6" t="s">
        <v>7</v>
      </c>
      <c r="D2" s="6">
        <v>5</v>
      </c>
      <c r="E2" s="6" t="s">
        <v>8</v>
      </c>
      <c r="F2" s="6" t="s">
        <v>9</v>
      </c>
      <c r="G2" s="6" t="s">
        <v>9</v>
      </c>
      <c r="H2" s="6">
        <v>60.1</v>
      </c>
      <c r="I2" s="6">
        <v>52.1</v>
      </c>
      <c r="J2" s="6" t="str">
        <f>IFERROR(ROUND(F2:I2,1),"-")</f>
        <v>-</v>
      </c>
      <c r="K2" s="6">
        <v>50</v>
      </c>
      <c r="L2" s="10">
        <v>51.5</v>
      </c>
      <c r="M2" s="12">
        <v>51.4</v>
      </c>
      <c r="N2" s="17">
        <f>IFERROR(INDEX($F$1:$M$1,MATCH(MAX(F2:M2),F2:M2,0)),"Nincs ilyen!")</f>
        <v>2015</v>
      </c>
      <c r="R2">
        <f>MAX(F2:M2)-MIN(F2:M2)</f>
        <v>10.100000000000001</v>
      </c>
    </row>
    <row r="3" spans="1:18" ht="19.5" customHeight="1" x14ac:dyDescent="0.25">
      <c r="A3" s="2" t="s">
        <v>10</v>
      </c>
      <c r="B3" s="7" t="s">
        <v>6</v>
      </c>
      <c r="C3" s="7" t="s">
        <v>11</v>
      </c>
      <c r="D3" s="7">
        <v>5</v>
      </c>
      <c r="E3" s="7" t="s">
        <v>8</v>
      </c>
      <c r="F3" s="7">
        <v>40.200000000000003</v>
      </c>
      <c r="G3" s="7">
        <v>42.2</v>
      </c>
      <c r="H3" s="7">
        <v>41.1</v>
      </c>
      <c r="I3" s="7">
        <v>39.1</v>
      </c>
      <c r="J3" s="6" t="str">
        <f t="shared" ref="J3:J50" si="0">IFERROR(ROUND(F3:I3,1),"-")</f>
        <v>-</v>
      </c>
      <c r="K3" s="7">
        <v>39.799999999999997</v>
      </c>
      <c r="L3" s="11">
        <v>37</v>
      </c>
      <c r="M3" s="13">
        <v>37.799999999999997</v>
      </c>
      <c r="N3" s="17">
        <f t="shared" ref="N3:N50" si="1">IFERROR(INDEX($F$1:$M$1,MATCH(MAX(F3:M3),F3:M3,0)),"Nincs ilyen!")</f>
        <v>2014</v>
      </c>
      <c r="R3">
        <f t="shared" ref="R3:R50" si="2">MAX(F3:M3)-MIN(F3:M3)</f>
        <v>5.2000000000000028</v>
      </c>
    </row>
    <row r="4" spans="1:18" ht="19.5" customHeight="1" x14ac:dyDescent="0.25">
      <c r="A4" s="1" t="s">
        <v>12</v>
      </c>
      <c r="B4" s="8" t="s">
        <v>6</v>
      </c>
      <c r="C4" s="8" t="s">
        <v>7</v>
      </c>
      <c r="D4" s="8">
        <v>5</v>
      </c>
      <c r="E4" s="8" t="s">
        <v>8</v>
      </c>
      <c r="F4" s="8">
        <v>57.7</v>
      </c>
      <c r="G4" s="8">
        <v>56.3</v>
      </c>
      <c r="H4" s="8">
        <v>55.1</v>
      </c>
      <c r="I4" s="8">
        <v>49.6</v>
      </c>
      <c r="J4" s="6" t="str">
        <f t="shared" si="0"/>
        <v>-</v>
      </c>
      <c r="K4" s="8">
        <v>52.8</v>
      </c>
      <c r="L4" s="10">
        <v>49.2</v>
      </c>
      <c r="M4" s="14">
        <v>48.3</v>
      </c>
      <c r="N4" s="17">
        <f t="shared" si="1"/>
        <v>2013</v>
      </c>
      <c r="R4">
        <f t="shared" si="2"/>
        <v>9.4000000000000057</v>
      </c>
    </row>
    <row r="5" spans="1:18" ht="19.5" customHeight="1" x14ac:dyDescent="0.25">
      <c r="A5" s="3" t="s">
        <v>13</v>
      </c>
      <c r="B5" s="9" t="s">
        <v>6</v>
      </c>
      <c r="C5" s="9" t="s">
        <v>7</v>
      </c>
      <c r="D5" s="9">
        <v>5</v>
      </c>
      <c r="E5" s="9" t="s">
        <v>14</v>
      </c>
      <c r="F5" s="9">
        <v>87.8</v>
      </c>
      <c r="G5" s="9">
        <v>90.2</v>
      </c>
      <c r="H5" s="9">
        <v>89.2</v>
      </c>
      <c r="I5" s="9">
        <v>82.9</v>
      </c>
      <c r="J5" s="6" t="str">
        <f t="shared" si="0"/>
        <v>-</v>
      </c>
      <c r="K5" s="9">
        <v>79.900000000000006</v>
      </c>
      <c r="L5" s="10" t="s">
        <v>9</v>
      </c>
      <c r="M5" s="15" t="s">
        <v>9</v>
      </c>
      <c r="N5" s="17">
        <f t="shared" si="1"/>
        <v>2014</v>
      </c>
      <c r="R5">
        <f t="shared" si="2"/>
        <v>10.299999999999997</v>
      </c>
    </row>
    <row r="6" spans="1:18" ht="19.5" customHeight="1" x14ac:dyDescent="0.25">
      <c r="A6" s="3" t="s">
        <v>15</v>
      </c>
      <c r="B6" s="9" t="s">
        <v>6</v>
      </c>
      <c r="C6" s="9" t="s">
        <v>7</v>
      </c>
      <c r="D6" s="9">
        <v>5</v>
      </c>
      <c r="E6" s="9" t="s">
        <v>8</v>
      </c>
      <c r="F6" s="9">
        <v>81.099999999999994</v>
      </c>
      <c r="G6" s="9">
        <v>85</v>
      </c>
      <c r="H6" s="9">
        <v>83.8</v>
      </c>
      <c r="I6" s="9">
        <v>75.7</v>
      </c>
      <c r="J6" s="6" t="str">
        <f t="shared" si="0"/>
        <v>-</v>
      </c>
      <c r="K6" s="9">
        <v>74</v>
      </c>
      <c r="L6" s="10">
        <v>67.900000000000006</v>
      </c>
      <c r="M6" s="15">
        <v>70.5</v>
      </c>
      <c r="N6" s="17">
        <f t="shared" si="1"/>
        <v>2014</v>
      </c>
      <c r="R6">
        <f t="shared" si="2"/>
        <v>17.099999999999994</v>
      </c>
    </row>
    <row r="7" spans="1:18" ht="19.5" customHeight="1" x14ac:dyDescent="0.25">
      <c r="A7" s="3" t="s">
        <v>16</v>
      </c>
      <c r="B7" s="9" t="s">
        <v>6</v>
      </c>
      <c r="C7" s="9" t="s">
        <v>7</v>
      </c>
      <c r="D7" s="9">
        <v>5</v>
      </c>
      <c r="E7" s="9" t="s">
        <v>8</v>
      </c>
      <c r="F7" s="9">
        <v>38</v>
      </c>
      <c r="G7" s="9">
        <v>39.200000000000003</v>
      </c>
      <c r="H7" s="9">
        <v>42.8</v>
      </c>
      <c r="I7" s="9">
        <v>39.200000000000003</v>
      </c>
      <c r="J7" s="6" t="str">
        <f t="shared" si="0"/>
        <v>-</v>
      </c>
      <c r="K7" s="9">
        <v>35.4</v>
      </c>
      <c r="L7" s="10">
        <v>34.299999999999997</v>
      </c>
      <c r="M7" s="15">
        <v>33.5</v>
      </c>
      <c r="N7" s="17">
        <f t="shared" si="1"/>
        <v>2015</v>
      </c>
      <c r="R7">
        <f t="shared" si="2"/>
        <v>9.2999999999999972</v>
      </c>
    </row>
    <row r="8" spans="1:18" ht="19.5" customHeight="1" x14ac:dyDescent="0.25">
      <c r="A8" s="3" t="s">
        <v>17</v>
      </c>
      <c r="B8" s="9" t="s">
        <v>6</v>
      </c>
      <c r="C8" s="9" t="s">
        <v>18</v>
      </c>
      <c r="D8" s="9">
        <v>5</v>
      </c>
      <c r="E8" s="9" t="s">
        <v>14</v>
      </c>
      <c r="F8" s="9" t="s">
        <v>9</v>
      </c>
      <c r="G8" s="9" t="s">
        <v>9</v>
      </c>
      <c r="H8" s="9" t="s">
        <v>9</v>
      </c>
      <c r="I8" s="9" t="s">
        <v>9</v>
      </c>
      <c r="J8" s="6" t="str">
        <f t="shared" si="0"/>
        <v>-</v>
      </c>
      <c r="K8" s="9" t="s">
        <v>9</v>
      </c>
      <c r="L8" s="10" t="s">
        <v>9</v>
      </c>
      <c r="M8" s="15" t="s">
        <v>9</v>
      </c>
      <c r="N8" s="17" t="str">
        <f t="shared" si="1"/>
        <v>Nincs ilyen!</v>
      </c>
      <c r="R8">
        <f t="shared" si="2"/>
        <v>0</v>
      </c>
    </row>
    <row r="9" spans="1:18" ht="19.5" customHeight="1" x14ac:dyDescent="0.25">
      <c r="A9" s="3" t="s">
        <v>19</v>
      </c>
      <c r="B9" s="9" t="s">
        <v>20</v>
      </c>
      <c r="C9" s="9" t="s">
        <v>7</v>
      </c>
      <c r="D9" s="9">
        <v>5</v>
      </c>
      <c r="E9" s="9" t="s">
        <v>14</v>
      </c>
      <c r="F9" s="9" t="s">
        <v>9</v>
      </c>
      <c r="G9" s="9" t="s">
        <v>9</v>
      </c>
      <c r="H9" s="9" t="s">
        <v>9</v>
      </c>
      <c r="I9" s="9" t="s">
        <v>9</v>
      </c>
      <c r="J9" s="6" t="str">
        <f t="shared" si="0"/>
        <v>-</v>
      </c>
      <c r="K9" s="9" t="s">
        <v>9</v>
      </c>
      <c r="L9" s="10" t="s">
        <v>9</v>
      </c>
      <c r="M9" s="15" t="s">
        <v>9</v>
      </c>
      <c r="N9" s="17" t="str">
        <f t="shared" si="1"/>
        <v>Nincs ilyen!</v>
      </c>
      <c r="R9">
        <f t="shared" si="2"/>
        <v>0</v>
      </c>
    </row>
    <row r="10" spans="1:18" ht="19.5" customHeight="1" x14ac:dyDescent="0.25">
      <c r="A10" s="3" t="s">
        <v>21</v>
      </c>
      <c r="B10" s="9" t="s">
        <v>20</v>
      </c>
      <c r="C10" s="9" t="s">
        <v>11</v>
      </c>
      <c r="D10" s="9">
        <v>5</v>
      </c>
      <c r="E10" s="9" t="s">
        <v>8</v>
      </c>
      <c r="F10" s="9" t="s">
        <v>9</v>
      </c>
      <c r="G10" s="9" t="s">
        <v>9</v>
      </c>
      <c r="H10" s="9" t="s">
        <v>9</v>
      </c>
      <c r="I10" s="9" t="s">
        <v>9</v>
      </c>
      <c r="J10" s="6" t="str">
        <f t="shared" si="0"/>
        <v>-</v>
      </c>
      <c r="K10" s="9" t="s">
        <v>9</v>
      </c>
      <c r="L10" s="10" t="s">
        <v>9</v>
      </c>
      <c r="M10" s="15" t="s">
        <v>9</v>
      </c>
      <c r="N10" s="17" t="str">
        <f t="shared" si="1"/>
        <v>Nincs ilyen!</v>
      </c>
      <c r="R10">
        <f t="shared" si="2"/>
        <v>0</v>
      </c>
    </row>
    <row r="11" spans="1:18" ht="19.5" customHeight="1" x14ac:dyDescent="0.25">
      <c r="A11" s="3" t="s">
        <v>22</v>
      </c>
      <c r="B11" s="9" t="s">
        <v>6</v>
      </c>
      <c r="C11" s="9" t="s">
        <v>7</v>
      </c>
      <c r="D11" s="9">
        <v>5</v>
      </c>
      <c r="E11" s="9" t="s">
        <v>14</v>
      </c>
      <c r="F11" s="9" t="s">
        <v>9</v>
      </c>
      <c r="G11" s="9" t="s">
        <v>9</v>
      </c>
      <c r="H11" s="9" t="s">
        <v>9</v>
      </c>
      <c r="I11" s="9" t="s">
        <v>9</v>
      </c>
      <c r="J11" s="6" t="str">
        <f t="shared" si="0"/>
        <v>-</v>
      </c>
      <c r="K11" s="9" t="s">
        <v>9</v>
      </c>
      <c r="L11" s="10" t="s">
        <v>9</v>
      </c>
      <c r="M11" s="15" t="s">
        <v>9</v>
      </c>
      <c r="N11" s="17" t="str">
        <f t="shared" si="1"/>
        <v>Nincs ilyen!</v>
      </c>
      <c r="R11">
        <f t="shared" si="2"/>
        <v>0</v>
      </c>
    </row>
    <row r="12" spans="1:18" ht="19.5" customHeight="1" x14ac:dyDescent="0.25">
      <c r="A12" s="3" t="s">
        <v>23</v>
      </c>
      <c r="B12" s="9" t="s">
        <v>6</v>
      </c>
      <c r="C12" s="9" t="s">
        <v>7</v>
      </c>
      <c r="D12" s="9">
        <v>4</v>
      </c>
      <c r="E12" s="9" t="s">
        <v>14</v>
      </c>
      <c r="F12" s="9" t="s">
        <v>9</v>
      </c>
      <c r="G12" s="9" t="s">
        <v>9</v>
      </c>
      <c r="H12" s="9" t="s">
        <v>9</v>
      </c>
      <c r="I12" s="9" t="s">
        <v>9</v>
      </c>
      <c r="J12" s="6" t="str">
        <f t="shared" si="0"/>
        <v>-</v>
      </c>
      <c r="K12" s="9" t="s">
        <v>9</v>
      </c>
      <c r="L12" s="10" t="s">
        <v>9</v>
      </c>
      <c r="M12" s="15" t="s">
        <v>9</v>
      </c>
      <c r="N12" s="17" t="str">
        <f t="shared" si="1"/>
        <v>Nincs ilyen!</v>
      </c>
      <c r="R12">
        <f t="shared" si="2"/>
        <v>0</v>
      </c>
    </row>
    <row r="13" spans="1:18" ht="19.5" customHeight="1" x14ac:dyDescent="0.25">
      <c r="A13" s="3" t="s">
        <v>24</v>
      </c>
      <c r="B13" s="9" t="s">
        <v>20</v>
      </c>
      <c r="C13" s="9" t="s">
        <v>7</v>
      </c>
      <c r="D13" s="9">
        <v>4</v>
      </c>
      <c r="E13" s="9"/>
      <c r="F13" s="9" t="s">
        <v>9</v>
      </c>
      <c r="G13" s="9">
        <v>34.299999999999997</v>
      </c>
      <c r="H13" s="9">
        <v>35.9</v>
      </c>
      <c r="I13" s="9">
        <v>28.5</v>
      </c>
      <c r="J13" s="6" t="str">
        <f t="shared" si="0"/>
        <v>-</v>
      </c>
      <c r="K13" s="9">
        <v>27.7</v>
      </c>
      <c r="L13" s="10">
        <v>24.6</v>
      </c>
      <c r="M13" s="15">
        <v>23.8</v>
      </c>
      <c r="N13" s="17">
        <f t="shared" si="1"/>
        <v>2015</v>
      </c>
      <c r="R13">
        <f t="shared" si="2"/>
        <v>12.099999999999998</v>
      </c>
    </row>
    <row r="14" spans="1:18" ht="19.5" customHeight="1" x14ac:dyDescent="0.25">
      <c r="A14" s="3" t="s">
        <v>25</v>
      </c>
      <c r="B14" s="9" t="s">
        <v>20</v>
      </c>
      <c r="C14" s="9" t="s">
        <v>11</v>
      </c>
      <c r="D14" s="9">
        <v>5</v>
      </c>
      <c r="E14" s="9" t="s">
        <v>8</v>
      </c>
      <c r="F14" s="9">
        <v>50.2</v>
      </c>
      <c r="G14" s="9">
        <v>50.7</v>
      </c>
      <c r="H14" s="9">
        <v>50.2</v>
      </c>
      <c r="I14" s="9">
        <v>44.5</v>
      </c>
      <c r="J14" s="6" t="str">
        <f t="shared" si="0"/>
        <v>-</v>
      </c>
      <c r="K14" s="9">
        <v>45.2</v>
      </c>
      <c r="L14" s="10">
        <v>41</v>
      </c>
      <c r="M14" s="15">
        <v>38.9</v>
      </c>
      <c r="N14" s="17">
        <f t="shared" si="1"/>
        <v>2014</v>
      </c>
      <c r="R14">
        <f t="shared" si="2"/>
        <v>11.800000000000004</v>
      </c>
    </row>
    <row r="15" spans="1:18" ht="19.5" customHeight="1" x14ac:dyDescent="0.25">
      <c r="A15" s="3" t="s">
        <v>26</v>
      </c>
      <c r="B15" s="9" t="s">
        <v>27</v>
      </c>
      <c r="C15" s="9" t="s">
        <v>7</v>
      </c>
      <c r="D15" s="9">
        <v>1</v>
      </c>
      <c r="E15" s="9" t="s">
        <v>8</v>
      </c>
      <c r="F15" s="9" t="s">
        <v>9</v>
      </c>
      <c r="G15" s="9" t="s">
        <v>9</v>
      </c>
      <c r="H15" s="9" t="s">
        <v>9</v>
      </c>
      <c r="I15" s="9" t="s">
        <v>9</v>
      </c>
      <c r="J15" s="6" t="str">
        <f t="shared" si="0"/>
        <v>-</v>
      </c>
      <c r="K15" s="9" t="s">
        <v>9</v>
      </c>
      <c r="L15" s="10">
        <v>64.8</v>
      </c>
      <c r="M15" s="15">
        <v>64.900000000000006</v>
      </c>
      <c r="N15" s="17">
        <f t="shared" si="1"/>
        <v>2020</v>
      </c>
      <c r="R15">
        <f t="shared" si="2"/>
        <v>0.10000000000000853</v>
      </c>
    </row>
    <row r="16" spans="1:18" ht="19.5" customHeight="1" x14ac:dyDescent="0.25">
      <c r="A16" s="3" t="s">
        <v>28</v>
      </c>
      <c r="B16" s="9" t="s">
        <v>6</v>
      </c>
      <c r="C16" s="9" t="s">
        <v>11</v>
      </c>
      <c r="D16" s="9">
        <v>1</v>
      </c>
      <c r="E16" s="9"/>
      <c r="F16" s="9" t="s">
        <v>9</v>
      </c>
      <c r="G16" s="9" t="s">
        <v>9</v>
      </c>
      <c r="H16" s="9" t="s">
        <v>9</v>
      </c>
      <c r="I16" s="9" t="s">
        <v>9</v>
      </c>
      <c r="J16" s="6" t="str">
        <f t="shared" si="0"/>
        <v>-</v>
      </c>
      <c r="K16" s="9" t="s">
        <v>9</v>
      </c>
      <c r="L16" s="10" t="s">
        <v>9</v>
      </c>
      <c r="M16" s="15">
        <v>40.700000000000003</v>
      </c>
      <c r="N16" s="17">
        <f t="shared" si="1"/>
        <v>2020</v>
      </c>
      <c r="R16">
        <f t="shared" si="2"/>
        <v>0</v>
      </c>
    </row>
    <row r="17" spans="1:18" ht="19.5" customHeight="1" x14ac:dyDescent="0.25">
      <c r="A17" s="3" t="s">
        <v>29</v>
      </c>
      <c r="B17" s="9" t="s">
        <v>27</v>
      </c>
      <c r="C17" s="9" t="s">
        <v>7</v>
      </c>
      <c r="D17" s="9">
        <v>5</v>
      </c>
      <c r="E17" s="9" t="s">
        <v>8</v>
      </c>
      <c r="F17" s="9">
        <v>36</v>
      </c>
      <c r="G17" s="9">
        <v>39.1</v>
      </c>
      <c r="H17" s="9">
        <v>37.5</v>
      </c>
      <c r="I17" s="9">
        <v>28.9</v>
      </c>
      <c r="J17" s="6" t="str">
        <f t="shared" si="0"/>
        <v>-</v>
      </c>
      <c r="K17" s="9">
        <v>29.7</v>
      </c>
      <c r="L17" s="10">
        <v>25.6</v>
      </c>
      <c r="M17" s="15">
        <v>24.3</v>
      </c>
      <c r="N17" s="17">
        <f t="shared" si="1"/>
        <v>2014</v>
      </c>
      <c r="R17">
        <f t="shared" si="2"/>
        <v>14.8</v>
      </c>
    </row>
    <row r="18" spans="1:18" ht="19.5" customHeight="1" x14ac:dyDescent="0.25">
      <c r="A18" s="3" t="s">
        <v>30</v>
      </c>
      <c r="B18" s="9" t="s">
        <v>27</v>
      </c>
      <c r="C18" s="9" t="s">
        <v>11</v>
      </c>
      <c r="D18" s="9">
        <v>5</v>
      </c>
      <c r="E18" s="9" t="s">
        <v>8</v>
      </c>
      <c r="F18" s="9">
        <v>32.4</v>
      </c>
      <c r="G18" s="9">
        <v>34.6</v>
      </c>
      <c r="H18" s="9">
        <v>30.2</v>
      </c>
      <c r="I18" s="9" t="s">
        <v>9</v>
      </c>
      <c r="J18" s="6" t="str">
        <f t="shared" si="0"/>
        <v>-</v>
      </c>
      <c r="K18" s="9" t="s">
        <v>9</v>
      </c>
      <c r="L18" s="10">
        <v>19.2</v>
      </c>
      <c r="M18" s="15">
        <v>17.5</v>
      </c>
      <c r="N18" s="17">
        <f t="shared" si="1"/>
        <v>2014</v>
      </c>
      <c r="R18">
        <f t="shared" si="2"/>
        <v>17.100000000000001</v>
      </c>
    </row>
    <row r="19" spans="1:18" ht="19.5" customHeight="1" x14ac:dyDescent="0.25">
      <c r="A19" s="3" t="s">
        <v>31</v>
      </c>
      <c r="B19" s="9" t="s">
        <v>27</v>
      </c>
      <c r="C19" s="9" t="s">
        <v>7</v>
      </c>
      <c r="D19" s="9">
        <v>5</v>
      </c>
      <c r="E19" s="9" t="s">
        <v>8</v>
      </c>
      <c r="F19" s="9">
        <v>39.4</v>
      </c>
      <c r="G19" s="9">
        <v>37.299999999999997</v>
      </c>
      <c r="H19" s="9">
        <v>32</v>
      </c>
      <c r="I19" s="9" t="s">
        <v>9</v>
      </c>
      <c r="J19" s="6" t="str">
        <f t="shared" si="0"/>
        <v>-</v>
      </c>
      <c r="K19" s="9" t="s">
        <v>9</v>
      </c>
      <c r="L19" s="10">
        <v>24</v>
      </c>
      <c r="M19" s="15">
        <v>25.5</v>
      </c>
      <c r="N19" s="17">
        <f t="shared" si="1"/>
        <v>2013</v>
      </c>
      <c r="R19">
        <f t="shared" si="2"/>
        <v>15.399999999999999</v>
      </c>
    </row>
    <row r="20" spans="1:18" ht="19.5" customHeight="1" x14ac:dyDescent="0.25">
      <c r="A20" s="3" t="s">
        <v>32</v>
      </c>
      <c r="B20" s="9" t="s">
        <v>33</v>
      </c>
      <c r="C20" s="9" t="s">
        <v>11</v>
      </c>
      <c r="D20" s="9">
        <v>5</v>
      </c>
      <c r="E20" s="9" t="s">
        <v>8</v>
      </c>
      <c r="F20" s="9" t="s">
        <v>9</v>
      </c>
      <c r="G20" s="9" t="s">
        <v>9</v>
      </c>
      <c r="H20" s="9" t="s">
        <v>9</v>
      </c>
      <c r="I20" s="9" t="s">
        <v>9</v>
      </c>
      <c r="J20" s="6" t="str">
        <f t="shared" si="0"/>
        <v>-</v>
      </c>
      <c r="K20" s="9" t="s">
        <v>9</v>
      </c>
      <c r="L20" s="10">
        <v>10.7</v>
      </c>
      <c r="M20" s="15" t="s">
        <v>9</v>
      </c>
      <c r="N20" s="17">
        <f t="shared" si="1"/>
        <v>2019</v>
      </c>
      <c r="R20">
        <f t="shared" si="2"/>
        <v>0</v>
      </c>
    </row>
    <row r="21" spans="1:18" ht="19.5" customHeight="1" x14ac:dyDescent="0.25">
      <c r="A21" s="3" t="s">
        <v>34</v>
      </c>
      <c r="B21" s="9" t="s">
        <v>33</v>
      </c>
      <c r="C21" s="9" t="s">
        <v>18</v>
      </c>
      <c r="D21" s="9">
        <v>2</v>
      </c>
      <c r="E21" s="9" t="s">
        <v>8</v>
      </c>
      <c r="F21" s="9" t="s">
        <v>9</v>
      </c>
      <c r="G21" s="9" t="s">
        <v>9</v>
      </c>
      <c r="H21" s="9" t="s">
        <v>9</v>
      </c>
      <c r="I21" s="9" t="s">
        <v>9</v>
      </c>
      <c r="J21" s="6" t="str">
        <f t="shared" si="0"/>
        <v>-</v>
      </c>
      <c r="K21" s="9" t="s">
        <v>9</v>
      </c>
      <c r="L21" s="10">
        <v>10.7</v>
      </c>
      <c r="M21" s="15" t="s">
        <v>9</v>
      </c>
      <c r="N21" s="17">
        <f t="shared" si="1"/>
        <v>2019</v>
      </c>
      <c r="R21">
        <f t="shared" si="2"/>
        <v>0</v>
      </c>
    </row>
    <row r="22" spans="1:18" ht="19.5" customHeight="1" x14ac:dyDescent="0.25">
      <c r="A22" s="3" t="s">
        <v>35</v>
      </c>
      <c r="B22" s="9" t="s">
        <v>27</v>
      </c>
      <c r="C22" s="9" t="s">
        <v>7</v>
      </c>
      <c r="D22" s="9">
        <v>1</v>
      </c>
      <c r="E22" s="9" t="s">
        <v>8</v>
      </c>
      <c r="F22" s="9">
        <v>32.6</v>
      </c>
      <c r="G22" s="9">
        <v>30</v>
      </c>
      <c r="H22" s="9">
        <v>30.5</v>
      </c>
      <c r="I22" s="9" t="s">
        <v>9</v>
      </c>
      <c r="J22" s="6" t="str">
        <f t="shared" si="0"/>
        <v>-</v>
      </c>
      <c r="K22" s="9" t="s">
        <v>9</v>
      </c>
      <c r="L22" s="10">
        <v>17.899999999999999</v>
      </c>
      <c r="M22" s="15">
        <v>15.9</v>
      </c>
      <c r="N22" s="17">
        <f t="shared" si="1"/>
        <v>2013</v>
      </c>
      <c r="R22">
        <f t="shared" si="2"/>
        <v>16.700000000000003</v>
      </c>
    </row>
    <row r="23" spans="1:18" ht="19.5" customHeight="1" x14ac:dyDescent="0.25">
      <c r="A23" s="3" t="s">
        <v>36</v>
      </c>
      <c r="B23" s="9" t="s">
        <v>27</v>
      </c>
      <c r="C23" s="9" t="s">
        <v>18</v>
      </c>
      <c r="D23" s="9">
        <v>5</v>
      </c>
      <c r="E23" s="9" t="s">
        <v>8</v>
      </c>
      <c r="F23" s="9" t="s">
        <v>9</v>
      </c>
      <c r="G23" s="9" t="s">
        <v>9</v>
      </c>
      <c r="H23" s="9" t="s">
        <v>9</v>
      </c>
      <c r="I23" s="9" t="s">
        <v>9</v>
      </c>
      <c r="J23" s="6" t="str">
        <f t="shared" si="0"/>
        <v>-</v>
      </c>
      <c r="K23" s="9" t="s">
        <v>9</v>
      </c>
      <c r="L23" s="10">
        <v>10.7</v>
      </c>
      <c r="M23" s="15">
        <v>14.6</v>
      </c>
      <c r="N23" s="17">
        <f t="shared" si="1"/>
        <v>2020</v>
      </c>
      <c r="R23">
        <f t="shared" si="2"/>
        <v>3.9000000000000004</v>
      </c>
    </row>
    <row r="24" spans="1:18" ht="19.5" customHeight="1" x14ac:dyDescent="0.25">
      <c r="A24" s="3" t="s">
        <v>37</v>
      </c>
      <c r="B24" s="9" t="s">
        <v>27</v>
      </c>
      <c r="C24" s="9" t="s">
        <v>7</v>
      </c>
      <c r="D24" s="9">
        <v>5</v>
      </c>
      <c r="E24" s="9" t="s">
        <v>8</v>
      </c>
      <c r="F24" s="9">
        <v>33.9</v>
      </c>
      <c r="G24" s="9">
        <v>33.299999999999997</v>
      </c>
      <c r="H24" s="9">
        <v>36.4</v>
      </c>
      <c r="I24" s="9">
        <v>34.799999999999997</v>
      </c>
      <c r="J24" s="6" t="str">
        <f t="shared" si="0"/>
        <v>-</v>
      </c>
      <c r="K24" s="9">
        <v>32</v>
      </c>
      <c r="L24" s="10">
        <v>27</v>
      </c>
      <c r="M24" s="15">
        <v>24.2</v>
      </c>
      <c r="N24" s="17">
        <f t="shared" si="1"/>
        <v>2015</v>
      </c>
      <c r="R24">
        <f t="shared" si="2"/>
        <v>12.2</v>
      </c>
    </row>
    <row r="25" spans="1:18" ht="19.5" customHeight="1" x14ac:dyDescent="0.25">
      <c r="A25" s="3" t="s">
        <v>38</v>
      </c>
      <c r="B25" s="9" t="s">
        <v>27</v>
      </c>
      <c r="C25" s="9" t="s">
        <v>11</v>
      </c>
      <c r="D25" s="9">
        <v>5</v>
      </c>
      <c r="E25" s="9" t="s">
        <v>8</v>
      </c>
      <c r="F25" s="9" t="s">
        <v>9</v>
      </c>
      <c r="G25" s="9" t="s">
        <v>9</v>
      </c>
      <c r="H25" s="9" t="s">
        <v>9</v>
      </c>
      <c r="I25" s="9" t="s">
        <v>9</v>
      </c>
      <c r="J25" s="6" t="str">
        <f t="shared" si="0"/>
        <v>-</v>
      </c>
      <c r="K25" s="9" t="s">
        <v>9</v>
      </c>
      <c r="L25" s="10">
        <v>10.7</v>
      </c>
      <c r="M25" s="15">
        <v>11.5</v>
      </c>
      <c r="N25" s="17">
        <f t="shared" si="1"/>
        <v>2020</v>
      </c>
      <c r="R25">
        <f t="shared" si="2"/>
        <v>0.80000000000000071</v>
      </c>
    </row>
    <row r="26" spans="1:18" ht="19.5" customHeight="1" x14ac:dyDescent="0.25">
      <c r="A26" s="3" t="s">
        <v>39</v>
      </c>
      <c r="B26" s="9" t="s">
        <v>33</v>
      </c>
      <c r="C26" s="9" t="s">
        <v>11</v>
      </c>
      <c r="D26" s="9">
        <v>5</v>
      </c>
      <c r="E26" s="9" t="s">
        <v>8</v>
      </c>
      <c r="F26" s="9" t="s">
        <v>9</v>
      </c>
      <c r="G26" s="9" t="s">
        <v>9</v>
      </c>
      <c r="H26" s="9" t="s">
        <v>9</v>
      </c>
      <c r="I26" s="9" t="s">
        <v>9</v>
      </c>
      <c r="J26" s="6" t="str">
        <f t="shared" si="0"/>
        <v>-</v>
      </c>
      <c r="K26" s="9" t="s">
        <v>9</v>
      </c>
      <c r="L26" s="10">
        <v>10.7</v>
      </c>
      <c r="M26" s="15">
        <v>11.5</v>
      </c>
      <c r="N26" s="17">
        <f t="shared" si="1"/>
        <v>2020</v>
      </c>
      <c r="R26">
        <f t="shared" si="2"/>
        <v>0.80000000000000071</v>
      </c>
    </row>
    <row r="27" spans="1:18" ht="19.5" customHeight="1" x14ac:dyDescent="0.25">
      <c r="A27" s="3" t="s">
        <v>40</v>
      </c>
      <c r="B27" s="9" t="s">
        <v>33</v>
      </c>
      <c r="C27" s="9" t="s">
        <v>7</v>
      </c>
      <c r="D27" s="9">
        <v>5</v>
      </c>
      <c r="E27" s="9" t="s">
        <v>8</v>
      </c>
      <c r="F27" s="9" t="s">
        <v>9</v>
      </c>
      <c r="G27" s="9" t="s">
        <v>9</v>
      </c>
      <c r="H27" s="9" t="s">
        <v>9</v>
      </c>
      <c r="I27" s="9" t="s">
        <v>9</v>
      </c>
      <c r="J27" s="6" t="str">
        <f t="shared" si="0"/>
        <v>-</v>
      </c>
      <c r="K27" s="9" t="s">
        <v>9</v>
      </c>
      <c r="L27" s="10">
        <v>16.2</v>
      </c>
      <c r="M27" s="15">
        <v>11.5</v>
      </c>
      <c r="N27" s="17">
        <f t="shared" si="1"/>
        <v>2019</v>
      </c>
      <c r="R27">
        <f t="shared" si="2"/>
        <v>4.6999999999999993</v>
      </c>
    </row>
    <row r="28" spans="1:18" ht="19.5" customHeight="1" x14ac:dyDescent="0.25">
      <c r="A28" s="3" t="s">
        <v>41</v>
      </c>
      <c r="B28" s="9" t="s">
        <v>27</v>
      </c>
      <c r="C28" s="9" t="s">
        <v>11</v>
      </c>
      <c r="D28" s="9">
        <v>5</v>
      </c>
      <c r="E28" s="9" t="s">
        <v>8</v>
      </c>
      <c r="F28" s="9">
        <v>48.5</v>
      </c>
      <c r="G28" s="9">
        <v>50.4</v>
      </c>
      <c r="H28" s="9">
        <v>48.1</v>
      </c>
      <c r="I28" s="9">
        <v>39.6</v>
      </c>
      <c r="J28" s="6" t="str">
        <f t="shared" si="0"/>
        <v>-</v>
      </c>
      <c r="K28" s="9">
        <v>37.5</v>
      </c>
      <c r="L28" s="10">
        <v>31.3</v>
      </c>
      <c r="M28" s="15">
        <v>28.9</v>
      </c>
      <c r="N28" s="17">
        <f t="shared" si="1"/>
        <v>2014</v>
      </c>
      <c r="R28">
        <f t="shared" si="2"/>
        <v>21.5</v>
      </c>
    </row>
    <row r="29" spans="1:18" ht="19.5" customHeight="1" x14ac:dyDescent="0.25">
      <c r="A29" s="3" t="s">
        <v>42</v>
      </c>
      <c r="B29" s="9" t="s">
        <v>6</v>
      </c>
      <c r="C29" s="9" t="s">
        <v>7</v>
      </c>
      <c r="D29" s="9">
        <v>3</v>
      </c>
      <c r="E29" s="9" t="s">
        <v>8</v>
      </c>
      <c r="F29" s="9" t="s">
        <v>9</v>
      </c>
      <c r="G29" s="9" t="s">
        <v>9</v>
      </c>
      <c r="H29" s="9" t="s">
        <v>9</v>
      </c>
      <c r="I29" s="9" t="s">
        <v>9</v>
      </c>
      <c r="J29" s="6" t="str">
        <f t="shared" si="0"/>
        <v>-</v>
      </c>
      <c r="K29" s="9" t="s">
        <v>9</v>
      </c>
      <c r="L29" s="10" t="s">
        <v>9</v>
      </c>
      <c r="M29" s="15" t="s">
        <v>9</v>
      </c>
      <c r="N29" s="17" t="str">
        <f t="shared" si="1"/>
        <v>Nincs ilyen!</v>
      </c>
      <c r="R29">
        <f t="shared" si="2"/>
        <v>0</v>
      </c>
    </row>
    <row r="30" spans="1:18" ht="19.5" customHeight="1" x14ac:dyDescent="0.25">
      <c r="A30" s="3" t="s">
        <v>43</v>
      </c>
      <c r="B30" s="9" t="s">
        <v>27</v>
      </c>
      <c r="C30" s="9" t="s">
        <v>7</v>
      </c>
      <c r="D30" s="9">
        <v>5</v>
      </c>
      <c r="E30" s="9" t="s">
        <v>8</v>
      </c>
      <c r="F30" s="9">
        <v>49.6</v>
      </c>
      <c r="G30" s="9">
        <v>51.8</v>
      </c>
      <c r="H30" s="9">
        <v>48.9</v>
      </c>
      <c r="I30" s="9">
        <v>46.1</v>
      </c>
      <c r="J30" s="6" t="str">
        <f t="shared" si="0"/>
        <v>-</v>
      </c>
      <c r="K30" s="9">
        <v>42.9</v>
      </c>
      <c r="L30" s="10">
        <v>35</v>
      </c>
      <c r="M30" s="15">
        <v>31</v>
      </c>
      <c r="N30" s="17">
        <f t="shared" si="1"/>
        <v>2014</v>
      </c>
      <c r="R30">
        <f t="shared" si="2"/>
        <v>20.799999999999997</v>
      </c>
    </row>
    <row r="31" spans="1:18" ht="19.5" customHeight="1" x14ac:dyDescent="0.25">
      <c r="A31" s="3" t="s">
        <v>44</v>
      </c>
      <c r="B31" s="9" t="s">
        <v>33</v>
      </c>
      <c r="C31" s="9" t="s">
        <v>45</v>
      </c>
      <c r="D31" s="9">
        <v>5</v>
      </c>
      <c r="E31" s="9" t="s">
        <v>8</v>
      </c>
      <c r="F31" s="9" t="s">
        <v>9</v>
      </c>
      <c r="G31" s="9" t="s">
        <v>9</v>
      </c>
      <c r="H31" s="9" t="s">
        <v>9</v>
      </c>
      <c r="I31" s="9" t="s">
        <v>9</v>
      </c>
      <c r="J31" s="6" t="str">
        <f t="shared" si="0"/>
        <v>-</v>
      </c>
      <c r="K31" s="9" t="s">
        <v>9</v>
      </c>
      <c r="L31" s="10">
        <v>10.7</v>
      </c>
      <c r="M31" s="15" t="s">
        <v>9</v>
      </c>
      <c r="N31" s="17">
        <f t="shared" si="1"/>
        <v>2019</v>
      </c>
      <c r="R31">
        <f t="shared" si="2"/>
        <v>0</v>
      </c>
    </row>
    <row r="32" spans="1:18" ht="19.5" customHeight="1" x14ac:dyDescent="0.25">
      <c r="A32" s="3" t="s">
        <v>46</v>
      </c>
      <c r="B32" s="9" t="s">
        <v>33</v>
      </c>
      <c r="C32" s="9" t="s">
        <v>11</v>
      </c>
      <c r="D32" s="9">
        <v>5</v>
      </c>
      <c r="E32" s="9" t="s">
        <v>8</v>
      </c>
      <c r="F32" s="9" t="s">
        <v>9</v>
      </c>
      <c r="G32" s="9" t="s">
        <v>9</v>
      </c>
      <c r="H32" s="9" t="s">
        <v>9</v>
      </c>
      <c r="I32" s="9" t="s">
        <v>9</v>
      </c>
      <c r="J32" s="6" t="str">
        <f t="shared" si="0"/>
        <v>-</v>
      </c>
      <c r="K32" s="9" t="s">
        <v>9</v>
      </c>
      <c r="L32" s="10">
        <v>10.7</v>
      </c>
      <c r="M32" s="15">
        <v>11.5</v>
      </c>
      <c r="N32" s="17">
        <f t="shared" si="1"/>
        <v>2020</v>
      </c>
      <c r="R32">
        <f t="shared" si="2"/>
        <v>0.80000000000000071</v>
      </c>
    </row>
    <row r="33" spans="1:18" ht="19.5" customHeight="1" x14ac:dyDescent="0.25">
      <c r="A33" s="3" t="s">
        <v>47</v>
      </c>
      <c r="B33" s="9" t="s">
        <v>33</v>
      </c>
      <c r="C33" s="9" t="s">
        <v>11</v>
      </c>
      <c r="D33" s="9">
        <v>3</v>
      </c>
      <c r="E33" s="9" t="s">
        <v>8</v>
      </c>
      <c r="F33" s="9">
        <v>28.5</v>
      </c>
      <c r="G33" s="9" t="s">
        <v>9</v>
      </c>
      <c r="H33" s="9" t="s">
        <v>9</v>
      </c>
      <c r="I33" s="9" t="s">
        <v>9</v>
      </c>
      <c r="J33" s="6" t="str">
        <f t="shared" si="0"/>
        <v>-</v>
      </c>
      <c r="K33" s="9" t="s">
        <v>9</v>
      </c>
      <c r="L33" s="10">
        <v>17.899999999999999</v>
      </c>
      <c r="M33" s="15" t="s">
        <v>9</v>
      </c>
      <c r="N33" s="17">
        <f t="shared" si="1"/>
        <v>2013</v>
      </c>
      <c r="R33">
        <f t="shared" si="2"/>
        <v>10.600000000000001</v>
      </c>
    </row>
    <row r="34" spans="1:18" ht="19.5" customHeight="1" x14ac:dyDescent="0.25">
      <c r="A34" s="3" t="s">
        <v>48</v>
      </c>
      <c r="B34" s="9" t="s">
        <v>33</v>
      </c>
      <c r="C34" s="9" t="s">
        <v>45</v>
      </c>
      <c r="D34" s="9">
        <v>5</v>
      </c>
      <c r="E34" s="9" t="s">
        <v>8</v>
      </c>
      <c r="F34" s="9">
        <v>30.3</v>
      </c>
      <c r="G34" s="9" t="s">
        <v>9</v>
      </c>
      <c r="H34" s="9" t="s">
        <v>9</v>
      </c>
      <c r="I34" s="9" t="s">
        <v>9</v>
      </c>
      <c r="J34" s="6" t="str">
        <f t="shared" si="0"/>
        <v>-</v>
      </c>
      <c r="K34" s="9" t="s">
        <v>9</v>
      </c>
      <c r="L34" s="10">
        <v>22.3</v>
      </c>
      <c r="M34" s="15">
        <v>22.1</v>
      </c>
      <c r="N34" s="17">
        <f t="shared" si="1"/>
        <v>2013</v>
      </c>
      <c r="R34">
        <f t="shared" si="2"/>
        <v>8.1999999999999993</v>
      </c>
    </row>
    <row r="35" spans="1:18" ht="19.5" customHeight="1" x14ac:dyDescent="0.25">
      <c r="A35" s="3" t="s">
        <v>49</v>
      </c>
      <c r="B35" s="9" t="s">
        <v>27</v>
      </c>
      <c r="C35" s="9" t="s">
        <v>11</v>
      </c>
      <c r="D35" s="9">
        <v>5</v>
      </c>
      <c r="E35" s="9" t="s">
        <v>8</v>
      </c>
      <c r="F35" s="9">
        <v>49.1</v>
      </c>
      <c r="G35" s="9">
        <v>50</v>
      </c>
      <c r="H35" s="9">
        <v>48.2</v>
      </c>
      <c r="I35" s="9">
        <v>43.3</v>
      </c>
      <c r="J35" s="6" t="str">
        <f t="shared" si="0"/>
        <v>-</v>
      </c>
      <c r="K35" s="9">
        <v>40</v>
      </c>
      <c r="L35" s="10">
        <v>34.5</v>
      </c>
      <c r="M35" s="15">
        <v>34.200000000000003</v>
      </c>
      <c r="N35" s="17">
        <f t="shared" si="1"/>
        <v>2014</v>
      </c>
      <c r="R35">
        <f t="shared" si="2"/>
        <v>15.799999999999997</v>
      </c>
    </row>
    <row r="36" spans="1:18" ht="19.5" customHeight="1" x14ac:dyDescent="0.25">
      <c r="A36" s="3" t="s">
        <v>50</v>
      </c>
      <c r="B36" s="9" t="s">
        <v>20</v>
      </c>
      <c r="C36" s="9" t="s">
        <v>18</v>
      </c>
      <c r="D36" s="9">
        <v>3</v>
      </c>
      <c r="E36" s="9" t="s">
        <v>8</v>
      </c>
      <c r="F36" s="9">
        <v>35.9</v>
      </c>
      <c r="G36" s="9">
        <v>36.9</v>
      </c>
      <c r="H36" s="9">
        <v>36.9</v>
      </c>
      <c r="I36" s="9">
        <v>32.799999999999997</v>
      </c>
      <c r="J36" s="6" t="str">
        <f t="shared" si="0"/>
        <v>-</v>
      </c>
      <c r="K36" s="9">
        <v>33.4</v>
      </c>
      <c r="L36" s="10" t="s">
        <v>9</v>
      </c>
      <c r="M36" s="15" t="s">
        <v>9</v>
      </c>
      <c r="N36" s="17">
        <f t="shared" si="1"/>
        <v>2014</v>
      </c>
      <c r="R36">
        <f t="shared" si="2"/>
        <v>4.1000000000000014</v>
      </c>
    </row>
    <row r="37" spans="1:18" ht="19.5" customHeight="1" x14ac:dyDescent="0.25">
      <c r="A37" s="3" t="s">
        <v>51</v>
      </c>
      <c r="B37" s="9" t="s">
        <v>33</v>
      </c>
      <c r="C37" s="9" t="s">
        <v>7</v>
      </c>
      <c r="D37" s="9">
        <v>5</v>
      </c>
      <c r="E37" s="9" t="s">
        <v>8</v>
      </c>
      <c r="F37" s="9">
        <v>42.2</v>
      </c>
      <c r="G37" s="9">
        <v>44</v>
      </c>
      <c r="H37" s="9">
        <v>35.9</v>
      </c>
      <c r="I37" s="9">
        <v>31.4</v>
      </c>
      <c r="J37" s="6" t="str">
        <f t="shared" si="0"/>
        <v>-</v>
      </c>
      <c r="K37" s="9">
        <v>27.9</v>
      </c>
      <c r="L37" s="10">
        <v>21</v>
      </c>
      <c r="M37" s="15" t="s">
        <v>9</v>
      </c>
      <c r="N37" s="17">
        <f t="shared" si="1"/>
        <v>2014</v>
      </c>
      <c r="R37">
        <f t="shared" si="2"/>
        <v>23</v>
      </c>
    </row>
    <row r="38" spans="1:18" ht="19.5" customHeight="1" x14ac:dyDescent="0.25">
      <c r="A38" s="3" t="s">
        <v>52</v>
      </c>
      <c r="B38" s="9" t="s">
        <v>33</v>
      </c>
      <c r="C38" s="9" t="s">
        <v>7</v>
      </c>
      <c r="D38" s="9">
        <v>5</v>
      </c>
      <c r="E38" s="9" t="s">
        <v>8</v>
      </c>
      <c r="F38" s="9">
        <v>51.8</v>
      </c>
      <c r="G38" s="9">
        <v>53</v>
      </c>
      <c r="H38" s="9">
        <v>46</v>
      </c>
      <c r="I38" s="9">
        <v>39.4</v>
      </c>
      <c r="J38" s="6" t="str">
        <f t="shared" si="0"/>
        <v>-</v>
      </c>
      <c r="K38" s="9">
        <v>37.299999999999997</v>
      </c>
      <c r="L38" s="10">
        <v>34.700000000000003</v>
      </c>
      <c r="M38" s="15" t="s">
        <v>9</v>
      </c>
      <c r="N38" s="17">
        <f t="shared" si="1"/>
        <v>2014</v>
      </c>
      <c r="R38">
        <f t="shared" si="2"/>
        <v>18.299999999999997</v>
      </c>
    </row>
    <row r="39" spans="1:18" ht="19.5" customHeight="1" x14ac:dyDescent="0.25">
      <c r="A39" s="3" t="s">
        <v>53</v>
      </c>
      <c r="B39" s="9" t="s">
        <v>33</v>
      </c>
      <c r="C39" s="9" t="s">
        <v>11</v>
      </c>
      <c r="D39" s="9">
        <v>5</v>
      </c>
      <c r="E39" s="9" t="s">
        <v>8</v>
      </c>
      <c r="F39" s="9" t="s">
        <v>9</v>
      </c>
      <c r="G39" s="9" t="s">
        <v>9</v>
      </c>
      <c r="H39" s="9" t="s">
        <v>9</v>
      </c>
      <c r="I39" s="9" t="s">
        <v>9</v>
      </c>
      <c r="J39" s="6" t="str">
        <f t="shared" si="0"/>
        <v>-</v>
      </c>
      <c r="K39" s="9" t="s">
        <v>9</v>
      </c>
      <c r="L39" s="10">
        <v>10.7</v>
      </c>
      <c r="M39" s="15" t="s">
        <v>9</v>
      </c>
      <c r="N39" s="17">
        <f t="shared" si="1"/>
        <v>2019</v>
      </c>
      <c r="R39">
        <f t="shared" si="2"/>
        <v>0</v>
      </c>
    </row>
    <row r="40" spans="1:18" ht="19.5" customHeight="1" x14ac:dyDescent="0.25">
      <c r="A40" s="3" t="s">
        <v>54</v>
      </c>
      <c r="B40" s="9" t="s">
        <v>33</v>
      </c>
      <c r="C40" s="9" t="s">
        <v>7</v>
      </c>
      <c r="D40" s="9">
        <v>5</v>
      </c>
      <c r="E40" s="9" t="s">
        <v>8</v>
      </c>
      <c r="F40" s="9">
        <v>49.9</v>
      </c>
      <c r="G40" s="9">
        <v>50.3</v>
      </c>
      <c r="H40" s="9">
        <v>50.3</v>
      </c>
      <c r="I40" s="9">
        <v>44.4</v>
      </c>
      <c r="J40" s="6" t="str">
        <f t="shared" si="0"/>
        <v>-</v>
      </c>
      <c r="K40" s="9">
        <v>37.9</v>
      </c>
      <c r="L40" s="10" t="s">
        <v>9</v>
      </c>
      <c r="M40" s="15" t="s">
        <v>9</v>
      </c>
      <c r="N40" s="17">
        <f t="shared" si="1"/>
        <v>2014</v>
      </c>
      <c r="R40">
        <f t="shared" si="2"/>
        <v>12.399999999999999</v>
      </c>
    </row>
    <row r="41" spans="1:18" ht="19.5" customHeight="1" x14ac:dyDescent="0.25">
      <c r="A41" s="3" t="s">
        <v>55</v>
      </c>
      <c r="B41" s="9" t="s">
        <v>33</v>
      </c>
      <c r="C41" s="9" t="s">
        <v>7</v>
      </c>
      <c r="D41" s="9">
        <v>5</v>
      </c>
      <c r="E41" s="9" t="s">
        <v>8</v>
      </c>
      <c r="F41" s="9">
        <v>53.7</v>
      </c>
      <c r="G41" s="9">
        <v>53.3</v>
      </c>
      <c r="H41" s="9">
        <v>48.1</v>
      </c>
      <c r="I41" s="9">
        <v>42</v>
      </c>
      <c r="J41" s="6" t="str">
        <f t="shared" si="0"/>
        <v>-</v>
      </c>
      <c r="K41" s="9">
        <v>42.3</v>
      </c>
      <c r="L41" s="10">
        <v>38.9</v>
      </c>
      <c r="M41" s="15">
        <v>36.799999999999997</v>
      </c>
      <c r="N41" s="17">
        <f t="shared" si="1"/>
        <v>2013</v>
      </c>
      <c r="R41">
        <f t="shared" si="2"/>
        <v>16.900000000000006</v>
      </c>
    </row>
    <row r="42" spans="1:18" ht="19.5" customHeight="1" x14ac:dyDescent="0.25">
      <c r="A42" s="3" t="s">
        <v>56</v>
      </c>
      <c r="B42" s="9" t="s">
        <v>27</v>
      </c>
      <c r="C42" s="9" t="s">
        <v>11</v>
      </c>
      <c r="D42" s="9">
        <v>5</v>
      </c>
      <c r="E42" s="9" t="s">
        <v>8</v>
      </c>
      <c r="F42" s="9">
        <v>33.5</v>
      </c>
      <c r="G42" s="9">
        <v>31.9</v>
      </c>
      <c r="H42" s="9">
        <v>35.1</v>
      </c>
      <c r="I42" s="9">
        <v>26.8</v>
      </c>
      <c r="J42" s="6" t="str">
        <f t="shared" si="0"/>
        <v>-</v>
      </c>
      <c r="K42" s="9" t="s">
        <v>9</v>
      </c>
      <c r="L42" s="10">
        <v>22.7</v>
      </c>
      <c r="M42" s="15">
        <v>22.1</v>
      </c>
      <c r="N42" s="17">
        <f t="shared" si="1"/>
        <v>2015</v>
      </c>
      <c r="R42">
        <f t="shared" si="2"/>
        <v>13</v>
      </c>
    </row>
    <row r="43" spans="1:18" ht="19.5" customHeight="1" x14ac:dyDescent="0.25">
      <c r="A43" s="3" t="s">
        <v>57</v>
      </c>
      <c r="B43" s="9" t="s">
        <v>33</v>
      </c>
      <c r="C43" s="9" t="s">
        <v>18</v>
      </c>
      <c r="D43" s="9">
        <v>5</v>
      </c>
      <c r="E43" s="9" t="s">
        <v>8</v>
      </c>
      <c r="F43" s="9" t="s">
        <v>9</v>
      </c>
      <c r="G43" s="9" t="s">
        <v>9</v>
      </c>
      <c r="H43" s="9" t="s">
        <v>9</v>
      </c>
      <c r="I43" s="9" t="s">
        <v>9</v>
      </c>
      <c r="J43" s="6" t="str">
        <f t="shared" si="0"/>
        <v>-</v>
      </c>
      <c r="K43" s="9" t="s">
        <v>9</v>
      </c>
      <c r="L43" s="10">
        <v>10.7</v>
      </c>
      <c r="M43" s="15">
        <v>11.5</v>
      </c>
      <c r="N43" s="17">
        <f t="shared" si="1"/>
        <v>2020</v>
      </c>
      <c r="R43">
        <f t="shared" si="2"/>
        <v>0.80000000000000071</v>
      </c>
    </row>
    <row r="44" spans="1:18" ht="19.5" customHeight="1" x14ac:dyDescent="0.25">
      <c r="A44" s="3" t="s">
        <v>58</v>
      </c>
      <c r="B44" s="9" t="s">
        <v>33</v>
      </c>
      <c r="C44" s="9" t="s">
        <v>7</v>
      </c>
      <c r="D44" s="9">
        <v>5</v>
      </c>
      <c r="E44" s="9" t="s">
        <v>8</v>
      </c>
      <c r="F44" s="9">
        <v>65.900000000000006</v>
      </c>
      <c r="G44" s="9">
        <v>66.2</v>
      </c>
      <c r="H44" s="9">
        <v>63.2</v>
      </c>
      <c r="I44" s="9">
        <v>55.6</v>
      </c>
      <c r="J44" s="6" t="str">
        <f t="shared" si="0"/>
        <v>-</v>
      </c>
      <c r="K44" s="9">
        <v>57.5</v>
      </c>
      <c r="L44" s="10" t="s">
        <v>9</v>
      </c>
      <c r="M44" s="15" t="s">
        <v>9</v>
      </c>
      <c r="N44" s="17">
        <f t="shared" si="1"/>
        <v>2014</v>
      </c>
      <c r="R44">
        <f t="shared" si="2"/>
        <v>10.600000000000001</v>
      </c>
    </row>
    <row r="45" spans="1:18" ht="19.5" customHeight="1" x14ac:dyDescent="0.25">
      <c r="A45" s="3" t="s">
        <v>59</v>
      </c>
      <c r="B45" s="9" t="s">
        <v>33</v>
      </c>
      <c r="C45" s="9" t="s">
        <v>7</v>
      </c>
      <c r="D45" s="9">
        <v>1</v>
      </c>
      <c r="E45" s="9" t="s">
        <v>8</v>
      </c>
      <c r="F45" s="9" t="s">
        <v>9</v>
      </c>
      <c r="G45" s="9" t="s">
        <v>9</v>
      </c>
      <c r="H45" s="9" t="s">
        <v>9</v>
      </c>
      <c r="I45" s="9" t="s">
        <v>9</v>
      </c>
      <c r="J45" s="6" t="str">
        <f t="shared" si="0"/>
        <v>-</v>
      </c>
      <c r="K45" s="9" t="s">
        <v>9</v>
      </c>
      <c r="L45" s="10">
        <v>75.099999999999994</v>
      </c>
      <c r="M45" s="15">
        <v>73.400000000000006</v>
      </c>
      <c r="N45" s="17">
        <f t="shared" si="1"/>
        <v>2019</v>
      </c>
      <c r="R45">
        <f t="shared" si="2"/>
        <v>1.6999999999999886</v>
      </c>
    </row>
    <row r="46" spans="1:18" ht="19.5" customHeight="1" x14ac:dyDescent="0.25">
      <c r="A46" s="3" t="s">
        <v>60</v>
      </c>
      <c r="B46" s="9" t="s">
        <v>33</v>
      </c>
      <c r="C46" s="9" t="s">
        <v>7</v>
      </c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6" t="str">
        <f t="shared" si="0"/>
        <v>-</v>
      </c>
      <c r="K46" s="9" t="s">
        <v>9</v>
      </c>
      <c r="L46" s="10" t="s">
        <v>9</v>
      </c>
      <c r="M46" s="15" t="s">
        <v>9</v>
      </c>
      <c r="N46" s="17" t="str">
        <f t="shared" si="1"/>
        <v>Nincs ilyen!</v>
      </c>
      <c r="R46">
        <f t="shared" si="2"/>
        <v>0</v>
      </c>
    </row>
    <row r="47" spans="1:18" ht="19.5" customHeight="1" x14ac:dyDescent="0.25">
      <c r="A47" s="3" t="s">
        <v>61</v>
      </c>
      <c r="B47" s="9" t="s">
        <v>33</v>
      </c>
      <c r="C47" s="9" t="s">
        <v>18</v>
      </c>
      <c r="D47" s="9">
        <v>5</v>
      </c>
      <c r="E47" s="9" t="s">
        <v>8</v>
      </c>
      <c r="F47" s="9" t="s">
        <v>9</v>
      </c>
      <c r="G47" s="9" t="s">
        <v>9</v>
      </c>
      <c r="H47" s="9" t="s">
        <v>9</v>
      </c>
      <c r="I47" s="9" t="s">
        <v>9</v>
      </c>
      <c r="J47" s="6" t="str">
        <f t="shared" si="0"/>
        <v>-</v>
      </c>
      <c r="K47" s="9" t="s">
        <v>9</v>
      </c>
      <c r="L47" s="10">
        <v>10.7</v>
      </c>
      <c r="M47" s="15">
        <v>11.5</v>
      </c>
      <c r="N47" s="17">
        <f t="shared" si="1"/>
        <v>2020</v>
      </c>
      <c r="R47">
        <f t="shared" si="2"/>
        <v>0.80000000000000071</v>
      </c>
    </row>
    <row r="48" spans="1:18" ht="19.5" customHeight="1" x14ac:dyDescent="0.25">
      <c r="A48" s="3" t="s">
        <v>62</v>
      </c>
      <c r="B48" s="9" t="s">
        <v>27</v>
      </c>
      <c r="C48" s="9"/>
      <c r="D48" s="9">
        <v>1</v>
      </c>
      <c r="E48" s="9"/>
      <c r="F48" s="9" t="s">
        <v>9</v>
      </c>
      <c r="G48" s="9" t="s">
        <v>9</v>
      </c>
      <c r="H48" s="9" t="s">
        <v>9</v>
      </c>
      <c r="I48" s="9" t="s">
        <v>9</v>
      </c>
      <c r="J48" s="6" t="str">
        <f t="shared" si="0"/>
        <v>-</v>
      </c>
      <c r="K48" s="9" t="s">
        <v>9</v>
      </c>
      <c r="L48" s="10" t="s">
        <v>9</v>
      </c>
      <c r="M48" s="15">
        <v>20.399999999999999</v>
      </c>
      <c r="N48" s="17">
        <f t="shared" si="1"/>
        <v>2020</v>
      </c>
      <c r="R48">
        <f t="shared" si="2"/>
        <v>0</v>
      </c>
    </row>
    <row r="49" spans="1:18" ht="19.5" customHeight="1" x14ac:dyDescent="0.25">
      <c r="A49" s="3" t="s">
        <v>63</v>
      </c>
      <c r="B49" s="9" t="s">
        <v>27</v>
      </c>
      <c r="C49" s="9"/>
      <c r="D49" s="9">
        <v>1</v>
      </c>
      <c r="E49" s="9"/>
      <c r="F49" s="9" t="s">
        <v>9</v>
      </c>
      <c r="G49" s="9" t="s">
        <v>9</v>
      </c>
      <c r="H49" s="9" t="s">
        <v>9</v>
      </c>
      <c r="I49" s="9" t="s">
        <v>9</v>
      </c>
      <c r="J49" s="6" t="str">
        <f t="shared" si="0"/>
        <v>-</v>
      </c>
      <c r="K49" s="9" t="s">
        <v>9</v>
      </c>
      <c r="L49" s="10" t="s">
        <v>9</v>
      </c>
      <c r="M49" s="15">
        <v>37.5</v>
      </c>
      <c r="N49" s="17">
        <f t="shared" si="1"/>
        <v>2020</v>
      </c>
      <c r="R49">
        <f t="shared" si="2"/>
        <v>0</v>
      </c>
    </row>
    <row r="50" spans="1:18" ht="19.5" customHeight="1" x14ac:dyDescent="0.25">
      <c r="A50" s="3" t="s">
        <v>64</v>
      </c>
      <c r="B50" s="9" t="s">
        <v>33</v>
      </c>
      <c r="C50" s="9" t="s">
        <v>11</v>
      </c>
      <c r="D50" s="9">
        <v>5</v>
      </c>
      <c r="E50" s="9" t="s">
        <v>8</v>
      </c>
      <c r="F50" s="9" t="s">
        <v>9</v>
      </c>
      <c r="G50" s="9" t="s">
        <v>9</v>
      </c>
      <c r="H50" s="9" t="s">
        <v>9</v>
      </c>
      <c r="I50" s="9" t="s">
        <v>9</v>
      </c>
      <c r="J50" s="6" t="str">
        <f t="shared" si="0"/>
        <v>-</v>
      </c>
      <c r="K50" s="9" t="s">
        <v>9</v>
      </c>
      <c r="L50" s="10">
        <v>10.7</v>
      </c>
      <c r="M50" s="15">
        <v>11.5</v>
      </c>
      <c r="N50" s="17">
        <f t="shared" si="1"/>
        <v>2020</v>
      </c>
      <c r="R50">
        <f t="shared" si="2"/>
        <v>0.80000000000000071</v>
      </c>
    </row>
  </sheetData>
  <conditionalFormatting sqref="G2:M50">
    <cfRule type="expression" dxfId="3" priority="1">
      <formula>AND(F2&lt;&gt;"-",G2&lt;&gt;"-",G2&gt;F2)</formula>
    </cfRule>
    <cfRule type="expression" dxfId="2" priority="2">
      <formula>AND(F2&lt;&gt;"-",G2&lt;&gt;"-",G2&lt;F2)</formula>
    </cfRule>
  </conditionalFormatting>
  <conditionalFormatting sqref="A2:N50">
    <cfRule type="expression" dxfId="1" priority="3">
      <formula>MOD(ROW(),2)=1</formula>
    </cfRule>
    <cfRule type="expression" dxfId="0" priority="4">
      <formula>MOD(ROW(),2)=0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8885-17DE-4F9C-ACA9-CF6DC3C72F95}">
  <dimension ref="A1:F12"/>
  <sheetViews>
    <sheetView workbookViewId="0">
      <selection activeCell="E7" sqref="E7"/>
    </sheetView>
  </sheetViews>
  <sheetFormatPr defaultRowHeight="15" x14ac:dyDescent="0.25"/>
  <cols>
    <col min="1" max="1" width="10.140625" bestFit="1" customWidth="1"/>
    <col min="2" max="2" width="13.28515625" bestFit="1" customWidth="1"/>
    <col min="3" max="3" width="18.85546875" bestFit="1" customWidth="1"/>
    <col min="5" max="5" width="16.7109375" bestFit="1" customWidth="1"/>
    <col min="6" max="6" width="13.85546875" bestFit="1" customWidth="1"/>
  </cols>
  <sheetData>
    <row r="1" spans="1:6" x14ac:dyDescent="0.25">
      <c r="A1" t="s">
        <v>1</v>
      </c>
      <c r="B1" t="s">
        <v>65</v>
      </c>
      <c r="C1" t="s">
        <v>66</v>
      </c>
      <c r="E1" t="s">
        <v>67</v>
      </c>
      <c r="F1" t="s">
        <v>65</v>
      </c>
    </row>
    <row r="2" spans="1:6" x14ac:dyDescent="0.25">
      <c r="A2" t="s">
        <v>27</v>
      </c>
      <c r="B2" t="s">
        <v>68</v>
      </c>
      <c r="C2" t="s">
        <v>69</v>
      </c>
      <c r="E2" t="s">
        <v>7</v>
      </c>
      <c r="F2" t="s">
        <v>70</v>
      </c>
    </row>
    <row r="3" spans="1:6" x14ac:dyDescent="0.25">
      <c r="A3" t="s">
        <v>33</v>
      </c>
      <c r="B3" t="s">
        <v>71</v>
      </c>
      <c r="C3" t="s">
        <v>72</v>
      </c>
      <c r="E3" t="s">
        <v>11</v>
      </c>
      <c r="F3" t="s">
        <v>73</v>
      </c>
    </row>
    <row r="4" spans="1:6" x14ac:dyDescent="0.25">
      <c r="A4" t="s">
        <v>20</v>
      </c>
      <c r="B4" t="s">
        <v>74</v>
      </c>
      <c r="C4" t="s">
        <v>75</v>
      </c>
      <c r="E4" t="s">
        <v>18</v>
      </c>
      <c r="F4" t="s">
        <v>74</v>
      </c>
    </row>
    <row r="5" spans="1:6" x14ac:dyDescent="0.25">
      <c r="A5" t="s">
        <v>6</v>
      </c>
      <c r="B5" t="s">
        <v>76</v>
      </c>
      <c r="C5" t="s">
        <v>77</v>
      </c>
      <c r="E5" t="s">
        <v>45</v>
      </c>
      <c r="F5" t="s">
        <v>78</v>
      </c>
    </row>
    <row r="7" spans="1:6" x14ac:dyDescent="0.25">
      <c r="A7" t="s">
        <v>79</v>
      </c>
      <c r="B7" t="s">
        <v>65</v>
      </c>
      <c r="C7" t="s">
        <v>80</v>
      </c>
    </row>
    <row r="8" spans="1:6" x14ac:dyDescent="0.25">
      <c r="A8">
        <v>5</v>
      </c>
      <c r="B8" t="s">
        <v>81</v>
      </c>
      <c r="C8" t="s">
        <v>82</v>
      </c>
    </row>
    <row r="9" spans="1:6" x14ac:dyDescent="0.25">
      <c r="A9">
        <v>4</v>
      </c>
      <c r="B9" t="s">
        <v>83</v>
      </c>
      <c r="C9" t="s">
        <v>84</v>
      </c>
    </row>
    <row r="10" spans="1:6" x14ac:dyDescent="0.25">
      <c r="A10">
        <v>3</v>
      </c>
      <c r="B10" t="s">
        <v>85</v>
      </c>
      <c r="C10" t="s">
        <v>86</v>
      </c>
    </row>
    <row r="11" spans="1:6" x14ac:dyDescent="0.25">
      <c r="A11">
        <v>2</v>
      </c>
      <c r="B11" t="s">
        <v>87</v>
      </c>
      <c r="C11" t="s">
        <v>88</v>
      </c>
    </row>
    <row r="12" spans="1:6" x14ac:dyDescent="0.25">
      <c r="A12">
        <v>1</v>
      </c>
      <c r="B12" t="s">
        <v>89</v>
      </c>
      <c r="C12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3628-50E0-465E-A9D8-F708D362290F}">
  <dimension ref="A1:G14"/>
  <sheetViews>
    <sheetView workbookViewId="0">
      <selection activeCell="B21" sqref="B21"/>
    </sheetView>
  </sheetViews>
  <sheetFormatPr defaultRowHeight="15" x14ac:dyDescent="0.25"/>
  <cols>
    <col min="1" max="1" width="24.42578125" customWidth="1"/>
    <col min="2" max="2" width="24" bestFit="1" customWidth="1"/>
    <col min="3" max="3" width="23.5703125" bestFit="1" customWidth="1"/>
    <col min="4" max="4" width="12" bestFit="1" customWidth="1"/>
    <col min="5" max="5" width="16.7109375" bestFit="1" customWidth="1"/>
  </cols>
  <sheetData>
    <row r="1" spans="1:7" x14ac:dyDescent="0.25">
      <c r="A1" t="s">
        <v>0</v>
      </c>
      <c r="B1" t="s">
        <v>10</v>
      </c>
      <c r="C1" t="str">
        <f>CONCATENATE(IF(COUNTIFS('Francia egyetemek QS rangsora'!A2:A50,B1)=0,"Nincs adat!",IF(VLOOKUP(B1,'Francia egyetemek QS rangsora'!A2:L50,12,FALSE)="-","Nincs adat!",COUNTIFS('Francia egyetemek QS rangsora'!L2:L50,"&gt;"&amp;VLOOKUP(B1,'Francia egyetemek QS rangsora'!A2:L50,12,FALSE))))," db"," és ",AVERAGEIF('Francia egyetemek QS rangsora'!L2:L50,"&gt;"&amp;VLOOKUP(B1,'Francia egyetemek QS rangsora'!A2:L50,12,FALSE)))</f>
        <v>7 db és 55,4857142857143</v>
      </c>
    </row>
    <row r="3" spans="1:7" x14ac:dyDescent="0.25">
      <c r="A3" t="str">
        <f>IF('Francia egyetemek QS rangsora'!R1=0,"Nincs ilyen",INDEX('Francia egyetemek QS rangsora'!A2:A50,MATCH('Francia egyetemek QS rangsora'!R1,'Francia egyetemek QS rangsora'!R2:R50,0)))</f>
        <v>Université Paris Descartes</v>
      </c>
    </row>
    <row r="5" spans="1:7" x14ac:dyDescent="0.25">
      <c r="A5" t="str">
        <f>IF(1&lt;COUNTIFS('Francia egyetemek QS rangsora'!L2:L50,_xlfn.MAXIFS('Francia egyetemek QS rangsora'!$L$2:$L$50,'Francia egyetemek QS rangsora'!$B$2:$B$50,"S")),"Több ilyen van!",INDEX('Francia egyetemek QS rangsora'!A2:A50,MATCH(_xlfn.MAXIFS('Francia egyetemek QS rangsora'!$L$2:$L$50,'Francia egyetemek QS rangsora'!$B$2:$B$50,"S"),'Francia egyetemek QS rangsora'!L2:L50,0)))</f>
        <v>Ecole Polytechnique</v>
      </c>
    </row>
    <row r="7" spans="1:7" x14ac:dyDescent="0.25">
      <c r="A7">
        <f>DCOUNTA('Francia egyetemek QS rangsora'!A1:N50,'Francia egyetemek QS rangsora'!A1,D8:G14)</f>
        <v>2</v>
      </c>
      <c r="B7">
        <f>DAVERAGE('Francia egyetemek QS rangsora'!A1:N50,"2020",D8:G14)</f>
        <v>36.049999999999997</v>
      </c>
    </row>
    <row r="8" spans="1:7" x14ac:dyDescent="0.25">
      <c r="D8" t="s">
        <v>92</v>
      </c>
      <c r="E8" t="s">
        <v>2</v>
      </c>
      <c r="F8" t="s">
        <v>3</v>
      </c>
      <c r="G8" t="s">
        <v>94</v>
      </c>
    </row>
    <row r="9" spans="1:7" x14ac:dyDescent="0.25">
      <c r="D9" t="b">
        <f>NOT(ISERR(SEARCH("Párizs",'Francia egyetemek QS rangsora'!A2)))</f>
        <v>0</v>
      </c>
      <c r="E9" t="s">
        <v>93</v>
      </c>
      <c r="F9">
        <v>5</v>
      </c>
      <c r="G9" t="b">
        <f>COUNTIFS('Francia egyetemek QS rangsora'!K2:M2,"-")=0</f>
        <v>1</v>
      </c>
    </row>
    <row r="10" spans="1:7" x14ac:dyDescent="0.25">
      <c r="D10" t="b">
        <f>NOT(ISERR(SEARCH("Párizs",'Francia egyetemek QS rangsora'!A2)))</f>
        <v>0</v>
      </c>
      <c r="E10" t="s">
        <v>93</v>
      </c>
      <c r="F10">
        <v>4</v>
      </c>
      <c r="G10" t="b">
        <f>COUNTIFS('Francia egyetemek QS rangsora'!K2:M2,"-")=0</f>
        <v>1</v>
      </c>
    </row>
    <row r="11" spans="1:7" x14ac:dyDescent="0.25">
      <c r="D11" t="b">
        <f>NOT(ISERR(SEARCH("Lyon",'Francia egyetemek QS rangsora'!A2)))</f>
        <v>0</v>
      </c>
      <c r="E11" t="s">
        <v>93</v>
      </c>
      <c r="F11">
        <v>5</v>
      </c>
      <c r="G11" t="b">
        <f>COUNTIFS('Francia egyetemek QS rangsora'!K2:M2,"-")=0</f>
        <v>1</v>
      </c>
    </row>
    <row r="12" spans="1:7" x14ac:dyDescent="0.25">
      <c r="D12" t="b">
        <f>NOT(ISERR(SEARCH("Lyon",'Francia egyetemek QS rangsora'!A2)))</f>
        <v>0</v>
      </c>
      <c r="E12" t="s">
        <v>93</v>
      </c>
      <c r="F12">
        <v>4</v>
      </c>
      <c r="G12" t="b">
        <f>COUNTIFS('Francia egyetemek QS rangsora'!K2:M2,"-")=0</f>
        <v>1</v>
      </c>
    </row>
    <row r="13" spans="1:7" x14ac:dyDescent="0.25">
      <c r="D13" t="b">
        <f>NOT(ISERR(SEARCH("Marseilles",'Francia egyetemek QS rangsora'!A2)))</f>
        <v>0</v>
      </c>
      <c r="E13" t="s">
        <v>93</v>
      </c>
      <c r="F13">
        <v>5</v>
      </c>
      <c r="G13" t="b">
        <f>COUNTIFS('Francia egyetemek QS rangsora'!K2:M2,"-")=0</f>
        <v>1</v>
      </c>
    </row>
    <row r="14" spans="1:7" x14ac:dyDescent="0.25">
      <c r="D14" t="b">
        <f>NOT(ISERR(SEARCH("Marseilles",'Francia egyetemek QS rangsora'!A2)))</f>
        <v>0</v>
      </c>
      <c r="E14" t="s">
        <v>93</v>
      </c>
      <c r="F14">
        <v>4</v>
      </c>
      <c r="G14" t="b">
        <f>COUNTIFS('Francia egyetemek QS rangsora'!K2:M2,"-")=0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E79F-E60B-4F5C-A48C-D6FA54EF1776}">
  <dimension ref="A1:U21"/>
  <sheetViews>
    <sheetView workbookViewId="0">
      <selection activeCell="N26" sqref="N26"/>
    </sheetView>
  </sheetViews>
  <sheetFormatPr defaultRowHeight="15" x14ac:dyDescent="0.25"/>
  <cols>
    <col min="2" max="2" width="9.140625" customWidth="1"/>
  </cols>
  <sheetData>
    <row r="1" spans="1:21" x14ac:dyDescent="0.25">
      <c r="A1" s="18"/>
      <c r="B1" s="19">
        <v>5</v>
      </c>
      <c r="C1" s="19">
        <v>10</v>
      </c>
      <c r="D1" s="19">
        <v>15</v>
      </c>
      <c r="E1" s="19">
        <v>20</v>
      </c>
      <c r="F1" s="19">
        <v>25</v>
      </c>
      <c r="G1" s="19">
        <v>30</v>
      </c>
      <c r="H1" s="19">
        <v>35</v>
      </c>
      <c r="I1" s="19">
        <v>40</v>
      </c>
      <c r="J1" s="19">
        <v>45</v>
      </c>
      <c r="K1" s="19">
        <v>50</v>
      </c>
      <c r="L1" s="19">
        <v>55</v>
      </c>
      <c r="M1" s="19">
        <v>60</v>
      </c>
      <c r="N1" s="19">
        <v>65</v>
      </c>
      <c r="O1" s="19">
        <v>70</v>
      </c>
      <c r="P1" s="19">
        <v>75</v>
      </c>
      <c r="Q1" s="19">
        <v>80</v>
      </c>
      <c r="R1" s="19">
        <v>85</v>
      </c>
      <c r="S1" s="19">
        <v>90</v>
      </c>
      <c r="T1" s="19">
        <v>95</v>
      </c>
      <c r="U1" s="19">
        <v>100</v>
      </c>
    </row>
    <row r="2" spans="1:21" x14ac:dyDescent="0.25">
      <c r="A2" s="20">
        <v>5</v>
      </c>
      <c r="B2" s="21">
        <f>((ROUNDUP(B$1/10,0)*25)+(ROUNDUP($A2/10,0)*15)+200)*1.2</f>
        <v>288</v>
      </c>
      <c r="C2" s="21">
        <f t="shared" ref="C2:U15" si="0">((ROUNDUP(C$1/10,0)*25)+(ROUNDUP($A2/10,0)*15)+200)*1.2</f>
        <v>288</v>
      </c>
      <c r="D2" s="21">
        <f t="shared" si="0"/>
        <v>318</v>
      </c>
      <c r="E2" s="21">
        <f t="shared" si="0"/>
        <v>318</v>
      </c>
      <c r="F2" s="21">
        <f t="shared" si="0"/>
        <v>348</v>
      </c>
      <c r="G2" s="21">
        <f t="shared" si="0"/>
        <v>348</v>
      </c>
      <c r="H2" s="21">
        <f t="shared" si="0"/>
        <v>378</v>
      </c>
      <c r="I2" s="21">
        <f t="shared" si="0"/>
        <v>378</v>
      </c>
      <c r="J2" s="21">
        <f t="shared" si="0"/>
        <v>408</v>
      </c>
      <c r="K2" s="21">
        <f t="shared" si="0"/>
        <v>408</v>
      </c>
      <c r="L2" s="21">
        <f t="shared" si="0"/>
        <v>438</v>
      </c>
      <c r="M2" s="21">
        <f t="shared" si="0"/>
        <v>438</v>
      </c>
      <c r="N2" s="21">
        <f t="shared" si="0"/>
        <v>468</v>
      </c>
      <c r="O2" s="21">
        <f t="shared" si="0"/>
        <v>468</v>
      </c>
      <c r="P2" s="21">
        <f t="shared" si="0"/>
        <v>498</v>
      </c>
      <c r="Q2" s="21">
        <f t="shared" si="0"/>
        <v>498</v>
      </c>
      <c r="R2" s="21">
        <f t="shared" si="0"/>
        <v>528</v>
      </c>
      <c r="S2" s="21">
        <f t="shared" si="0"/>
        <v>528</v>
      </c>
      <c r="T2" s="21">
        <f t="shared" si="0"/>
        <v>558</v>
      </c>
      <c r="U2" s="21">
        <f t="shared" si="0"/>
        <v>558</v>
      </c>
    </row>
    <row r="3" spans="1:21" x14ac:dyDescent="0.25">
      <c r="A3" s="20">
        <v>10</v>
      </c>
      <c r="B3" s="21">
        <f t="shared" ref="B3:Q21" si="1">((ROUNDUP(B$1/10,0)*25)+(ROUNDUP($A3/10,0)*15)+200)*1.2</f>
        <v>288</v>
      </c>
      <c r="C3" s="21">
        <f t="shared" si="0"/>
        <v>288</v>
      </c>
      <c r="D3" s="21">
        <f t="shared" si="0"/>
        <v>318</v>
      </c>
      <c r="E3" s="21">
        <f t="shared" si="0"/>
        <v>318</v>
      </c>
      <c r="F3" s="21">
        <f t="shared" si="0"/>
        <v>348</v>
      </c>
      <c r="G3" s="21">
        <f t="shared" si="0"/>
        <v>348</v>
      </c>
      <c r="H3" s="21">
        <f t="shared" si="0"/>
        <v>378</v>
      </c>
      <c r="I3" s="21">
        <f t="shared" si="0"/>
        <v>378</v>
      </c>
      <c r="J3" s="21">
        <f t="shared" si="0"/>
        <v>408</v>
      </c>
      <c r="K3" s="21">
        <f t="shared" si="0"/>
        <v>408</v>
      </c>
      <c r="L3" s="21">
        <f t="shared" si="0"/>
        <v>438</v>
      </c>
      <c r="M3" s="21">
        <f t="shared" si="0"/>
        <v>438</v>
      </c>
      <c r="N3" s="21">
        <f t="shared" si="0"/>
        <v>468</v>
      </c>
      <c r="O3" s="21">
        <f t="shared" si="0"/>
        <v>468</v>
      </c>
      <c r="P3" s="21">
        <f t="shared" si="0"/>
        <v>498</v>
      </c>
      <c r="Q3" s="21">
        <f t="shared" si="0"/>
        <v>498</v>
      </c>
      <c r="R3" s="21">
        <f t="shared" si="0"/>
        <v>528</v>
      </c>
      <c r="S3" s="21">
        <f t="shared" si="0"/>
        <v>528</v>
      </c>
      <c r="T3" s="21">
        <f t="shared" si="0"/>
        <v>558</v>
      </c>
      <c r="U3" s="21">
        <f t="shared" si="0"/>
        <v>558</v>
      </c>
    </row>
    <row r="4" spans="1:21" x14ac:dyDescent="0.25">
      <c r="A4" s="20">
        <v>15</v>
      </c>
      <c r="B4" s="21">
        <f t="shared" si="1"/>
        <v>306</v>
      </c>
      <c r="C4" s="21">
        <f t="shared" si="0"/>
        <v>306</v>
      </c>
      <c r="D4" s="21">
        <f t="shared" si="0"/>
        <v>336</v>
      </c>
      <c r="E4" s="21">
        <f t="shared" si="0"/>
        <v>336</v>
      </c>
      <c r="F4" s="21">
        <f t="shared" si="0"/>
        <v>366</v>
      </c>
      <c r="G4" s="21">
        <f t="shared" si="0"/>
        <v>366</v>
      </c>
      <c r="H4" s="21">
        <f t="shared" si="0"/>
        <v>396</v>
      </c>
      <c r="I4" s="21">
        <f t="shared" si="0"/>
        <v>396</v>
      </c>
      <c r="J4" s="21">
        <f t="shared" si="0"/>
        <v>426</v>
      </c>
      <c r="K4" s="21">
        <f t="shared" si="0"/>
        <v>426</v>
      </c>
      <c r="L4" s="21">
        <f t="shared" si="0"/>
        <v>456</v>
      </c>
      <c r="M4" s="21">
        <f t="shared" si="0"/>
        <v>456</v>
      </c>
      <c r="N4" s="21">
        <f t="shared" si="0"/>
        <v>486</v>
      </c>
      <c r="O4" s="21">
        <f t="shared" si="0"/>
        <v>486</v>
      </c>
      <c r="P4" s="21">
        <f t="shared" si="0"/>
        <v>516</v>
      </c>
      <c r="Q4" s="21">
        <f t="shared" si="0"/>
        <v>516</v>
      </c>
      <c r="R4" s="21">
        <f t="shared" si="0"/>
        <v>546</v>
      </c>
      <c r="S4" s="21">
        <f t="shared" si="0"/>
        <v>546</v>
      </c>
      <c r="T4" s="21">
        <f t="shared" si="0"/>
        <v>576</v>
      </c>
      <c r="U4" s="21">
        <f t="shared" si="0"/>
        <v>576</v>
      </c>
    </row>
    <row r="5" spans="1:21" x14ac:dyDescent="0.25">
      <c r="A5" s="20">
        <v>20</v>
      </c>
      <c r="B5" s="21">
        <f t="shared" si="1"/>
        <v>306</v>
      </c>
      <c r="C5" s="21">
        <f t="shared" si="0"/>
        <v>306</v>
      </c>
      <c r="D5" s="21">
        <f t="shared" si="0"/>
        <v>336</v>
      </c>
      <c r="E5" s="21">
        <f t="shared" si="0"/>
        <v>336</v>
      </c>
      <c r="F5" s="21">
        <f t="shared" si="0"/>
        <v>366</v>
      </c>
      <c r="G5" s="21">
        <f t="shared" si="0"/>
        <v>366</v>
      </c>
      <c r="H5" s="21">
        <f t="shared" si="0"/>
        <v>396</v>
      </c>
      <c r="I5" s="21">
        <f t="shared" si="0"/>
        <v>396</v>
      </c>
      <c r="J5" s="21">
        <f t="shared" si="0"/>
        <v>426</v>
      </c>
      <c r="K5" s="21">
        <f t="shared" si="0"/>
        <v>426</v>
      </c>
      <c r="L5" s="21">
        <f t="shared" si="0"/>
        <v>456</v>
      </c>
      <c r="M5" s="21">
        <f t="shared" si="0"/>
        <v>456</v>
      </c>
      <c r="N5" s="21">
        <f t="shared" si="0"/>
        <v>486</v>
      </c>
      <c r="O5" s="21">
        <f t="shared" si="0"/>
        <v>486</v>
      </c>
      <c r="P5" s="21">
        <f t="shared" si="0"/>
        <v>516</v>
      </c>
      <c r="Q5" s="21">
        <f t="shared" si="0"/>
        <v>516</v>
      </c>
      <c r="R5" s="21">
        <f t="shared" si="0"/>
        <v>546</v>
      </c>
      <c r="S5" s="21">
        <f t="shared" si="0"/>
        <v>546</v>
      </c>
      <c r="T5" s="21">
        <f t="shared" si="0"/>
        <v>576</v>
      </c>
      <c r="U5" s="21">
        <f t="shared" si="0"/>
        <v>576</v>
      </c>
    </row>
    <row r="6" spans="1:21" x14ac:dyDescent="0.25">
      <c r="A6" s="20">
        <v>25</v>
      </c>
      <c r="B6" s="21">
        <f t="shared" si="1"/>
        <v>324</v>
      </c>
      <c r="C6" s="21">
        <f t="shared" si="0"/>
        <v>324</v>
      </c>
      <c r="D6" s="21">
        <f t="shared" si="0"/>
        <v>354</v>
      </c>
      <c r="E6" s="21">
        <f t="shared" si="0"/>
        <v>354</v>
      </c>
      <c r="F6" s="21">
        <f t="shared" si="0"/>
        <v>384</v>
      </c>
      <c r="G6" s="21">
        <f t="shared" si="0"/>
        <v>384</v>
      </c>
      <c r="H6" s="21">
        <f t="shared" si="0"/>
        <v>414</v>
      </c>
      <c r="I6" s="21">
        <f t="shared" si="0"/>
        <v>414</v>
      </c>
      <c r="J6" s="21">
        <f t="shared" si="0"/>
        <v>444</v>
      </c>
      <c r="K6" s="21">
        <f t="shared" si="0"/>
        <v>444</v>
      </c>
      <c r="L6" s="21">
        <f t="shared" si="0"/>
        <v>474</v>
      </c>
      <c r="M6" s="21">
        <f t="shared" si="0"/>
        <v>474</v>
      </c>
      <c r="N6" s="21">
        <f t="shared" si="0"/>
        <v>504</v>
      </c>
      <c r="O6" s="21">
        <f t="shared" si="0"/>
        <v>504</v>
      </c>
      <c r="P6" s="21">
        <f t="shared" si="0"/>
        <v>534</v>
      </c>
      <c r="Q6" s="21">
        <f t="shared" si="0"/>
        <v>534</v>
      </c>
      <c r="R6" s="21">
        <f t="shared" si="0"/>
        <v>564</v>
      </c>
      <c r="S6" s="21">
        <f t="shared" si="0"/>
        <v>564</v>
      </c>
      <c r="T6" s="21">
        <f t="shared" si="0"/>
        <v>594</v>
      </c>
      <c r="U6" s="21">
        <f t="shared" si="0"/>
        <v>594</v>
      </c>
    </row>
    <row r="7" spans="1:21" x14ac:dyDescent="0.25">
      <c r="A7" s="20">
        <v>30</v>
      </c>
      <c r="B7" s="21">
        <f t="shared" si="1"/>
        <v>324</v>
      </c>
      <c r="C7" s="21">
        <f t="shared" si="0"/>
        <v>324</v>
      </c>
      <c r="D7" s="21">
        <f t="shared" si="0"/>
        <v>354</v>
      </c>
      <c r="E7" s="21">
        <f t="shared" si="0"/>
        <v>354</v>
      </c>
      <c r="F7" s="21">
        <f t="shared" si="0"/>
        <v>384</v>
      </c>
      <c r="G7" s="21">
        <f t="shared" si="0"/>
        <v>384</v>
      </c>
      <c r="H7" s="21">
        <f t="shared" si="0"/>
        <v>414</v>
      </c>
      <c r="I7" s="21">
        <f t="shared" si="0"/>
        <v>414</v>
      </c>
      <c r="J7" s="21">
        <f t="shared" si="0"/>
        <v>444</v>
      </c>
      <c r="K7" s="21">
        <f t="shared" si="0"/>
        <v>444</v>
      </c>
      <c r="L7" s="21">
        <f t="shared" si="0"/>
        <v>474</v>
      </c>
      <c r="M7" s="21">
        <f t="shared" si="0"/>
        <v>474</v>
      </c>
      <c r="N7" s="21">
        <f t="shared" si="0"/>
        <v>504</v>
      </c>
      <c r="O7" s="21">
        <f t="shared" si="0"/>
        <v>504</v>
      </c>
      <c r="P7" s="21">
        <f t="shared" si="0"/>
        <v>534</v>
      </c>
      <c r="Q7" s="21">
        <f t="shared" si="0"/>
        <v>534</v>
      </c>
      <c r="R7" s="21">
        <f t="shared" si="0"/>
        <v>564</v>
      </c>
      <c r="S7" s="21">
        <f t="shared" si="0"/>
        <v>564</v>
      </c>
      <c r="T7" s="21">
        <f t="shared" si="0"/>
        <v>594</v>
      </c>
      <c r="U7" s="21">
        <f t="shared" si="0"/>
        <v>594</v>
      </c>
    </row>
    <row r="8" spans="1:21" x14ac:dyDescent="0.25">
      <c r="A8" s="20">
        <v>35</v>
      </c>
      <c r="B8" s="21">
        <f t="shared" si="1"/>
        <v>342</v>
      </c>
      <c r="C8" s="21">
        <f t="shared" si="0"/>
        <v>342</v>
      </c>
      <c r="D8" s="21">
        <f t="shared" si="0"/>
        <v>372</v>
      </c>
      <c r="E8" s="21">
        <f t="shared" si="0"/>
        <v>372</v>
      </c>
      <c r="F8" s="21">
        <f t="shared" si="0"/>
        <v>402</v>
      </c>
      <c r="G8" s="21">
        <f t="shared" si="0"/>
        <v>402</v>
      </c>
      <c r="H8" s="21">
        <f t="shared" si="0"/>
        <v>432</v>
      </c>
      <c r="I8" s="21">
        <f t="shared" si="0"/>
        <v>432</v>
      </c>
      <c r="J8" s="21">
        <f t="shared" si="0"/>
        <v>462</v>
      </c>
      <c r="K8" s="21">
        <f t="shared" si="0"/>
        <v>462</v>
      </c>
      <c r="L8" s="21">
        <f t="shared" si="0"/>
        <v>492</v>
      </c>
      <c r="M8" s="21">
        <f t="shared" si="0"/>
        <v>492</v>
      </c>
      <c r="N8" s="21">
        <f t="shared" si="0"/>
        <v>522</v>
      </c>
      <c r="O8" s="21">
        <f t="shared" si="0"/>
        <v>522</v>
      </c>
      <c r="P8" s="21">
        <f t="shared" si="0"/>
        <v>552</v>
      </c>
      <c r="Q8" s="21">
        <f t="shared" si="0"/>
        <v>552</v>
      </c>
      <c r="R8" s="21">
        <f t="shared" si="0"/>
        <v>582</v>
      </c>
      <c r="S8" s="21">
        <f t="shared" si="0"/>
        <v>582</v>
      </c>
      <c r="T8" s="21">
        <f t="shared" si="0"/>
        <v>612</v>
      </c>
      <c r="U8" s="21">
        <f t="shared" si="0"/>
        <v>612</v>
      </c>
    </row>
    <row r="9" spans="1:21" x14ac:dyDescent="0.25">
      <c r="A9" s="20">
        <v>40</v>
      </c>
      <c r="B9" s="21">
        <f t="shared" si="1"/>
        <v>342</v>
      </c>
      <c r="C9" s="21">
        <f t="shared" si="0"/>
        <v>342</v>
      </c>
      <c r="D9" s="21">
        <f t="shared" si="0"/>
        <v>372</v>
      </c>
      <c r="E9" s="21">
        <f t="shared" si="0"/>
        <v>372</v>
      </c>
      <c r="F9" s="21">
        <f t="shared" si="0"/>
        <v>402</v>
      </c>
      <c r="G9" s="21">
        <f t="shared" si="0"/>
        <v>402</v>
      </c>
      <c r="H9" s="21">
        <f t="shared" si="0"/>
        <v>432</v>
      </c>
      <c r="I9" s="21">
        <f t="shared" si="0"/>
        <v>432</v>
      </c>
      <c r="J9" s="21">
        <f t="shared" si="0"/>
        <v>462</v>
      </c>
      <c r="K9" s="21">
        <f t="shared" si="0"/>
        <v>462</v>
      </c>
      <c r="L9" s="21">
        <f t="shared" si="0"/>
        <v>492</v>
      </c>
      <c r="M9" s="21">
        <f t="shared" si="0"/>
        <v>492</v>
      </c>
      <c r="N9" s="21">
        <f t="shared" si="0"/>
        <v>522</v>
      </c>
      <c r="O9" s="21">
        <f t="shared" si="0"/>
        <v>522</v>
      </c>
      <c r="P9" s="21">
        <f t="shared" si="0"/>
        <v>552</v>
      </c>
      <c r="Q9" s="21">
        <f t="shared" si="0"/>
        <v>552</v>
      </c>
      <c r="R9" s="21">
        <f t="shared" si="0"/>
        <v>582</v>
      </c>
      <c r="S9" s="21">
        <f t="shared" si="0"/>
        <v>582</v>
      </c>
      <c r="T9" s="21">
        <f t="shared" si="0"/>
        <v>612</v>
      </c>
      <c r="U9" s="21">
        <f t="shared" si="0"/>
        <v>612</v>
      </c>
    </row>
    <row r="10" spans="1:21" x14ac:dyDescent="0.25">
      <c r="A10" s="20">
        <v>45</v>
      </c>
      <c r="B10" s="21">
        <f t="shared" si="1"/>
        <v>360</v>
      </c>
      <c r="C10" s="21">
        <f t="shared" si="0"/>
        <v>360</v>
      </c>
      <c r="D10" s="21">
        <f t="shared" si="0"/>
        <v>390</v>
      </c>
      <c r="E10" s="21">
        <f t="shared" si="0"/>
        <v>390</v>
      </c>
      <c r="F10" s="21">
        <f t="shared" si="0"/>
        <v>420</v>
      </c>
      <c r="G10" s="21">
        <f t="shared" si="0"/>
        <v>420</v>
      </c>
      <c r="H10" s="21">
        <f t="shared" si="0"/>
        <v>450</v>
      </c>
      <c r="I10" s="21">
        <f t="shared" si="0"/>
        <v>450</v>
      </c>
      <c r="J10" s="21">
        <f t="shared" si="0"/>
        <v>480</v>
      </c>
      <c r="K10" s="21">
        <f t="shared" si="0"/>
        <v>480</v>
      </c>
      <c r="L10" s="21">
        <f t="shared" si="0"/>
        <v>510</v>
      </c>
      <c r="M10" s="21">
        <f t="shared" si="0"/>
        <v>510</v>
      </c>
      <c r="N10" s="21">
        <f t="shared" si="0"/>
        <v>540</v>
      </c>
      <c r="O10" s="21">
        <f t="shared" si="0"/>
        <v>540</v>
      </c>
      <c r="P10" s="21">
        <f t="shared" si="0"/>
        <v>570</v>
      </c>
      <c r="Q10" s="21">
        <f t="shared" si="0"/>
        <v>570</v>
      </c>
      <c r="R10" s="21">
        <f t="shared" si="0"/>
        <v>600</v>
      </c>
      <c r="S10" s="21">
        <f t="shared" si="0"/>
        <v>600</v>
      </c>
      <c r="T10" s="21">
        <f t="shared" si="0"/>
        <v>630</v>
      </c>
      <c r="U10" s="21">
        <f t="shared" si="0"/>
        <v>630</v>
      </c>
    </row>
    <row r="11" spans="1:21" x14ac:dyDescent="0.25">
      <c r="A11" s="20">
        <v>50</v>
      </c>
      <c r="B11" s="21">
        <f t="shared" si="1"/>
        <v>360</v>
      </c>
      <c r="C11" s="21">
        <f t="shared" si="0"/>
        <v>360</v>
      </c>
      <c r="D11" s="21">
        <f t="shared" si="0"/>
        <v>390</v>
      </c>
      <c r="E11" s="21">
        <f t="shared" si="0"/>
        <v>390</v>
      </c>
      <c r="F11" s="21">
        <f t="shared" si="0"/>
        <v>420</v>
      </c>
      <c r="G11" s="21">
        <f t="shared" si="0"/>
        <v>420</v>
      </c>
      <c r="H11" s="21">
        <f t="shared" si="0"/>
        <v>450</v>
      </c>
      <c r="I11" s="21">
        <f t="shared" si="0"/>
        <v>450</v>
      </c>
      <c r="J11" s="21">
        <f t="shared" si="0"/>
        <v>480</v>
      </c>
      <c r="K11" s="21">
        <f t="shared" si="0"/>
        <v>480</v>
      </c>
      <c r="L11" s="21">
        <f t="shared" si="0"/>
        <v>510</v>
      </c>
      <c r="M11" s="21">
        <f t="shared" si="0"/>
        <v>510</v>
      </c>
      <c r="N11" s="21">
        <f t="shared" si="0"/>
        <v>540</v>
      </c>
      <c r="O11" s="21">
        <f t="shared" si="0"/>
        <v>540</v>
      </c>
      <c r="P11" s="21">
        <f t="shared" si="0"/>
        <v>570</v>
      </c>
      <c r="Q11" s="21">
        <f t="shared" si="0"/>
        <v>570</v>
      </c>
      <c r="R11" s="21">
        <f t="shared" si="0"/>
        <v>600</v>
      </c>
      <c r="S11" s="21">
        <f t="shared" si="0"/>
        <v>600</v>
      </c>
      <c r="T11" s="21">
        <f t="shared" si="0"/>
        <v>630</v>
      </c>
      <c r="U11" s="21">
        <f t="shared" si="0"/>
        <v>630</v>
      </c>
    </row>
    <row r="12" spans="1:21" x14ac:dyDescent="0.25">
      <c r="A12" s="20">
        <v>55</v>
      </c>
      <c r="B12" s="21">
        <f t="shared" si="1"/>
        <v>378</v>
      </c>
      <c r="C12" s="21">
        <f t="shared" si="0"/>
        <v>378</v>
      </c>
      <c r="D12" s="21">
        <f t="shared" si="0"/>
        <v>408</v>
      </c>
      <c r="E12" s="21">
        <f t="shared" si="0"/>
        <v>408</v>
      </c>
      <c r="F12" s="21">
        <f t="shared" si="0"/>
        <v>438</v>
      </c>
      <c r="G12" s="21">
        <f t="shared" si="0"/>
        <v>438</v>
      </c>
      <c r="H12" s="21">
        <f t="shared" si="0"/>
        <v>468</v>
      </c>
      <c r="I12" s="21">
        <f t="shared" si="0"/>
        <v>468</v>
      </c>
      <c r="J12" s="21">
        <f t="shared" si="0"/>
        <v>498</v>
      </c>
      <c r="K12" s="21">
        <f t="shared" si="0"/>
        <v>498</v>
      </c>
      <c r="L12" s="21">
        <f t="shared" si="0"/>
        <v>528</v>
      </c>
      <c r="M12" s="21">
        <f t="shared" si="0"/>
        <v>528</v>
      </c>
      <c r="N12" s="21">
        <f t="shared" si="0"/>
        <v>558</v>
      </c>
      <c r="O12" s="21">
        <f t="shared" si="0"/>
        <v>558</v>
      </c>
      <c r="P12" s="21">
        <f t="shared" si="0"/>
        <v>588</v>
      </c>
      <c r="Q12" s="21">
        <f t="shared" si="0"/>
        <v>588</v>
      </c>
      <c r="R12" s="21">
        <f t="shared" si="0"/>
        <v>618</v>
      </c>
      <c r="S12" s="21">
        <f t="shared" si="0"/>
        <v>618</v>
      </c>
      <c r="T12" s="21">
        <f t="shared" si="0"/>
        <v>648</v>
      </c>
      <c r="U12" s="21">
        <f t="shared" si="0"/>
        <v>648</v>
      </c>
    </row>
    <row r="13" spans="1:21" x14ac:dyDescent="0.25">
      <c r="A13" s="20">
        <v>60</v>
      </c>
      <c r="B13" s="21">
        <f t="shared" si="1"/>
        <v>378</v>
      </c>
      <c r="C13" s="21">
        <f t="shared" si="0"/>
        <v>378</v>
      </c>
      <c r="D13" s="21">
        <f t="shared" si="0"/>
        <v>408</v>
      </c>
      <c r="E13" s="21">
        <f t="shared" si="0"/>
        <v>408</v>
      </c>
      <c r="F13" s="21">
        <f t="shared" si="0"/>
        <v>438</v>
      </c>
      <c r="G13" s="21">
        <f t="shared" si="0"/>
        <v>438</v>
      </c>
      <c r="H13" s="21">
        <f t="shared" si="0"/>
        <v>468</v>
      </c>
      <c r="I13" s="21">
        <f t="shared" si="0"/>
        <v>468</v>
      </c>
      <c r="J13" s="21">
        <f t="shared" si="0"/>
        <v>498</v>
      </c>
      <c r="K13" s="21">
        <f t="shared" si="0"/>
        <v>498</v>
      </c>
      <c r="L13" s="21">
        <f t="shared" si="0"/>
        <v>528</v>
      </c>
      <c r="M13" s="21">
        <f t="shared" si="0"/>
        <v>528</v>
      </c>
      <c r="N13" s="21">
        <f t="shared" si="0"/>
        <v>558</v>
      </c>
      <c r="O13" s="21">
        <f t="shared" si="0"/>
        <v>558</v>
      </c>
      <c r="P13" s="21">
        <f t="shared" si="0"/>
        <v>588</v>
      </c>
      <c r="Q13" s="21">
        <f t="shared" si="0"/>
        <v>588</v>
      </c>
      <c r="R13" s="21">
        <f t="shared" si="0"/>
        <v>618</v>
      </c>
      <c r="S13" s="21">
        <f t="shared" si="0"/>
        <v>618</v>
      </c>
      <c r="T13" s="21">
        <f t="shared" si="0"/>
        <v>648</v>
      </c>
      <c r="U13" s="21">
        <f t="shared" si="0"/>
        <v>648</v>
      </c>
    </row>
    <row r="14" spans="1:21" x14ac:dyDescent="0.25">
      <c r="A14" s="20">
        <v>65</v>
      </c>
      <c r="B14" s="21">
        <f t="shared" si="1"/>
        <v>396</v>
      </c>
      <c r="C14" s="21">
        <f t="shared" si="0"/>
        <v>396</v>
      </c>
      <c r="D14" s="21">
        <f t="shared" si="0"/>
        <v>426</v>
      </c>
      <c r="E14" s="21">
        <f t="shared" si="0"/>
        <v>426</v>
      </c>
      <c r="F14" s="21">
        <f t="shared" si="0"/>
        <v>456</v>
      </c>
      <c r="G14" s="21">
        <f t="shared" si="0"/>
        <v>456</v>
      </c>
      <c r="H14" s="21">
        <f t="shared" si="0"/>
        <v>486</v>
      </c>
      <c r="I14" s="21">
        <f t="shared" si="0"/>
        <v>486</v>
      </c>
      <c r="J14" s="21">
        <f t="shared" si="0"/>
        <v>516</v>
      </c>
      <c r="K14" s="21">
        <f t="shared" si="0"/>
        <v>516</v>
      </c>
      <c r="L14" s="21">
        <f t="shared" si="0"/>
        <v>546</v>
      </c>
      <c r="M14" s="21">
        <f t="shared" si="0"/>
        <v>546</v>
      </c>
      <c r="N14" s="21">
        <f t="shared" si="0"/>
        <v>576</v>
      </c>
      <c r="O14" s="21">
        <f t="shared" si="0"/>
        <v>576</v>
      </c>
      <c r="P14" s="21">
        <f t="shared" si="0"/>
        <v>606</v>
      </c>
      <c r="Q14" s="21">
        <f t="shared" si="0"/>
        <v>606</v>
      </c>
      <c r="R14" s="21">
        <f t="shared" si="0"/>
        <v>636</v>
      </c>
      <c r="S14" s="21">
        <f t="shared" si="0"/>
        <v>636</v>
      </c>
      <c r="T14" s="21">
        <f t="shared" si="0"/>
        <v>666</v>
      </c>
      <c r="U14" s="21">
        <f t="shared" si="0"/>
        <v>666</v>
      </c>
    </row>
    <row r="15" spans="1:21" x14ac:dyDescent="0.25">
      <c r="A15" s="20">
        <v>70</v>
      </c>
      <c r="B15" s="21">
        <f t="shared" si="1"/>
        <v>396</v>
      </c>
      <c r="C15" s="21">
        <f t="shared" si="0"/>
        <v>396</v>
      </c>
      <c r="D15" s="21">
        <f t="shared" si="0"/>
        <v>426</v>
      </c>
      <c r="E15" s="21">
        <f t="shared" si="0"/>
        <v>426</v>
      </c>
      <c r="F15" s="21">
        <f t="shared" si="0"/>
        <v>456</v>
      </c>
      <c r="G15" s="21">
        <f t="shared" si="0"/>
        <v>456</v>
      </c>
      <c r="H15" s="21">
        <f t="shared" si="0"/>
        <v>486</v>
      </c>
      <c r="I15" s="21">
        <f t="shared" si="0"/>
        <v>486</v>
      </c>
      <c r="J15" s="21">
        <f t="shared" si="0"/>
        <v>516</v>
      </c>
      <c r="K15" s="21">
        <f t="shared" ref="K15:U21" si="2">((ROUNDUP(K$1/10,0)*25)+(ROUNDUP($A15/10,0)*15)+200)*1.2</f>
        <v>516</v>
      </c>
      <c r="L15" s="21">
        <f t="shared" si="2"/>
        <v>546</v>
      </c>
      <c r="M15" s="21">
        <f t="shared" si="2"/>
        <v>546</v>
      </c>
      <c r="N15" s="21">
        <f t="shared" si="2"/>
        <v>576</v>
      </c>
      <c r="O15" s="21">
        <f t="shared" si="2"/>
        <v>576</v>
      </c>
      <c r="P15" s="21">
        <f t="shared" si="2"/>
        <v>606</v>
      </c>
      <c r="Q15" s="21">
        <f t="shared" si="2"/>
        <v>606</v>
      </c>
      <c r="R15" s="21">
        <f t="shared" si="2"/>
        <v>636</v>
      </c>
      <c r="S15" s="21">
        <f t="shared" si="2"/>
        <v>636</v>
      </c>
      <c r="T15" s="21">
        <f t="shared" si="2"/>
        <v>666</v>
      </c>
      <c r="U15" s="21">
        <f t="shared" si="2"/>
        <v>666</v>
      </c>
    </row>
    <row r="16" spans="1:21" x14ac:dyDescent="0.25">
      <c r="A16" s="20">
        <v>75</v>
      </c>
      <c r="B16" s="21">
        <f t="shared" si="1"/>
        <v>414</v>
      </c>
      <c r="C16" s="21">
        <f t="shared" si="1"/>
        <v>414</v>
      </c>
      <c r="D16" s="21">
        <f t="shared" si="1"/>
        <v>444</v>
      </c>
      <c r="E16" s="21">
        <f t="shared" si="1"/>
        <v>444</v>
      </c>
      <c r="F16" s="21">
        <f t="shared" si="1"/>
        <v>474</v>
      </c>
      <c r="G16" s="21">
        <f t="shared" si="1"/>
        <v>474</v>
      </c>
      <c r="H16" s="21">
        <f t="shared" si="1"/>
        <v>504</v>
      </c>
      <c r="I16" s="21">
        <f t="shared" si="1"/>
        <v>504</v>
      </c>
      <c r="J16" s="21">
        <f t="shared" si="1"/>
        <v>534</v>
      </c>
      <c r="K16" s="21">
        <f t="shared" si="1"/>
        <v>534</v>
      </c>
      <c r="L16" s="21">
        <f t="shared" si="1"/>
        <v>564</v>
      </c>
      <c r="M16" s="21">
        <f t="shared" si="1"/>
        <v>564</v>
      </c>
      <c r="N16" s="21">
        <f t="shared" si="1"/>
        <v>594</v>
      </c>
      <c r="O16" s="21">
        <f t="shared" si="1"/>
        <v>594</v>
      </c>
      <c r="P16" s="21">
        <f t="shared" si="1"/>
        <v>624</v>
      </c>
      <c r="Q16" s="21">
        <f t="shared" si="1"/>
        <v>624</v>
      </c>
      <c r="R16" s="21">
        <f t="shared" si="2"/>
        <v>654</v>
      </c>
      <c r="S16" s="21">
        <f t="shared" si="2"/>
        <v>654</v>
      </c>
      <c r="T16" s="21">
        <f t="shared" si="2"/>
        <v>684</v>
      </c>
      <c r="U16" s="21">
        <f t="shared" si="2"/>
        <v>684</v>
      </c>
    </row>
    <row r="17" spans="1:21" x14ac:dyDescent="0.25">
      <c r="A17" s="20">
        <v>80</v>
      </c>
      <c r="B17" s="21">
        <f t="shared" si="1"/>
        <v>414</v>
      </c>
      <c r="C17" s="21">
        <f t="shared" si="1"/>
        <v>414</v>
      </c>
      <c r="D17" s="21">
        <f t="shared" si="1"/>
        <v>444</v>
      </c>
      <c r="E17" s="21">
        <f t="shared" si="1"/>
        <v>444</v>
      </c>
      <c r="F17" s="21">
        <f t="shared" si="1"/>
        <v>474</v>
      </c>
      <c r="G17" s="21">
        <f t="shared" si="1"/>
        <v>474</v>
      </c>
      <c r="H17" s="21">
        <f t="shared" si="1"/>
        <v>504</v>
      </c>
      <c r="I17" s="21">
        <f t="shared" si="1"/>
        <v>504</v>
      </c>
      <c r="J17" s="21">
        <f t="shared" si="1"/>
        <v>534</v>
      </c>
      <c r="K17" s="21">
        <f t="shared" si="1"/>
        <v>534</v>
      </c>
      <c r="L17" s="21">
        <f t="shared" si="1"/>
        <v>564</v>
      </c>
      <c r="M17" s="21">
        <f t="shared" si="1"/>
        <v>564</v>
      </c>
      <c r="N17" s="21">
        <f t="shared" si="1"/>
        <v>594</v>
      </c>
      <c r="O17" s="21">
        <f t="shared" si="1"/>
        <v>594</v>
      </c>
      <c r="P17" s="21">
        <f t="shared" si="1"/>
        <v>624</v>
      </c>
      <c r="Q17" s="21">
        <f t="shared" si="1"/>
        <v>624</v>
      </c>
      <c r="R17" s="21">
        <f t="shared" si="2"/>
        <v>654</v>
      </c>
      <c r="S17" s="21">
        <f t="shared" si="2"/>
        <v>654</v>
      </c>
      <c r="T17" s="21">
        <f t="shared" si="2"/>
        <v>684</v>
      </c>
      <c r="U17" s="21">
        <f t="shared" si="2"/>
        <v>684</v>
      </c>
    </row>
    <row r="18" spans="1:21" x14ac:dyDescent="0.25">
      <c r="A18" s="20">
        <v>85</v>
      </c>
      <c r="B18" s="21">
        <f t="shared" si="1"/>
        <v>432</v>
      </c>
      <c r="C18" s="21">
        <f t="shared" si="1"/>
        <v>432</v>
      </c>
      <c r="D18" s="21">
        <f t="shared" si="1"/>
        <v>462</v>
      </c>
      <c r="E18" s="21">
        <f t="shared" si="1"/>
        <v>462</v>
      </c>
      <c r="F18" s="21">
        <f t="shared" si="1"/>
        <v>492</v>
      </c>
      <c r="G18" s="21">
        <f t="shared" si="1"/>
        <v>492</v>
      </c>
      <c r="H18" s="21">
        <f t="shared" si="1"/>
        <v>522</v>
      </c>
      <c r="I18" s="21">
        <f t="shared" si="1"/>
        <v>522</v>
      </c>
      <c r="J18" s="21">
        <f t="shared" si="1"/>
        <v>552</v>
      </c>
      <c r="K18" s="21">
        <f t="shared" si="1"/>
        <v>552</v>
      </c>
      <c r="L18" s="21">
        <f t="shared" si="1"/>
        <v>582</v>
      </c>
      <c r="M18" s="21">
        <f t="shared" si="1"/>
        <v>582</v>
      </c>
      <c r="N18" s="21">
        <f t="shared" si="1"/>
        <v>612</v>
      </c>
      <c r="O18" s="21">
        <f t="shared" si="1"/>
        <v>612</v>
      </c>
      <c r="P18" s="21">
        <f t="shared" si="1"/>
        <v>642</v>
      </c>
      <c r="Q18" s="21">
        <f t="shared" si="1"/>
        <v>642</v>
      </c>
      <c r="R18" s="21">
        <f t="shared" si="2"/>
        <v>672</v>
      </c>
      <c r="S18" s="21">
        <f t="shared" si="2"/>
        <v>672</v>
      </c>
      <c r="T18" s="21">
        <f t="shared" si="2"/>
        <v>702</v>
      </c>
      <c r="U18" s="21">
        <f t="shared" si="2"/>
        <v>702</v>
      </c>
    </row>
    <row r="19" spans="1:21" x14ac:dyDescent="0.25">
      <c r="A19" s="20">
        <v>90</v>
      </c>
      <c r="B19" s="21">
        <f t="shared" si="1"/>
        <v>432</v>
      </c>
      <c r="C19" s="21">
        <f t="shared" si="1"/>
        <v>432</v>
      </c>
      <c r="D19" s="21">
        <f t="shared" si="1"/>
        <v>462</v>
      </c>
      <c r="E19" s="21">
        <f t="shared" si="1"/>
        <v>462</v>
      </c>
      <c r="F19" s="21">
        <f t="shared" si="1"/>
        <v>492</v>
      </c>
      <c r="G19" s="21">
        <f t="shared" si="1"/>
        <v>492</v>
      </c>
      <c r="H19" s="21">
        <f t="shared" si="1"/>
        <v>522</v>
      </c>
      <c r="I19" s="21">
        <f t="shared" si="1"/>
        <v>522</v>
      </c>
      <c r="J19" s="21">
        <f t="shared" si="1"/>
        <v>552</v>
      </c>
      <c r="K19" s="21">
        <f t="shared" si="1"/>
        <v>552</v>
      </c>
      <c r="L19" s="21">
        <f t="shared" si="1"/>
        <v>582</v>
      </c>
      <c r="M19" s="21">
        <f t="shared" si="1"/>
        <v>582</v>
      </c>
      <c r="N19" s="21">
        <f t="shared" si="1"/>
        <v>612</v>
      </c>
      <c r="O19" s="21">
        <f t="shared" si="1"/>
        <v>612</v>
      </c>
      <c r="P19" s="21">
        <f t="shared" si="1"/>
        <v>642</v>
      </c>
      <c r="Q19" s="21">
        <f t="shared" si="1"/>
        <v>642</v>
      </c>
      <c r="R19" s="21">
        <f t="shared" si="2"/>
        <v>672</v>
      </c>
      <c r="S19" s="21">
        <f t="shared" si="2"/>
        <v>672</v>
      </c>
      <c r="T19" s="21">
        <f t="shared" si="2"/>
        <v>702</v>
      </c>
      <c r="U19" s="21">
        <f t="shared" si="2"/>
        <v>702</v>
      </c>
    </row>
    <row r="20" spans="1:21" x14ac:dyDescent="0.25">
      <c r="A20" s="20">
        <v>95</v>
      </c>
      <c r="B20" s="21">
        <f t="shared" si="1"/>
        <v>450</v>
      </c>
      <c r="C20" s="21">
        <f t="shared" si="1"/>
        <v>450</v>
      </c>
      <c r="D20" s="21">
        <f t="shared" si="1"/>
        <v>480</v>
      </c>
      <c r="E20" s="21">
        <f t="shared" si="1"/>
        <v>480</v>
      </c>
      <c r="F20" s="21">
        <f t="shared" si="1"/>
        <v>510</v>
      </c>
      <c r="G20" s="21">
        <f t="shared" si="1"/>
        <v>510</v>
      </c>
      <c r="H20" s="21">
        <f t="shared" si="1"/>
        <v>540</v>
      </c>
      <c r="I20" s="21">
        <f t="shared" si="1"/>
        <v>540</v>
      </c>
      <c r="J20" s="21">
        <f t="shared" si="1"/>
        <v>570</v>
      </c>
      <c r="K20" s="21">
        <f t="shared" si="1"/>
        <v>570</v>
      </c>
      <c r="L20" s="21">
        <f t="shared" si="1"/>
        <v>600</v>
      </c>
      <c r="M20" s="21">
        <f t="shared" si="1"/>
        <v>600</v>
      </c>
      <c r="N20" s="21">
        <f t="shared" si="1"/>
        <v>630</v>
      </c>
      <c r="O20" s="21">
        <f t="shared" si="1"/>
        <v>630</v>
      </c>
      <c r="P20" s="21">
        <f t="shared" si="1"/>
        <v>660</v>
      </c>
      <c r="Q20" s="21">
        <f t="shared" si="1"/>
        <v>660</v>
      </c>
      <c r="R20" s="21">
        <f t="shared" si="2"/>
        <v>690</v>
      </c>
      <c r="S20" s="21">
        <f t="shared" si="2"/>
        <v>690</v>
      </c>
      <c r="T20" s="21">
        <f t="shared" si="2"/>
        <v>720</v>
      </c>
      <c r="U20" s="21">
        <f t="shared" si="2"/>
        <v>720</v>
      </c>
    </row>
    <row r="21" spans="1:21" x14ac:dyDescent="0.25">
      <c r="A21" s="20">
        <v>100</v>
      </c>
      <c r="B21" s="21">
        <f t="shared" si="1"/>
        <v>450</v>
      </c>
      <c r="C21" s="21">
        <f t="shared" si="1"/>
        <v>450</v>
      </c>
      <c r="D21" s="21">
        <f t="shared" si="1"/>
        <v>480</v>
      </c>
      <c r="E21" s="21">
        <f t="shared" si="1"/>
        <v>480</v>
      </c>
      <c r="F21" s="21">
        <f t="shared" si="1"/>
        <v>510</v>
      </c>
      <c r="G21" s="21">
        <f t="shared" si="1"/>
        <v>510</v>
      </c>
      <c r="H21" s="21">
        <f t="shared" si="1"/>
        <v>540</v>
      </c>
      <c r="I21" s="21">
        <f t="shared" si="1"/>
        <v>540</v>
      </c>
      <c r="J21" s="21">
        <f t="shared" si="1"/>
        <v>570</v>
      </c>
      <c r="K21" s="21">
        <f t="shared" si="1"/>
        <v>570</v>
      </c>
      <c r="L21" s="21">
        <f t="shared" si="1"/>
        <v>600</v>
      </c>
      <c r="M21" s="21">
        <f t="shared" si="1"/>
        <v>600</v>
      </c>
      <c r="N21" s="21">
        <f t="shared" si="1"/>
        <v>630</v>
      </c>
      <c r="O21" s="21">
        <f t="shared" si="1"/>
        <v>630</v>
      </c>
      <c r="P21" s="21">
        <f t="shared" si="1"/>
        <v>660</v>
      </c>
      <c r="Q21" s="21">
        <f t="shared" si="1"/>
        <v>660</v>
      </c>
      <c r="R21" s="21">
        <f t="shared" si="2"/>
        <v>690</v>
      </c>
      <c r="S21" s="21">
        <f t="shared" si="2"/>
        <v>690</v>
      </c>
      <c r="T21" s="21">
        <f t="shared" si="2"/>
        <v>720</v>
      </c>
      <c r="U21" s="21">
        <f t="shared" si="2"/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Francia egyetemek QS rangsora</vt:lpstr>
      <vt:lpstr>Jelmagyarázat</vt:lpstr>
      <vt:lpstr>Megoldások</vt:lpstr>
      <vt:lpstr>Költözés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Ódor Artúr</dc:creator>
  <cp:lastModifiedBy>Ódor Artúr</cp:lastModifiedBy>
  <dcterms:created xsi:type="dcterms:W3CDTF">2026-01-16T15:43:25Z</dcterms:created>
  <dcterms:modified xsi:type="dcterms:W3CDTF">2026-01-18T12:47:30Z</dcterms:modified>
</cp:coreProperties>
</file>