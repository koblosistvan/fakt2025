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Artúr\fakt2025\Ódor Artúr\OKTV\2_2024.25\"/>
    </mc:Choice>
  </mc:AlternateContent>
  <xr:revisionPtr revIDLastSave="0" documentId="13_ncr:1_{F8EB9780-3EFC-4C07-945F-DBE02CF4DD81}" xr6:coauthVersionLast="36" xr6:coauthVersionMax="36" xr10:uidLastSave="{00000000-0000-0000-0000-000000000000}"/>
  <bookViews>
    <workbookView xWindow="0" yWindow="0" windowWidth="19200" windowHeight="11265" activeTab="1" xr2:uid="{DDB54C4F-A30E-482A-AC51-100C5F192EA0}"/>
  </bookViews>
  <sheets>
    <sheet name="Repülőjáratok" sheetId="1" r:id="rId1"/>
    <sheet name="Szállások" sheetId="2" r:id="rId2"/>
    <sheet name="Átlagos árak" sheetId="4" r:id="rId3"/>
  </sheets>
  <definedNames>
    <definedName name="fogkő">Repülőjáratok!$A$1:$P$139</definedName>
    <definedName name="kutya">Szállások!$A$1:$G$50</definedName>
    <definedName name="macska">Repülőjáratok!$A$1:$P$139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O11" i="1"/>
  <c r="S13" i="1"/>
  <c r="Z14" i="1"/>
  <c r="R7" i="1"/>
  <c r="X14" i="1"/>
  <c r="R5" i="1"/>
  <c r="X6" i="1"/>
  <c r="R3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2" i="1"/>
</calcChain>
</file>

<file path=xl/sharedStrings.xml><?xml version="1.0" encoding="utf-8"?>
<sst xmlns="http://schemas.openxmlformats.org/spreadsheetml/2006/main" count="1359" uniqueCount="163">
  <si>
    <t>Célállomás</t>
  </si>
  <si>
    <t>Indulási idő oda</t>
  </si>
  <si>
    <t>Indulási reptér oda</t>
  </si>
  <si>
    <t>Átszállás oda</t>
  </si>
  <si>
    <t>Átszállás repterek oda</t>
  </si>
  <si>
    <t>Érkezési idő oda</t>
  </si>
  <si>
    <t>Érkezési reptér oda</t>
  </si>
  <si>
    <t>Indulási idő vissza</t>
  </si>
  <si>
    <t>Indulási reptér vissza</t>
  </si>
  <si>
    <t>Átszállás vissza</t>
  </si>
  <si>
    <t>Átszállás repterek vissza</t>
  </si>
  <si>
    <t>Érkezési idő vissza</t>
  </si>
  <si>
    <t>Érkezési reptér vissza</t>
  </si>
  <si>
    <t>Ár</t>
  </si>
  <si>
    <t>Utazási idő oda</t>
  </si>
  <si>
    <t>Utazási idő vissza</t>
  </si>
  <si>
    <t>Róma</t>
  </si>
  <si>
    <t>BUD</t>
  </si>
  <si>
    <t>Közvetlen járat</t>
  </si>
  <si>
    <t>FCO</t>
  </si>
  <si>
    <t>Palermo</t>
  </si>
  <si>
    <t>1 átszállás</t>
  </si>
  <si>
    <t>VCE</t>
  </si>
  <si>
    <t>PMO</t>
  </si>
  <si>
    <t>Calgiari</t>
  </si>
  <si>
    <t>2 átszállás</t>
  </si>
  <si>
    <t>VCE CTA</t>
  </si>
  <si>
    <t>CAG</t>
  </si>
  <si>
    <t>Catania</t>
  </si>
  <si>
    <t>CTA</t>
  </si>
  <si>
    <t>ZRH</t>
  </si>
  <si>
    <t>MUC</t>
  </si>
  <si>
    <t>CIA</t>
  </si>
  <si>
    <t>BEG</t>
  </si>
  <si>
    <t>NAP</t>
  </si>
  <si>
    <t>Genova</t>
  </si>
  <si>
    <t>GOA</t>
  </si>
  <si>
    <t>Milánó</t>
  </si>
  <si>
    <t>MXP</t>
  </si>
  <si>
    <t>BGY</t>
  </si>
  <si>
    <t>Bari</t>
  </si>
  <si>
    <t>AMS</t>
  </si>
  <si>
    <t>BRI</t>
  </si>
  <si>
    <t>Rimini</t>
  </si>
  <si>
    <t>FCO TIA</t>
  </si>
  <si>
    <t>RMI</t>
  </si>
  <si>
    <t>TIA FCO</t>
  </si>
  <si>
    <t>Bologna</t>
  </si>
  <si>
    <t>BLQ</t>
  </si>
  <si>
    <t>VIE</t>
  </si>
  <si>
    <t>Alghero Sardinia</t>
  </si>
  <si>
    <t>VCE PMO</t>
  </si>
  <si>
    <t>AHO</t>
  </si>
  <si>
    <t>TRN FCO</t>
  </si>
  <si>
    <t>Nápoly</t>
  </si>
  <si>
    <t>FCO PMO</t>
  </si>
  <si>
    <t>1 átszállá</t>
  </si>
  <si>
    <t>BCN</t>
  </si>
  <si>
    <t>Trieszt</t>
  </si>
  <si>
    <t>MUC FRA</t>
  </si>
  <si>
    <t>TRS</t>
  </si>
  <si>
    <t>FRA</t>
  </si>
  <si>
    <t>TIA</t>
  </si>
  <si>
    <t>FRA MUC</t>
  </si>
  <si>
    <t>ZRH BLQ</t>
  </si>
  <si>
    <t>BGY BDS</t>
  </si>
  <si>
    <t>MXP TIA</t>
  </si>
  <si>
    <t>DOH BCN</t>
  </si>
  <si>
    <t>VIE BLQ</t>
  </si>
  <si>
    <t>Pisa</t>
  </si>
  <si>
    <t>PSA</t>
  </si>
  <si>
    <t>PRG</t>
  </si>
  <si>
    <t>DUS</t>
  </si>
  <si>
    <t>CRL</t>
  </si>
  <si>
    <t>TIA NAP</t>
  </si>
  <si>
    <t>BCN TIA</t>
  </si>
  <si>
    <t>BVA</t>
  </si>
  <si>
    <t>EIN</t>
  </si>
  <si>
    <t>Oszlopcímkék</t>
  </si>
  <si>
    <t>Végösszeg</t>
  </si>
  <si>
    <t>Sorcímkék</t>
  </si>
  <si>
    <t>Átlag / Ár</t>
  </si>
  <si>
    <t>Név</t>
  </si>
  <si>
    <t>Város</t>
  </si>
  <si>
    <t>Távolság a központtól</t>
  </si>
  <si>
    <t>Csillagok száma</t>
  </si>
  <si>
    <t>Értékelés</t>
  </si>
  <si>
    <t>Értékelők száma</t>
  </si>
  <si>
    <t>Szállás típusa</t>
  </si>
  <si>
    <t>Villa Serenità</t>
  </si>
  <si>
    <t>Nyaraló</t>
  </si>
  <si>
    <t>Casa Bella Vista</t>
  </si>
  <si>
    <t>Palazzo del Cuore</t>
  </si>
  <si>
    <t>La Dolce Dimora</t>
  </si>
  <si>
    <t>Casa dei Sogni</t>
  </si>
  <si>
    <t>Villa Incantata</t>
  </si>
  <si>
    <t>Paderno Dugnano</t>
  </si>
  <si>
    <t>Il Nido Felice</t>
  </si>
  <si>
    <t>Sesto San Giovanni</t>
  </si>
  <si>
    <t>Casa del Sole</t>
  </si>
  <si>
    <t>La Casetta Romantica</t>
  </si>
  <si>
    <t>Villa dei Fiori</t>
  </si>
  <si>
    <t>Dimora d’Amore</t>
  </si>
  <si>
    <t>Il Rifugio Tranquillo</t>
  </si>
  <si>
    <t>Lakóautó kemping</t>
  </si>
  <si>
    <t>La Casa Affascinante</t>
  </si>
  <si>
    <t>Villa della Luna</t>
  </si>
  <si>
    <t>Solbiate Olona</t>
  </si>
  <si>
    <t>La Cascina Graziosa</t>
  </si>
  <si>
    <t>La Dimora dei Ricordi</t>
  </si>
  <si>
    <t>Apartmanház</t>
  </si>
  <si>
    <t>Casa del Cielo</t>
  </si>
  <si>
    <t>Villa Amore Mio</t>
  </si>
  <si>
    <t>Vimercate</t>
  </si>
  <si>
    <t>Il Casale Felice</t>
  </si>
  <si>
    <t>Cercola</t>
  </si>
  <si>
    <t>Vendégház reggelivel</t>
  </si>
  <si>
    <t>La Casa di Pietra</t>
  </si>
  <si>
    <t>Casa del Buongiorno</t>
  </si>
  <si>
    <t>La Dimora Accogliente</t>
  </si>
  <si>
    <t>Villa del Vino</t>
  </si>
  <si>
    <t>La Casetta del Bosco</t>
  </si>
  <si>
    <t>Il Palazzo delle Stelle</t>
  </si>
  <si>
    <t>La Casa del Vento</t>
  </si>
  <si>
    <t>Casa delle Delizie</t>
  </si>
  <si>
    <t>Vendégház</t>
  </si>
  <si>
    <t>Villa degli Ulivi</t>
  </si>
  <si>
    <t>Fiumicino</t>
  </si>
  <si>
    <t>La Dimora Raffinata</t>
  </si>
  <si>
    <t>Casa del Cuore Felice</t>
  </si>
  <si>
    <t>Villa Incantevole</t>
  </si>
  <si>
    <t>La Casetta Dorata</t>
  </si>
  <si>
    <t>Casa dei Sogni Blu</t>
  </si>
  <si>
    <t>Il Nido del Sole</t>
  </si>
  <si>
    <t>Villa del Mare</t>
  </si>
  <si>
    <t>La Dimora Verde</t>
  </si>
  <si>
    <t>Casa delle Querce</t>
  </si>
  <si>
    <t>Villa dei Sogni Dolci</t>
  </si>
  <si>
    <t>La Casetta del Sole</t>
  </si>
  <si>
    <t>Casa Romantica</t>
  </si>
  <si>
    <t>Villa Tranquilla</t>
  </si>
  <si>
    <t>La Dimora dei Ciliegi</t>
  </si>
  <si>
    <t>Casa Amorevole</t>
  </si>
  <si>
    <t>La Casa delle Stelle Cadenti</t>
  </si>
  <si>
    <t>Villa dei Cipressi</t>
  </si>
  <si>
    <t>La Casetta del Sorriso</t>
  </si>
  <si>
    <t>Casa del Sogno Dorato</t>
  </si>
  <si>
    <t>Il Palazzo Felice</t>
  </si>
  <si>
    <t>La Dimora del Vino</t>
  </si>
  <si>
    <t>milánó</t>
  </si>
  <si>
    <t>ár</t>
  </si>
  <si>
    <t>&lt;=12:00:00</t>
  </si>
  <si>
    <t>&gt;=07:00:00</t>
  </si>
  <si>
    <t>&lt;200000</t>
  </si>
  <si>
    <t>célállomás</t>
  </si>
  <si>
    <t>(szentefrén)</t>
  </si>
  <si>
    <t>Utazási idő</t>
  </si>
  <si>
    <t>közvetlen járat</t>
  </si>
  <si>
    <t>&lt;&gt;közvetlen járat</t>
  </si>
  <si>
    <t>palermo</t>
  </si>
  <si>
    <t>&gt;=100</t>
  </si>
  <si>
    <t>&gt;4</t>
  </si>
  <si>
    <t>&lt;=4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</si>
</sst>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#,##0\ &quot;Ft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Georgia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2" borderId="1" xfId="0" applyFill="1" applyBorder="1"/>
  </cellXfs>
  <cellStyles count="1">
    <cellStyle name="Normál" xfId="0" builtinId="0"/>
  </cellStyles>
  <dxfs count="14"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theme="7"/>
        </patternFill>
      </fill>
    </dxf>
    <dxf>
      <font>
        <name val="Georgia"/>
        <family val="1"/>
      </font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Kimutatásstílus 1" table="0" count="2" xr9:uid="{0108C0E0-369F-4227-9EF9-704077D3BFAB}">
      <tableStyleElement type="headerRow" dxfId="13"/>
      <tableStyleElement type="total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ropa04" refreshedDate="46098.563027083335" createdVersion="6" refreshedVersion="6" minRefreshableVersion="3" recordCount="138" xr:uid="{40835952-429C-4908-9C27-80F4AA8EAEE1}">
  <cacheSource type="worksheet">
    <worksheetSource ref="A1:P139" sheet="Repülőjáratok"/>
  </cacheSource>
  <cacheFields count="16">
    <cacheField name="Célállomás" numFmtId="0">
      <sharedItems count="13">
        <s v="Róma"/>
        <s v="Palermo"/>
        <s v="Calgiari"/>
        <s v="Catania"/>
        <s v="Genova"/>
        <s v="Milánó"/>
        <s v="Bari"/>
        <s v="Rimini"/>
        <s v="Bologna"/>
        <s v="Alghero Sardinia"/>
        <s v="Nápoly"/>
        <s v="Trieszt"/>
        <s v="Pisa"/>
      </sharedItems>
    </cacheField>
    <cacheField name="Indulási idő oda" numFmtId="164">
      <sharedItems containsSemiMixedTypes="0" containsNonDate="0" containsDate="1" containsString="0" minDate="1899-12-30T05:55:00" maxDate="1899-12-30T20:00:00"/>
    </cacheField>
    <cacheField name="Indulási reptér oda" numFmtId="0">
      <sharedItems/>
    </cacheField>
    <cacheField name="Átszállás oda" numFmtId="0">
      <sharedItems count="3">
        <s v="Közvetlen járat"/>
        <s v="1 átszállás"/>
        <s v="2 átszállás"/>
      </sharedItems>
    </cacheField>
    <cacheField name="Átszállás repterek oda" numFmtId="0">
      <sharedItems containsBlank="1"/>
    </cacheField>
    <cacheField name="Érkezési idő oda" numFmtId="164">
      <sharedItems containsSemiMixedTypes="0" containsNonDate="0" containsDate="1" containsString="0" minDate="1899-12-30T07:20:00" maxDate="1899-12-30T23:35:00"/>
    </cacheField>
    <cacheField name="Érkezési reptér oda" numFmtId="0">
      <sharedItems/>
    </cacheField>
    <cacheField name="Indulási idő vissza" numFmtId="164">
      <sharedItems containsSemiMixedTypes="0" containsNonDate="0" containsDate="1" containsString="0" minDate="1899-12-30T06:00:00" maxDate="1899-12-30T22:45:00"/>
    </cacheField>
    <cacheField name="Indulási reptér vissza" numFmtId="0">
      <sharedItems/>
    </cacheField>
    <cacheField name="Átszállás vissza" numFmtId="0">
      <sharedItems/>
    </cacheField>
    <cacheField name="Átszállás repterek vissza" numFmtId="0">
      <sharedItems containsBlank="1"/>
    </cacheField>
    <cacheField name="Érkezési idő vissza" numFmtId="164">
      <sharedItems containsSemiMixedTypes="0" containsNonDate="0" containsDate="1" containsString="0" minDate="1899-12-30T07:25:00" maxDate="1899-12-30T23:50:00"/>
    </cacheField>
    <cacheField name="Érkezési reptér vissza" numFmtId="0">
      <sharedItems/>
    </cacheField>
    <cacheField name="Ár" numFmtId="0">
      <sharedItems containsSemiMixedTypes="0" containsString="0" containsNumber="1" containsInteger="1" minValue="31209" maxValue="803016"/>
    </cacheField>
    <cacheField name="Utazási idő oda" numFmtId="164">
      <sharedItems containsSemiMixedTypes="0" containsNonDate="0" containsDate="1" containsString="0" minDate="1899-12-30T01:30:00" maxDate="1899-12-30T23:40:00"/>
    </cacheField>
    <cacheField name="Utazási idő vissza" numFmtId="164">
      <sharedItems containsSemiMixedTypes="0" containsNonDate="0" containsDate="1" containsString="0" minDate="1899-12-30T00:45:00" maxDate="1899-12-30T21:4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d v="1899-12-30T19:15:00"/>
    <s v="BUD"/>
    <x v="0"/>
    <m/>
    <d v="1899-12-30T21:05:00"/>
    <s v="FCO"/>
    <d v="1899-12-30T21:45:00"/>
    <s v="FCO"/>
    <s v="Közvetlen járat"/>
    <m/>
    <d v="1899-12-30T23:35:00"/>
    <s v="BUD"/>
    <n v="32449"/>
    <d v="1899-12-30T01:50:00"/>
    <d v="1899-12-30T01:50:00"/>
  </r>
  <r>
    <x v="1"/>
    <d v="1899-12-30T07:40:00"/>
    <s v="BUD"/>
    <x v="1"/>
    <s v="VCE"/>
    <d v="1899-12-30T12:35:00"/>
    <s v="PMO"/>
    <d v="1899-12-30T19:00:00"/>
    <s v="PMO"/>
    <s v="1 átszállás"/>
    <s v="FCO"/>
    <d v="1899-12-30T23:35:00"/>
    <s v="BUD"/>
    <n v="67253"/>
    <d v="1899-12-30T04:55:00"/>
    <d v="1899-12-30T04:35:00"/>
  </r>
  <r>
    <x v="2"/>
    <d v="1899-12-30T07:40:00"/>
    <s v="BUD"/>
    <x v="2"/>
    <s v="VCE CTA"/>
    <d v="1899-12-30T14:40:00"/>
    <s v="CAG"/>
    <d v="1899-12-30T20:55:00"/>
    <s v="CAG"/>
    <s v="1 átszállás"/>
    <s v="VCE"/>
    <d v="1899-12-30T07:25:00"/>
    <s v="BUD"/>
    <n v="68030"/>
    <d v="1899-12-30T07:00:00"/>
    <d v="1899-12-30T10:30:00"/>
  </r>
  <r>
    <x v="3"/>
    <d v="1899-12-30T18:50:00"/>
    <s v="BUD"/>
    <x v="0"/>
    <m/>
    <d v="1899-12-30T21:00:00"/>
    <s v="CTA"/>
    <d v="1899-12-30T21:00:00"/>
    <s v="CTA"/>
    <s v="Közvetlen járat"/>
    <m/>
    <d v="1899-12-30T23:10:00"/>
    <s v="BUD"/>
    <n v="71351"/>
    <d v="1899-12-30T02:10:00"/>
    <d v="1899-12-30T02:10:00"/>
  </r>
  <r>
    <x v="1"/>
    <d v="1899-12-30T09:30:00"/>
    <s v="BUD"/>
    <x v="1"/>
    <s v="ZRH"/>
    <d v="1899-12-30T14:00:00"/>
    <s v="PMO"/>
    <d v="1899-12-30T17:55:00"/>
    <s v="PMO"/>
    <s v="1 átszállás"/>
    <s v="MUC"/>
    <d v="1899-12-30T23:35:00"/>
    <s v="BUD"/>
    <n v="160618"/>
    <d v="1899-12-30T04:30:00"/>
    <d v="1899-12-30T05:40:00"/>
  </r>
  <r>
    <x v="0"/>
    <d v="1899-12-30T13:20:00"/>
    <s v="BUD"/>
    <x v="0"/>
    <m/>
    <d v="1899-12-30T15:00:00"/>
    <s v="CIA"/>
    <d v="1899-12-30T08:15:00"/>
    <s v="CIA"/>
    <s v="Közvetlen járat"/>
    <m/>
    <d v="1899-12-30T09:55:00"/>
    <s v="BUD"/>
    <n v="54354"/>
    <d v="1899-12-30T01:40:00"/>
    <d v="1899-12-30T01:40:00"/>
  </r>
  <r>
    <x v="3"/>
    <d v="1899-12-30T07:40:00"/>
    <s v="BUD"/>
    <x v="1"/>
    <s v="VCE"/>
    <d v="1899-12-30T12:10:00"/>
    <s v="CTA"/>
    <d v="1899-12-30T14:35:00"/>
    <s v="CTA"/>
    <s v="1 átszállás"/>
    <s v="BEG"/>
    <d v="1899-12-30T19:10:00"/>
    <s v="BUD"/>
    <n v="56597"/>
    <d v="1899-12-30T04:30:00"/>
    <d v="1899-12-30T04:35:00"/>
  </r>
  <r>
    <x v="1"/>
    <d v="1899-12-30T07:40:00"/>
    <s v="BUD"/>
    <x v="1"/>
    <s v="VCE"/>
    <d v="1899-12-30T21:25:00"/>
    <s v="PMO"/>
    <d v="1899-12-30T16:35:00"/>
    <s v="PMO"/>
    <s v="1 átszállás"/>
    <s v="NAP"/>
    <d v="1899-12-30T13:35:00"/>
    <s v="BUD"/>
    <n v="57044"/>
    <d v="1899-12-30T13:45:00"/>
    <d v="1899-12-30T21:00:00"/>
  </r>
  <r>
    <x v="1"/>
    <d v="1899-12-30T07:40:00"/>
    <s v="BUD"/>
    <x v="1"/>
    <s v="VCE"/>
    <d v="1899-12-30T12:35:00"/>
    <s v="PMO"/>
    <d v="1899-12-30T06:10:00"/>
    <s v="PMO"/>
    <s v="1 átszállás"/>
    <s v="FCO"/>
    <d v="1899-12-30T10:35:00"/>
    <s v="BUD"/>
    <n v="67253"/>
    <d v="1899-12-30T04:55:00"/>
    <d v="1899-12-30T04:25:00"/>
  </r>
  <r>
    <x v="4"/>
    <d v="1899-12-30T06:15:00"/>
    <s v="BUD"/>
    <x v="1"/>
    <s v="FCO"/>
    <d v="1899-12-30T10:30:00"/>
    <s v="GOA"/>
    <d v="1899-12-30T19:25:00"/>
    <s v="GOA"/>
    <s v="1 átszállás"/>
    <s v="FCO"/>
    <d v="1899-12-30T23:35:00"/>
    <s v="BUD"/>
    <n v="88234"/>
    <d v="1899-12-30T04:15:00"/>
    <d v="1899-12-30T04:10:00"/>
  </r>
  <r>
    <x v="5"/>
    <d v="1899-12-30T14:35:00"/>
    <s v="BUD"/>
    <x v="0"/>
    <m/>
    <d v="1899-12-30T16:20:00"/>
    <s v="MXP"/>
    <d v="1899-12-30T12:45:00"/>
    <s v="BGY"/>
    <s v="Közvetlen járat"/>
    <m/>
    <d v="1899-12-30T14:20:00"/>
    <s v="BUD"/>
    <n v="55616"/>
    <d v="1899-12-30T01:45:00"/>
    <d v="1899-12-30T01:35:00"/>
  </r>
  <r>
    <x v="6"/>
    <d v="1899-12-30T14:10:00"/>
    <s v="BUD"/>
    <x v="1"/>
    <s v="AMS"/>
    <d v="1899-12-30T21:35:00"/>
    <s v="BRI"/>
    <d v="1899-12-30T13:00:00"/>
    <s v="BRI"/>
    <s v="Közvetlen járat"/>
    <m/>
    <d v="1899-12-30T14:30:00"/>
    <s v="BUD"/>
    <n v="112795"/>
    <d v="1899-12-30T07:25:00"/>
    <d v="1899-12-30T01:30:00"/>
  </r>
  <r>
    <x v="7"/>
    <d v="1899-12-30T19:15:00"/>
    <s v="BUD"/>
    <x v="2"/>
    <s v="FCO TIA"/>
    <d v="1899-12-30T12:15:00"/>
    <s v="RMI"/>
    <d v="1899-12-30T12:50:00"/>
    <s v="RMI"/>
    <s v="2 átszállás"/>
    <s v="TIA FCO"/>
    <d v="1899-12-30T10:35:00"/>
    <s v="BUD"/>
    <n v="108094"/>
    <d v="1899-12-30T17:00:00"/>
    <d v="1899-12-30T21:45:00"/>
  </r>
  <r>
    <x v="0"/>
    <d v="1899-12-30T13:20:00"/>
    <s v="BUD"/>
    <x v="0"/>
    <m/>
    <d v="1899-12-30T15:00:00"/>
    <s v="CIA"/>
    <d v="1899-12-30T21:45:00"/>
    <s v="FCO"/>
    <s v="Közvetlen járat"/>
    <m/>
    <d v="1899-12-30T23:35:00"/>
    <s v="BUD"/>
    <n v="48199"/>
    <d v="1899-12-30T01:40:00"/>
    <d v="1899-12-30T01:50:00"/>
  </r>
  <r>
    <x v="1"/>
    <d v="1899-12-30T06:15:00"/>
    <s v="BUD"/>
    <x v="1"/>
    <s v="FCO"/>
    <d v="1899-12-30T10:20:00"/>
    <s v="PMO"/>
    <d v="1899-12-30T19:20:00"/>
    <s v="PMO"/>
    <s v="1 átszállás"/>
    <s v="FCO"/>
    <d v="1899-12-30T23:35:00"/>
    <s v="BUD"/>
    <n v="83874"/>
    <d v="1899-12-30T04:05:00"/>
    <d v="1899-12-30T04:15:00"/>
  </r>
  <r>
    <x v="8"/>
    <d v="1899-12-30T14:45:00"/>
    <s v="BUD"/>
    <x v="1"/>
    <s v="ZRH"/>
    <d v="1899-12-30T18:25:00"/>
    <s v="BLQ"/>
    <d v="1899-12-30T19:35:00"/>
    <s v="BLQ"/>
    <s v="1 átszállás"/>
    <s v="VIE"/>
    <d v="1899-12-30T22:25:00"/>
    <s v="BUD"/>
    <n v="75800"/>
    <d v="1899-12-30T03:40:00"/>
    <d v="1899-12-30T02:50:00"/>
  </r>
  <r>
    <x v="1"/>
    <d v="1899-12-30T06:15:00"/>
    <s v="BUD"/>
    <x v="1"/>
    <s v="FCO"/>
    <d v="1899-12-30T10:20:00"/>
    <s v="PMO"/>
    <d v="1899-12-30T19:00:00"/>
    <s v="PMO"/>
    <s v="1 átszállás"/>
    <s v="FCO"/>
    <d v="1899-12-30T23:35:00"/>
    <s v="BUD"/>
    <n v="77851"/>
    <d v="1899-12-30T04:05:00"/>
    <d v="1899-12-30T04:35:00"/>
  </r>
  <r>
    <x v="0"/>
    <d v="1899-12-30T19:15:00"/>
    <s v="BUD"/>
    <x v="0"/>
    <m/>
    <d v="1899-12-30T21:05:00"/>
    <s v="FCO"/>
    <d v="1899-12-30T08:45:00"/>
    <s v="FCO"/>
    <s v="Közvetlen járat"/>
    <m/>
    <d v="1899-12-30T10:35:00"/>
    <s v="BUD"/>
    <n v="32449"/>
    <d v="1899-12-30T01:50:00"/>
    <d v="1899-12-30T01:50:00"/>
  </r>
  <r>
    <x v="9"/>
    <d v="1899-12-30T07:40:00"/>
    <s v="BUD"/>
    <x v="2"/>
    <s v="VCE PMO"/>
    <d v="1899-12-30T15:40:00"/>
    <s v="AHO"/>
    <d v="1899-12-30T14:10:00"/>
    <s v="AHO"/>
    <s v="2 átszállás"/>
    <s v="TRN FCO"/>
    <d v="1899-12-30T23:35:00"/>
    <s v="BUD"/>
    <n v="96125"/>
    <d v="1899-12-30T08:00:00"/>
    <d v="1899-12-30T09:25:00"/>
  </r>
  <r>
    <x v="10"/>
    <d v="1899-12-30T07:40:00"/>
    <s v="BUD"/>
    <x v="1"/>
    <s v="VCE"/>
    <d v="1899-12-30T11:15:00"/>
    <s v="NAP"/>
    <d v="1899-12-30T18:15:00"/>
    <s v="NAP"/>
    <s v="Közvetlen járat"/>
    <m/>
    <d v="1899-12-30T19:55:00"/>
    <s v="BUD"/>
    <n v="62470"/>
    <d v="1899-12-30T03:35:00"/>
    <d v="1899-12-30T01:40:00"/>
  </r>
  <r>
    <x v="6"/>
    <d v="1899-12-30T11:40:00"/>
    <s v="BUD"/>
    <x v="0"/>
    <m/>
    <d v="1899-12-30T13:15:00"/>
    <s v="BRI"/>
    <d v="1899-12-30T13:00:00"/>
    <s v="BRI"/>
    <s v="Közvetlen járat"/>
    <m/>
    <d v="1899-12-30T14:30:00"/>
    <s v="BUD"/>
    <n v="66261"/>
    <d v="1899-12-30T01:35:00"/>
    <d v="1899-12-30T01:30:00"/>
  </r>
  <r>
    <x v="5"/>
    <d v="1899-12-30T06:10:00"/>
    <s v="BUD"/>
    <x v="0"/>
    <m/>
    <d v="1899-12-30T07:55:00"/>
    <s v="MXP"/>
    <d v="1899-12-30T21:45:00"/>
    <s v="MXP"/>
    <s v="Közvetlen járat"/>
    <m/>
    <d v="1899-12-30T23:25:00"/>
    <s v="BUD"/>
    <n v="50148"/>
    <d v="1899-12-30T01:45:00"/>
    <d v="1899-12-30T01:40:00"/>
  </r>
  <r>
    <x v="4"/>
    <d v="1899-12-30T06:05:00"/>
    <s v="BUD"/>
    <x v="1"/>
    <s v="MUC"/>
    <d v="1899-12-30T12:35:00"/>
    <s v="GOA"/>
    <d v="1899-12-30T06:10:00"/>
    <s v="GOA"/>
    <s v="1 átszállás"/>
    <s v="MUC"/>
    <d v="1899-12-30T09:35:00"/>
    <s v="BUD"/>
    <n v="88600"/>
    <d v="1899-12-30T06:30:00"/>
    <d v="1899-12-30T03:25:00"/>
  </r>
  <r>
    <x v="8"/>
    <d v="1899-12-30T14:55:00"/>
    <s v="BUD"/>
    <x v="1"/>
    <s v="ZRH"/>
    <d v="1899-12-30T18:25:00"/>
    <s v="BLQ"/>
    <d v="1899-12-30T19:35:00"/>
    <s v="BLQ"/>
    <s v="1 átszállás"/>
    <s v="VIE"/>
    <d v="1899-12-30T22:25:00"/>
    <s v="BUD"/>
    <n v="77025"/>
    <d v="1899-12-30T03:30:00"/>
    <d v="1899-12-30T02:50:00"/>
  </r>
  <r>
    <x v="8"/>
    <d v="1899-12-30T06:05:00"/>
    <s v="BUD"/>
    <x v="1"/>
    <s v="MUC"/>
    <d v="1899-12-30T09:10:00"/>
    <s v="BLQ"/>
    <d v="1899-12-30T17:20:00"/>
    <s v="BLQ"/>
    <s v="1 átszállás"/>
    <s v="MUC"/>
    <d v="1899-12-30T23:35:00"/>
    <s v="BUD"/>
    <n v="90000"/>
    <d v="1899-12-30T03:05:00"/>
    <d v="1899-12-30T06:15:00"/>
  </r>
  <r>
    <x v="8"/>
    <d v="1899-12-30T07:00:00"/>
    <s v="BUD"/>
    <x v="1"/>
    <s v="VIE"/>
    <d v="1899-12-30T09:50:00"/>
    <s v="BLQ"/>
    <d v="1899-12-30T19:35:00"/>
    <s v="BLQ"/>
    <s v="1 átszállás"/>
    <s v="VIE"/>
    <d v="1899-12-30T22:25:00"/>
    <s v="BUD"/>
    <n v="76000"/>
    <d v="1899-12-30T02:50:00"/>
    <d v="1899-12-30T02:50:00"/>
  </r>
  <r>
    <x v="4"/>
    <d v="1899-12-30T11:10:00"/>
    <s v="BUD"/>
    <x v="0"/>
    <m/>
    <d v="1899-12-30T13:00:00"/>
    <s v="GOA"/>
    <d v="1899-12-30T19:25:00"/>
    <s v="GOA"/>
    <s v="1 átszállás"/>
    <s v="FCO"/>
    <d v="1899-12-30T10:35:00"/>
    <s v="BUD"/>
    <n v="68946"/>
    <d v="1899-12-30T01:50:00"/>
    <d v="1899-12-30T15:10:00"/>
  </r>
  <r>
    <x v="9"/>
    <d v="1899-12-30T06:15:00"/>
    <s v="BUD"/>
    <x v="2"/>
    <s v="FCO PMO"/>
    <d v="1899-12-30T15:40:00"/>
    <s v="AHO"/>
    <d v="1899-12-30T13:05:00"/>
    <s v="AHO"/>
    <s v="1 átszállá"/>
    <s v="BCN"/>
    <d v="1899-12-30T22:30:00"/>
    <s v="BUD"/>
    <n v="100948"/>
    <d v="1899-12-30T09:25:00"/>
    <d v="1899-12-30T09:25:00"/>
  </r>
  <r>
    <x v="8"/>
    <d v="1899-12-30T13:25:00"/>
    <s v="BUD"/>
    <x v="1"/>
    <s v="MUC"/>
    <d v="1899-12-30T16:40:00"/>
    <s v="BLQ"/>
    <d v="1899-12-30T19:35:00"/>
    <s v="BLQ"/>
    <s v="1 átszállás"/>
    <s v="VIE"/>
    <d v="1899-12-30T22:25:00"/>
    <s v="BUD"/>
    <n v="81800"/>
    <d v="1899-12-30T03:15:00"/>
    <d v="1899-12-30T02:50:00"/>
  </r>
  <r>
    <x v="11"/>
    <d v="1899-12-30T06:05:00"/>
    <s v="BUD"/>
    <x v="2"/>
    <s v="MUC FRA"/>
    <d v="1899-12-30T14:05:00"/>
    <s v="TRS"/>
    <d v="1899-12-30T21:45:00"/>
    <s v="TRS"/>
    <s v="Közvetlen járat"/>
    <m/>
    <d v="1899-12-30T22:50:00"/>
    <s v="BUD"/>
    <n v="105011"/>
    <d v="1899-12-30T08:00:00"/>
    <d v="1899-12-30T01:05:00"/>
  </r>
  <r>
    <x v="11"/>
    <d v="1899-12-30T09:25:00"/>
    <s v="BUD"/>
    <x v="1"/>
    <s v="FRA"/>
    <d v="1899-12-30T14:05:00"/>
    <s v="TRS"/>
    <d v="1899-12-30T14:45:00"/>
    <s v="TRS"/>
    <s v="1 átszállás"/>
    <s v="FRA"/>
    <d v="1899-12-30T23:50:00"/>
    <s v="BUD"/>
    <n v="90400"/>
    <d v="1899-12-30T04:40:00"/>
    <d v="1899-12-30T09:05:00"/>
  </r>
  <r>
    <x v="10"/>
    <d v="1899-12-30T07:40:00"/>
    <s v="BUD"/>
    <x v="1"/>
    <s v="VCE"/>
    <d v="1899-12-30T11:15:00"/>
    <s v="NAP"/>
    <d v="1899-12-30T12:00:00"/>
    <s v="NAP"/>
    <s v="Közvetlen járat"/>
    <m/>
    <d v="1899-12-30T13:35:00"/>
    <s v="BUD"/>
    <n v="42681"/>
    <d v="1899-12-30T03:35:00"/>
    <d v="1899-12-30T01:35:00"/>
  </r>
  <r>
    <x v="7"/>
    <d v="1899-12-30T06:15:00"/>
    <s v="BUD"/>
    <x v="2"/>
    <s v="FCO PMO"/>
    <d v="1899-12-30T15:10:00"/>
    <s v="RMI"/>
    <d v="1899-12-30T12:50:00"/>
    <s v="RMI"/>
    <s v="1 átszállás"/>
    <s v="TIA"/>
    <d v="1899-12-30T23:30:00"/>
    <s v="BUD"/>
    <n v="153468"/>
    <d v="1899-12-30T08:55:00"/>
    <d v="1899-12-30T10:40:00"/>
  </r>
  <r>
    <x v="10"/>
    <d v="1899-12-30T14:20:00"/>
    <s v="BUD"/>
    <x v="0"/>
    <m/>
    <d v="1899-12-30T16:10:00"/>
    <s v="NAP"/>
    <d v="1899-12-30T18:15:00"/>
    <s v="NAP"/>
    <s v="Közvetlen járat"/>
    <m/>
    <d v="1899-12-30T19:55:00"/>
    <s v="BUD"/>
    <n v="60566"/>
    <d v="1899-12-30T01:50:00"/>
    <d v="1899-12-30T01:40:00"/>
  </r>
  <r>
    <x v="11"/>
    <d v="1899-12-30T09:25:00"/>
    <s v="BUD"/>
    <x v="1"/>
    <s v="FRA"/>
    <d v="1899-12-30T14:05:00"/>
    <s v="TRS"/>
    <d v="1899-12-30T14:45:00"/>
    <s v="TRS"/>
    <s v="2 átszállás"/>
    <s v="FRA MUC"/>
    <d v="1899-12-30T23:35:00"/>
    <s v="BUD"/>
    <n v="114700"/>
    <d v="1899-12-30T04:40:00"/>
    <d v="1899-12-30T08:50:00"/>
  </r>
  <r>
    <x v="0"/>
    <d v="1899-12-30T06:15:00"/>
    <s v="BUD"/>
    <x v="0"/>
    <m/>
    <d v="1899-12-30T08:05:00"/>
    <s v="FCO"/>
    <d v="1899-12-30T08:15:00"/>
    <s v="CIA"/>
    <s v="Közvetlen járat"/>
    <m/>
    <d v="1899-12-30T09:55:00"/>
    <s v="BUD"/>
    <n v="41396"/>
    <d v="1899-12-30T01:50:00"/>
    <d v="1899-12-30T01:40:00"/>
  </r>
  <r>
    <x v="1"/>
    <d v="1899-12-30T06:15:00"/>
    <s v="BUD"/>
    <x v="1"/>
    <s v="FCO"/>
    <d v="1899-12-30T10:30:00"/>
    <s v="PMO"/>
    <d v="1899-12-30T19:20:00"/>
    <s v="PMO"/>
    <s v="1 átszállás"/>
    <s v="FCO"/>
    <d v="1899-12-30T23:35:00"/>
    <s v="BUD"/>
    <n v="87703"/>
    <d v="1899-12-30T04:15:00"/>
    <d v="1899-12-30T04:15:00"/>
  </r>
  <r>
    <x v="10"/>
    <d v="1899-12-30T14:20:00"/>
    <s v="BUD"/>
    <x v="0"/>
    <m/>
    <d v="1899-12-30T16:10:00"/>
    <s v="NAP"/>
    <d v="1899-12-30T12:00:00"/>
    <s v="NAP"/>
    <s v="Közvetlen járat"/>
    <m/>
    <d v="1899-12-30T13:35:00"/>
    <s v="BUD"/>
    <n v="38595"/>
    <d v="1899-12-30T01:50:00"/>
    <d v="1899-12-30T01:35:00"/>
  </r>
  <r>
    <x v="2"/>
    <d v="1899-12-30T19:15:00"/>
    <s v="BUD"/>
    <x v="1"/>
    <s v="FCO"/>
    <d v="1899-12-30T23:35:00"/>
    <s v="CAG"/>
    <d v="1899-12-30T06:00:00"/>
    <s v="CAG"/>
    <s v="1 átszállás"/>
    <s v="FCO"/>
    <d v="1899-12-30T10:35:00"/>
    <s v="BUD"/>
    <n v="100075"/>
    <d v="1899-12-30T04:20:00"/>
    <d v="1899-12-30T04:35:00"/>
  </r>
  <r>
    <x v="9"/>
    <d v="1899-12-30T06:15:00"/>
    <s v="BUD"/>
    <x v="2"/>
    <s v="FCO PMO"/>
    <d v="1899-12-30T15:40:00"/>
    <s v="AHO"/>
    <d v="1899-12-30T08:15:00"/>
    <s v="AHO"/>
    <s v="Közvetlen járat"/>
    <m/>
    <d v="1899-12-30T10:15:00"/>
    <s v="BUD"/>
    <n v="95299"/>
    <d v="1899-12-30T09:25:00"/>
    <d v="1899-12-30T02:00:00"/>
  </r>
  <r>
    <x v="9"/>
    <d v="1899-12-30T14:55:00"/>
    <s v="BUD"/>
    <x v="2"/>
    <s v="ZRH BLQ"/>
    <d v="1899-12-30T22:10:00"/>
    <s v="AHO"/>
    <d v="1899-12-30T08:15:00"/>
    <s v="AHO"/>
    <s v="Közvetlen járat"/>
    <m/>
    <d v="1899-12-30T10:15:00"/>
    <s v="BUD"/>
    <n v="143778"/>
    <d v="1899-12-30T07:15:00"/>
    <d v="1899-12-30T02:00:00"/>
  </r>
  <r>
    <x v="9"/>
    <d v="1899-12-30T06:15:00"/>
    <s v="BUD"/>
    <x v="2"/>
    <s v="FCO PMO"/>
    <d v="1899-12-30T15:40:00"/>
    <s v="AHO"/>
    <d v="1899-12-30T14:10:00"/>
    <s v="AHO"/>
    <s v="2 átszállás"/>
    <s v="TRN FCO"/>
    <d v="1899-12-30T23:35:00"/>
    <s v="BUD"/>
    <n v="106735"/>
    <d v="1899-12-30T09:25:00"/>
    <d v="1899-12-30T09:25:00"/>
  </r>
  <r>
    <x v="7"/>
    <d v="1899-12-30T07:40:00"/>
    <s v="BUD"/>
    <x v="2"/>
    <s v="VCE PMO"/>
    <d v="1899-12-30T15:10:00"/>
    <s v="RMI"/>
    <d v="1899-12-30T12:50:00"/>
    <s v="RMI"/>
    <s v="2 átszállás"/>
    <s v="TIA FCO"/>
    <d v="1899-12-30T10:35:00"/>
    <s v="BUD"/>
    <n v="112911"/>
    <d v="1899-12-30T07:30:00"/>
    <d v="1899-12-30T21:45:00"/>
  </r>
  <r>
    <x v="7"/>
    <d v="1899-12-30T06:15:00"/>
    <s v="BUD"/>
    <x v="2"/>
    <s v="FCO PMO"/>
    <d v="1899-12-30T15:10:00"/>
    <s v="RMI"/>
    <d v="1899-12-30T12:50:00"/>
    <s v="RMI"/>
    <s v="1 átszállás"/>
    <s v="TIA"/>
    <d v="1899-12-30T23:30:00"/>
    <s v="BUD"/>
    <n v="149926"/>
    <d v="1899-12-30T08:55:00"/>
    <d v="1899-12-30T10:40:00"/>
  </r>
  <r>
    <x v="3"/>
    <d v="1899-12-30T18:50:00"/>
    <s v="BUD"/>
    <x v="0"/>
    <m/>
    <d v="1899-12-30T21:00:00"/>
    <s v="CTA"/>
    <d v="1899-12-30T10:05:00"/>
    <s v="CTA"/>
    <s v="Közvetlen járat"/>
    <m/>
    <d v="1899-12-30T12:15:00"/>
    <s v="BUD"/>
    <n v="88979"/>
    <d v="1899-12-30T02:10:00"/>
    <d v="1899-12-30T02:10:00"/>
  </r>
  <r>
    <x v="11"/>
    <d v="1899-12-30T11:10:00"/>
    <s v="BUD"/>
    <x v="2"/>
    <s v="BGY BDS"/>
    <d v="1899-12-30T18:20:00"/>
    <s v="TRS"/>
    <d v="1899-12-30T21:45:00"/>
    <s v="TRS"/>
    <s v="Közvetlen járat"/>
    <m/>
    <d v="1899-12-30T22:50:00"/>
    <s v="BUD"/>
    <n v="83003"/>
    <d v="1899-12-30T07:10:00"/>
    <d v="1899-12-30T01:05:00"/>
  </r>
  <r>
    <x v="6"/>
    <d v="1899-12-30T06:15:00"/>
    <s v="BUD"/>
    <x v="1"/>
    <s v="FCO"/>
    <d v="1899-12-30T10:35:00"/>
    <s v="BRI"/>
    <d v="1899-12-30T19:25:00"/>
    <s v="BRI"/>
    <s v="1 átszállás"/>
    <s v="FCO"/>
    <d v="1899-12-30T23:35:00"/>
    <s v="BUD"/>
    <n v="96677"/>
    <d v="1899-12-30T04:20:00"/>
    <d v="1899-12-30T04:10:00"/>
  </r>
  <r>
    <x v="8"/>
    <d v="1899-12-30T06:05:00"/>
    <s v="BUD"/>
    <x v="1"/>
    <s v="MUC"/>
    <d v="1899-12-30T09:10:00"/>
    <s v="BLQ"/>
    <d v="1899-12-30T19:35:00"/>
    <s v="BLQ"/>
    <s v="1 átszállás"/>
    <s v="VIE"/>
    <d v="1899-12-30T22:25:00"/>
    <s v="BUD"/>
    <n v="76100"/>
    <d v="1899-12-30T03:05:00"/>
    <d v="1899-12-30T02:50:00"/>
  </r>
  <r>
    <x v="10"/>
    <d v="1899-12-30T05:55:00"/>
    <s v="BUD"/>
    <x v="0"/>
    <m/>
    <d v="1899-12-30T07:35:00"/>
    <s v="NAP"/>
    <d v="1899-12-30T18:15:00"/>
    <s v="NAP"/>
    <s v="Közvetlen járat"/>
    <m/>
    <d v="1899-12-30T19:55:00"/>
    <s v="BUD"/>
    <n v="63222"/>
    <d v="1899-12-30T01:40:00"/>
    <d v="1899-12-30T01:40:00"/>
  </r>
  <r>
    <x v="7"/>
    <d v="1899-12-30T06:10:00"/>
    <s v="BUD"/>
    <x v="2"/>
    <s v="MXP TIA"/>
    <d v="1899-12-30T12:15:00"/>
    <s v="RMI"/>
    <d v="1899-12-30T12:50:00"/>
    <s v="RMI"/>
    <s v="2 átszállás"/>
    <s v="TIA FCO"/>
    <d v="1899-12-30T10:35:00"/>
    <s v="BUD"/>
    <n v="106570"/>
    <d v="1899-12-30T06:05:00"/>
    <d v="1899-12-30T21:45:00"/>
  </r>
  <r>
    <x v="2"/>
    <d v="1899-12-30T06:15:00"/>
    <s v="BUD"/>
    <x v="1"/>
    <s v="FCO"/>
    <d v="1899-12-30T14:05:00"/>
    <s v="CAG"/>
    <d v="1899-12-30T16:15:00"/>
    <s v="CAG"/>
    <s v="1 átszállás"/>
    <s v="BCN"/>
    <d v="1899-12-30T22:30:00"/>
    <s v="BUD"/>
    <n v="81913"/>
    <d v="1899-12-30T07:50:00"/>
    <d v="1899-12-30T06:15:00"/>
  </r>
  <r>
    <x v="10"/>
    <d v="1899-12-30T14:20:00"/>
    <s v="BUD"/>
    <x v="0"/>
    <m/>
    <d v="1899-12-30T16:10:00"/>
    <s v="NAP"/>
    <d v="1899-12-30T14:55:00"/>
    <s v="NAP"/>
    <s v="1 átszállás"/>
    <s v="BEG"/>
    <d v="1899-12-30T19:10:00"/>
    <s v="BUD"/>
    <n v="54905"/>
    <d v="1899-12-30T01:50:00"/>
    <d v="1899-12-30T04:15:00"/>
  </r>
  <r>
    <x v="11"/>
    <d v="1899-12-30T10:05:00"/>
    <s v="BUD"/>
    <x v="1"/>
    <s v="BRI"/>
    <d v="1899-12-30T21:50:00"/>
    <s v="TRS"/>
    <d v="1899-12-30T21:45:00"/>
    <s v="TRS"/>
    <s v="Közvetlen járat"/>
    <m/>
    <d v="1899-12-30T22:50:00"/>
    <s v="BUD"/>
    <n v="51469"/>
    <d v="1899-12-30T11:45:00"/>
    <d v="1899-12-30T01:05:00"/>
  </r>
  <r>
    <x v="10"/>
    <d v="1899-12-30T05:55:00"/>
    <s v="BUD"/>
    <x v="0"/>
    <m/>
    <d v="1899-12-30T07:35:00"/>
    <s v="NAP"/>
    <d v="1899-12-30T19:45:00"/>
    <s v="NAP"/>
    <s v="1 átszállás"/>
    <s v="FCO"/>
    <d v="1899-12-30T23:35:00"/>
    <s v="BUD"/>
    <n v="85628"/>
    <d v="1899-12-30T01:40:00"/>
    <d v="1899-12-30T03:50:00"/>
  </r>
  <r>
    <x v="2"/>
    <d v="1899-12-30T19:15:00"/>
    <s v="BUD"/>
    <x v="1"/>
    <s v="FCO"/>
    <d v="1899-12-30T23:35:00"/>
    <s v="CAG"/>
    <d v="1899-12-30T19:00:00"/>
    <s v="CAG"/>
    <s v="1 átszállás"/>
    <s v="FCO"/>
    <d v="1899-12-30T23:35:00"/>
    <s v="BUD"/>
    <n v="100075"/>
    <d v="1899-12-30T04:20:00"/>
    <d v="1899-12-30T04:35:00"/>
  </r>
  <r>
    <x v="10"/>
    <d v="1899-12-30T07:40:00"/>
    <s v="BUD"/>
    <x v="1"/>
    <s v="VCE"/>
    <d v="1899-12-30T15:25:00"/>
    <s v="NAP"/>
    <d v="1899-12-30T12:00:00"/>
    <s v="NAP"/>
    <s v="Közvetlen járat"/>
    <m/>
    <d v="1899-12-30T13:35:00"/>
    <s v="BUD"/>
    <n v="39109"/>
    <d v="1899-12-30T07:45:00"/>
    <d v="1899-12-30T01:35:00"/>
  </r>
  <r>
    <x v="5"/>
    <d v="1899-12-30T06:10:00"/>
    <s v="BUD"/>
    <x v="0"/>
    <m/>
    <d v="1899-12-30T07:55:00"/>
    <s v="MXP"/>
    <d v="1899-12-30T21:55:00"/>
    <s v="BGY"/>
    <s v="Közvetlen járat"/>
    <m/>
    <d v="1899-12-30T23:30:00"/>
    <s v="BUD"/>
    <n v="51495"/>
    <d v="1899-12-30T01:45:00"/>
    <d v="1899-12-30T01:35:00"/>
  </r>
  <r>
    <x v="5"/>
    <d v="1899-12-30T06:10:00"/>
    <s v="BUD"/>
    <x v="0"/>
    <m/>
    <d v="1899-12-30T07:55:00"/>
    <s v="MXP"/>
    <d v="1899-12-30T12:45:00"/>
    <s v="BGY"/>
    <s v="Közvetlen járat"/>
    <m/>
    <d v="1899-12-30T14:20:00"/>
    <s v="BUD"/>
    <n v="46587"/>
    <d v="1899-12-30T01:45:00"/>
    <d v="1899-12-30T01:35:00"/>
  </r>
  <r>
    <x v="9"/>
    <d v="1899-12-30T07:40:00"/>
    <s v="BUD"/>
    <x v="2"/>
    <s v="VCE PMO"/>
    <d v="1899-12-30T15:40:00"/>
    <s v="AHO"/>
    <d v="1899-12-30T08:15:00"/>
    <s v="AHO"/>
    <s v="Közvetlen járat"/>
    <m/>
    <d v="1899-12-30T10:15:00"/>
    <s v="BUD"/>
    <n v="87891"/>
    <d v="1899-12-30T08:00:00"/>
    <d v="1899-12-30T02:00:00"/>
  </r>
  <r>
    <x v="2"/>
    <d v="1899-12-30T16:05:00"/>
    <s v="BUD"/>
    <x v="2"/>
    <s v="DOH BCN"/>
    <d v="1899-12-30T15:45:00"/>
    <s v="CAG"/>
    <d v="1899-12-30T10:30:00"/>
    <s v="CAG"/>
    <s v="1 átszállás"/>
    <s v="VIE"/>
    <d v="1899-12-30T14:30:00"/>
    <s v="BUD"/>
    <n v="781299"/>
    <d v="1899-12-30T23:40:00"/>
    <d v="1899-12-30T04:00:00"/>
  </r>
  <r>
    <x v="3"/>
    <d v="1899-12-30T07:40:00"/>
    <s v="BUD"/>
    <x v="1"/>
    <s v="VCE"/>
    <d v="1899-12-30T12:10:00"/>
    <s v="CTA"/>
    <d v="1899-12-30T21:00:00"/>
    <s v="CTA"/>
    <s v="Közvetlen járat"/>
    <m/>
    <d v="1899-12-30T23:10:00"/>
    <s v="BUD"/>
    <n v="61779"/>
    <d v="1899-12-30T04:30:00"/>
    <d v="1899-12-30T02:10:00"/>
  </r>
  <r>
    <x v="6"/>
    <d v="1899-12-30T10:05:00"/>
    <s v="BUD"/>
    <x v="0"/>
    <m/>
    <d v="1899-12-30T11:35:00"/>
    <s v="BRI"/>
    <d v="1899-12-30T17:35:00"/>
    <s v="BRI"/>
    <s v="1 átszállás"/>
    <s v="TRS"/>
    <d v="1899-12-30T22:50:00"/>
    <s v="BUD"/>
    <n v="61022"/>
    <d v="1899-12-30T01:30:00"/>
    <d v="1899-12-30T05:15:00"/>
  </r>
  <r>
    <x v="9"/>
    <d v="1899-12-30T15:10:00"/>
    <s v="BUD"/>
    <x v="2"/>
    <s v="VIE BLQ"/>
    <d v="1899-12-30T22:10:00"/>
    <s v="AHO"/>
    <d v="1899-12-30T08:15:00"/>
    <s v="AHO"/>
    <s v="Közvetlen járat"/>
    <m/>
    <d v="1899-12-30T10:15:00"/>
    <s v="BUD"/>
    <n v="159768"/>
    <d v="1899-12-30T07:00:00"/>
    <d v="1899-12-30T02:00:00"/>
  </r>
  <r>
    <x v="5"/>
    <d v="1899-12-30T11:10:00"/>
    <s v="BUD"/>
    <x v="0"/>
    <m/>
    <d v="1899-12-30T12:50:00"/>
    <s v="BGY"/>
    <d v="1899-12-30T12:45:00"/>
    <s v="BGY"/>
    <s v="Közvetlen járat"/>
    <m/>
    <d v="1899-12-30T14:20:00"/>
    <s v="BUD"/>
    <n v="51704"/>
    <d v="1899-12-30T01:40:00"/>
    <d v="1899-12-30T01:35:00"/>
  </r>
  <r>
    <x v="2"/>
    <d v="1899-12-30T16:05:00"/>
    <s v="BUD"/>
    <x v="2"/>
    <s v="DOH BCN"/>
    <d v="1899-12-30T15:45:00"/>
    <s v="CAG"/>
    <d v="1899-12-30T18:25:00"/>
    <s v="CAG"/>
    <s v="1 átszállás"/>
    <s v="MUC"/>
    <d v="1899-12-30T23:35:00"/>
    <s v="BUD"/>
    <n v="763752"/>
    <d v="1899-12-30T23:40:00"/>
    <d v="1899-12-30T05:10:00"/>
  </r>
  <r>
    <x v="4"/>
    <d v="1899-12-30T08:25:00"/>
    <s v="BUD"/>
    <x v="1"/>
    <s v="MUC"/>
    <d v="1899-12-30T12:35:00"/>
    <s v="GOA"/>
    <d v="1899-12-30T06:10:00"/>
    <s v="GOA"/>
    <s v="1 átszállás"/>
    <s v="MUC"/>
    <d v="1899-12-30T09:35:00"/>
    <s v="BUD"/>
    <n v="94600"/>
    <d v="1899-12-30T04:10:00"/>
    <d v="1899-12-30T03:25:00"/>
  </r>
  <r>
    <x v="10"/>
    <d v="1899-12-30T06:10:00"/>
    <s v="BUD"/>
    <x v="1"/>
    <s v="MXP"/>
    <d v="1899-12-30T12:00:00"/>
    <s v="NAP"/>
    <d v="1899-12-30T12:00:00"/>
    <s v="NAP"/>
    <s v="Közvetlen járat"/>
    <m/>
    <d v="1899-12-30T13:35:00"/>
    <s v="BUD"/>
    <n v="45076"/>
    <d v="1899-12-30T05:50:00"/>
    <d v="1899-12-30T01:35:00"/>
  </r>
  <r>
    <x v="0"/>
    <d v="1899-12-30T19:25:00"/>
    <s v="BUD"/>
    <x v="0"/>
    <m/>
    <d v="1899-12-30T21:05:00"/>
    <s v="CIA"/>
    <d v="1899-12-30T19:50:00"/>
    <s v="CIA"/>
    <s v="Közvetlen járat"/>
    <m/>
    <d v="1899-12-30T21:30:00"/>
    <s v="BUD"/>
    <n v="50432"/>
    <d v="1899-12-30T01:40:00"/>
    <d v="1899-12-30T01:40:00"/>
  </r>
  <r>
    <x v="11"/>
    <d v="1899-12-30T06:05:00"/>
    <s v="BUD"/>
    <x v="2"/>
    <s v="MUC FRA"/>
    <d v="1899-12-30T14:05:00"/>
    <s v="TRS"/>
    <d v="1899-12-30T14:45:00"/>
    <s v="TRS"/>
    <s v="1 átszállás"/>
    <s v="FRA"/>
    <d v="1899-12-30T23:50:00"/>
    <s v="BUD"/>
    <n v="94645"/>
    <d v="1899-12-30T08:00:00"/>
    <d v="1899-12-30T09:05:00"/>
  </r>
  <r>
    <x v="12"/>
    <d v="1899-12-30T11:35:00"/>
    <s v="BUD"/>
    <x v="1"/>
    <s v="FRA"/>
    <d v="1899-12-30T17:35:00"/>
    <s v="PSA"/>
    <d v="1899-12-30T18:15:00"/>
    <s v="PSA"/>
    <s v="1 átszállás"/>
    <s v="FRA"/>
    <d v="1899-12-30T23:50:00"/>
    <s v="BUD"/>
    <n v="91640"/>
    <d v="1899-12-30T06:00:00"/>
    <d v="1899-12-30T05:35:00"/>
  </r>
  <r>
    <x v="9"/>
    <d v="1899-12-30T07:40:00"/>
    <s v="BUD"/>
    <x v="2"/>
    <s v="VCE PMO"/>
    <d v="1899-12-30T15:40:00"/>
    <s v="AHO"/>
    <d v="1899-12-30T13:05:00"/>
    <s v="AHO"/>
    <s v="1 átszállás"/>
    <s v="BCN"/>
    <d v="1899-12-30T22:30:00"/>
    <s v="BUD"/>
    <n v="93540"/>
    <d v="1899-12-30T08:00:00"/>
    <d v="1899-12-30T09:25:00"/>
  </r>
  <r>
    <x v="11"/>
    <d v="1899-12-30T06:15:00"/>
    <s v="BUD"/>
    <x v="1"/>
    <s v="FCO"/>
    <d v="1899-12-30T18:35:00"/>
    <s v="TRS"/>
    <d v="1899-12-30T21:45:00"/>
    <s v="TRS"/>
    <s v="Közvetlen járat"/>
    <m/>
    <d v="1899-12-30T22:50:00"/>
    <s v="BUD"/>
    <n v="63292"/>
    <d v="1899-12-30T12:20:00"/>
    <d v="1899-12-30T01:05:00"/>
  </r>
  <r>
    <x v="9"/>
    <d v="1899-12-30T06:15:00"/>
    <s v="BUD"/>
    <x v="2"/>
    <s v="FCO PMO"/>
    <d v="1899-12-30T15:40:00"/>
    <s v="AHO"/>
    <d v="1899-12-30T08:15:00"/>
    <s v="AHO"/>
    <s v="Közvetlen járat"/>
    <m/>
    <d v="1899-12-30T10:15:00"/>
    <s v="BUD"/>
    <n v="99041"/>
    <d v="1899-12-30T09:25:00"/>
    <d v="1899-12-30T02:00:00"/>
  </r>
  <r>
    <x v="12"/>
    <d v="1899-12-30T09:55:00"/>
    <s v="BUD"/>
    <x v="0"/>
    <m/>
    <d v="1899-12-30T11:40:00"/>
    <s v="PSA"/>
    <d v="1899-12-30T10:25:00"/>
    <s v="PSA"/>
    <s v="1 átszállás"/>
    <s v="PRG"/>
    <d v="1899-12-30T17:30:00"/>
    <s v="BUD"/>
    <n v="91041"/>
    <d v="1899-12-30T01:45:00"/>
    <d v="1899-12-30T07:05:00"/>
  </r>
  <r>
    <x v="8"/>
    <d v="1899-12-30T15:10:00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3:45:00"/>
    <d v="1899-12-30T02:50:00"/>
  </r>
  <r>
    <x v="2"/>
    <d v="1899-12-30T16:05:00"/>
    <s v="BUD"/>
    <x v="2"/>
    <s v="DOH BCN"/>
    <d v="1899-12-30T15:45:00"/>
    <s v="CAG"/>
    <d v="1899-12-30T14:10:00"/>
    <s v="CAG"/>
    <s v="1 átszállás"/>
    <s v="DUS"/>
    <d v="1899-12-30T19:30:00"/>
    <s v="BUD"/>
    <n v="803016"/>
    <d v="1899-12-30T23:40:00"/>
    <d v="1899-12-30T05:20:00"/>
  </r>
  <r>
    <x v="12"/>
    <d v="1899-12-30T09:55:00"/>
    <s v="BUD"/>
    <x v="0"/>
    <m/>
    <d v="1899-12-30T11:40:00"/>
    <s v="PSA"/>
    <d v="1899-12-30T15:50:00"/>
    <s v="PSA"/>
    <s v="1 átszállás"/>
    <s v="CRL"/>
    <d v="1899-12-30T22:55:00"/>
    <s v="BUD"/>
    <n v="95296"/>
    <d v="1899-12-30T01:45:00"/>
    <d v="1899-12-30T07:05:00"/>
  </r>
  <r>
    <x v="8"/>
    <d v="1899-12-30T19:05:00"/>
    <s v="BUD"/>
    <x v="0"/>
    <m/>
    <d v="1899-12-30T20:35:00"/>
    <s v="BLQ"/>
    <d v="1899-12-30T19:35:00"/>
    <s v="BLQ"/>
    <s v="1 átszállás"/>
    <s v="VIE"/>
    <d v="1899-12-30T22:25:00"/>
    <s v="BUD"/>
    <n v="114286"/>
    <d v="1899-12-30T01:30:00"/>
    <d v="1899-12-30T02:50:00"/>
  </r>
  <r>
    <x v="3"/>
    <d v="1899-12-30T06:15:00"/>
    <s v="BUD"/>
    <x v="1"/>
    <s v="FCO"/>
    <d v="1899-12-30T10:50:00"/>
    <s v="CTA"/>
    <d v="1899-12-30T21:00:00"/>
    <s v="CTA"/>
    <s v="Közvetlen járat"/>
    <m/>
    <d v="1899-12-30T23:10:00"/>
    <s v="BUD"/>
    <n v="71856"/>
    <d v="1899-12-30T04:35:00"/>
    <d v="1899-12-30T02:10:00"/>
  </r>
  <r>
    <x v="4"/>
    <d v="1899-12-30T08:45:00"/>
    <s v="BUD"/>
    <x v="1"/>
    <s v="MUC"/>
    <d v="1899-12-30T12:35:00"/>
    <s v="GOA"/>
    <d v="1899-12-30T06:10:00"/>
    <s v="GOA"/>
    <s v="1 átszállás"/>
    <s v="MUC"/>
    <d v="1899-12-30T09:35:00"/>
    <s v="BUD"/>
    <n v="132732"/>
    <d v="1899-12-30T03:50:00"/>
    <d v="1899-12-30T03:25:00"/>
  </r>
  <r>
    <x v="0"/>
    <d v="1899-12-30T13:20:00"/>
    <s v="BUD"/>
    <x v="0"/>
    <m/>
    <d v="1899-12-30T15:00:00"/>
    <s v="CIA"/>
    <d v="1899-12-30T19:50:00"/>
    <s v="CIA"/>
    <s v="Közvetlen járat"/>
    <m/>
    <d v="1899-12-30T21:30:00"/>
    <s v="BUD"/>
    <n v="54478"/>
    <d v="1899-12-30T01:40:00"/>
    <d v="1899-12-30T01:40:00"/>
  </r>
  <r>
    <x v="11"/>
    <d v="1899-12-30T09:25:00"/>
    <s v="BUD"/>
    <x v="1"/>
    <s v="FRA"/>
    <d v="1899-12-30T14:05:00"/>
    <s v="TRS"/>
    <d v="1899-12-30T21:45:00"/>
    <s v="TRS"/>
    <s v="Közvetlen járat"/>
    <m/>
    <d v="1899-12-30T22:50:00"/>
    <s v="BUD"/>
    <n v="104954"/>
    <d v="1899-12-30T04:40:00"/>
    <d v="1899-12-30T01:05:00"/>
  </r>
  <r>
    <x v="7"/>
    <d v="1899-12-30T14:20:00"/>
    <s v="BUD"/>
    <x v="0"/>
    <m/>
    <d v="1899-12-30T15:50:00"/>
    <s v="RMI"/>
    <d v="1899-12-30T12:50:00"/>
    <s v="RMI"/>
    <s v="1 átszállás"/>
    <s v="TIA"/>
    <d v="1899-12-30T23:30:00"/>
    <s v="BUD"/>
    <n v="145749"/>
    <d v="1899-12-30T01:30:00"/>
    <d v="1899-12-30T10:40:00"/>
  </r>
  <r>
    <x v="6"/>
    <d v="1899-12-30T10:05:00"/>
    <s v="BUD"/>
    <x v="0"/>
    <m/>
    <d v="1899-12-30T11:35:00"/>
    <s v="BRI"/>
    <d v="1899-12-30T22:45:00"/>
    <s v="BRI"/>
    <s v="1 átszállás"/>
    <s v="FCO"/>
    <d v="1899-12-30T10:35:00"/>
    <s v="BUD"/>
    <n v="54715"/>
    <d v="1899-12-30T01:30:00"/>
    <d v="1899-12-30T11:50:00"/>
  </r>
  <r>
    <x v="7"/>
    <d v="1899-12-30T14:20:00"/>
    <s v="BUD"/>
    <x v="0"/>
    <m/>
    <d v="1899-12-30T15:50:00"/>
    <s v="RMI"/>
    <d v="1899-12-30T12:50:00"/>
    <s v="RMI"/>
    <s v="2 átszállás"/>
    <s v="TIA FCO"/>
    <d v="1899-12-30T10:35:00"/>
    <s v="BUD"/>
    <n v="115763"/>
    <d v="1899-12-30T01:30:00"/>
    <d v="1899-12-30T21:45:00"/>
  </r>
  <r>
    <x v="7"/>
    <d v="1899-12-30T14:20:00"/>
    <s v="BUD"/>
    <x v="0"/>
    <m/>
    <d v="1899-12-30T15:50:00"/>
    <s v="RMI"/>
    <d v="1899-12-30T12:50:00"/>
    <s v="RMI"/>
    <s v="2 átszállás"/>
    <s v="TIA NAP"/>
    <d v="1899-12-30T13:35:00"/>
    <s v="BUD"/>
    <n v="124920"/>
    <d v="1899-12-30T01:30:00"/>
    <d v="1899-12-30T00:45:00"/>
  </r>
  <r>
    <x v="12"/>
    <d v="1899-12-30T09:55:00"/>
    <s v="BUD"/>
    <x v="0"/>
    <m/>
    <d v="1899-12-30T11:40:00"/>
    <s v="PSA"/>
    <d v="1899-12-30T06:20:00"/>
    <s v="PSA"/>
    <s v="1 átszállás"/>
    <s v="TIA"/>
    <d v="1899-12-30T16:35:00"/>
    <s v="BUD"/>
    <n v="74993"/>
    <d v="1899-12-30T01:45:00"/>
    <d v="1899-12-30T10:15:00"/>
  </r>
  <r>
    <x v="0"/>
    <d v="1899-12-30T06:15:00"/>
    <s v="BUD"/>
    <x v="0"/>
    <m/>
    <d v="1899-12-30T08:05:00"/>
    <s v="FCO"/>
    <d v="1899-12-30T08:45:00"/>
    <s v="FCO"/>
    <s v="Közvetlen járat"/>
    <m/>
    <d v="1899-12-30T10:35:00"/>
    <s v="BUD"/>
    <n v="31209"/>
    <d v="1899-12-30T01:50:00"/>
    <d v="1899-12-30T01:50:00"/>
  </r>
  <r>
    <x v="7"/>
    <d v="1899-12-30T06:15:00"/>
    <s v="BUD"/>
    <x v="2"/>
    <s v="FCO TIA"/>
    <d v="1899-12-30T12:15:00"/>
    <s v="RMI"/>
    <d v="1899-12-30T12:50:00"/>
    <s v="RMI"/>
    <s v="2 átszállás"/>
    <s v="TIA FCO"/>
    <d v="1899-12-30T10:35:00"/>
    <s v="BUD"/>
    <n v="104753"/>
    <d v="1899-12-30T06:00:00"/>
    <d v="1899-12-30T21:45:00"/>
  </r>
  <r>
    <x v="6"/>
    <d v="1899-12-30T11:15:00"/>
    <s v="BUD"/>
    <x v="1"/>
    <s v="VIE"/>
    <d v="1899-12-30T14:15:00"/>
    <s v="BRI"/>
    <d v="1899-12-30T13:00:00"/>
    <s v="BRI"/>
    <s v="Közvetlen járat"/>
    <m/>
    <d v="1899-12-30T14:30:00"/>
    <s v="BUD"/>
    <n v="174771"/>
    <d v="1899-12-30T03:00:00"/>
    <d v="1899-12-30T01:30:00"/>
  </r>
  <r>
    <x v="4"/>
    <d v="1899-12-30T11:10:00"/>
    <s v="BUD"/>
    <x v="0"/>
    <m/>
    <d v="1899-12-30T13:00:00"/>
    <s v="GOA"/>
    <d v="1899-12-30T06:10:00"/>
    <s v="GOA"/>
    <s v="1 átszállás"/>
    <s v="MUC"/>
    <d v="1899-12-30T09:35:00"/>
    <s v="BUD"/>
    <n v="93113"/>
    <d v="1899-12-30T01:50:00"/>
    <d v="1899-12-30T03:25:00"/>
  </r>
  <r>
    <x v="5"/>
    <d v="1899-12-30T10:45:00"/>
    <s v="BUD"/>
    <x v="0"/>
    <m/>
    <d v="1899-12-30T12:30:00"/>
    <s v="MXP"/>
    <d v="1899-12-30T21:45:00"/>
    <s v="MXP"/>
    <s v="Közvetlen járat"/>
    <m/>
    <d v="1899-12-30T23:25:00"/>
    <s v="BUD"/>
    <n v="54650"/>
    <d v="1899-12-30T01:45:00"/>
    <d v="1899-12-30T01:40:00"/>
  </r>
  <r>
    <x v="3"/>
    <d v="1899-12-30T07:40:00"/>
    <s v="BUD"/>
    <x v="1"/>
    <s v="VCE"/>
    <d v="1899-12-30T12:10:00"/>
    <s v="CTA"/>
    <d v="1899-12-30T07:50:00"/>
    <s v="CTA"/>
    <s v="1 átszállás"/>
    <s v="NAP"/>
    <d v="1899-12-30T13:35:00"/>
    <s v="BUD"/>
    <n v="53391"/>
    <d v="1899-12-30T04:30:00"/>
    <d v="1899-12-30T05:45:00"/>
  </r>
  <r>
    <x v="3"/>
    <d v="1899-12-30T13:25:00"/>
    <s v="BUD"/>
    <x v="1"/>
    <s v="MUC"/>
    <d v="1899-12-30T17:45:00"/>
    <s v="CTA"/>
    <d v="1899-12-30T21:00:00"/>
    <s v="CTA"/>
    <s v="Közvetlen járat"/>
    <m/>
    <d v="1899-12-30T23:10:00"/>
    <s v="BUD"/>
    <n v="117592"/>
    <d v="1899-12-30T04:20:00"/>
    <d v="1899-12-30T02:10:00"/>
  </r>
  <r>
    <x v="3"/>
    <d v="1899-12-30T07:40:00"/>
    <s v="BUD"/>
    <x v="1"/>
    <s v="VCE"/>
    <d v="1899-12-30T12:10:00"/>
    <s v="CTA"/>
    <d v="1899-12-30T19:15:00"/>
    <s v="CTA"/>
    <s v="1 átszállás"/>
    <s v="FCO"/>
    <d v="1899-12-30T23:35:00"/>
    <s v="BUD"/>
    <n v="61879"/>
    <d v="1899-12-30T04:30:00"/>
    <d v="1899-12-30T04:20:00"/>
  </r>
  <r>
    <x v="3"/>
    <d v="1899-12-30T07:40:00"/>
    <s v="BUD"/>
    <x v="1"/>
    <s v="VCE"/>
    <d v="1899-12-30T12:10:00"/>
    <s v="CTA"/>
    <d v="1899-12-30T09:30:00"/>
    <s v="CTA"/>
    <s v="1 átszállás"/>
    <s v="NAP"/>
    <d v="1899-12-30T13:35:00"/>
    <s v="BUD"/>
    <n v="58312"/>
    <d v="1899-12-30T04:30:00"/>
    <d v="1899-12-30T04:05:00"/>
  </r>
  <r>
    <x v="4"/>
    <d v="1899-12-30T11:10:00"/>
    <s v="BUD"/>
    <x v="0"/>
    <m/>
    <d v="1899-12-30T13:00:00"/>
    <s v="GOA"/>
    <d v="1899-12-30T15:25:00"/>
    <s v="GOA"/>
    <s v="1 átszállás"/>
    <s v="FCO"/>
    <d v="1899-12-30T23:35:00"/>
    <s v="BUD"/>
    <n v="68946"/>
    <d v="1899-12-30T01:50:00"/>
    <d v="1899-12-30T08:10:00"/>
  </r>
  <r>
    <x v="6"/>
    <d v="1899-12-30T10:05:00"/>
    <s v="BUD"/>
    <x v="0"/>
    <m/>
    <d v="1899-12-30T11:35:00"/>
    <s v="BRI"/>
    <d v="1899-12-30T17:50:00"/>
    <s v="BRI"/>
    <s v="1 átszállás"/>
    <s v="BGY"/>
    <d v="1899-12-30T23:30:00"/>
    <s v="BUD"/>
    <n v="71191"/>
    <d v="1899-12-30T01:30:00"/>
    <d v="1899-12-30T05:40:00"/>
  </r>
  <r>
    <x v="7"/>
    <d v="1899-12-30T07:40:00"/>
    <s v="BUD"/>
    <x v="2"/>
    <s v="VCE PMO"/>
    <d v="1899-12-30T15:10:00"/>
    <s v="RMI"/>
    <d v="1899-12-30T12:50:00"/>
    <s v="RMI"/>
    <s v="1 átszállás"/>
    <s v="TIA"/>
    <d v="1899-12-30T23:30:00"/>
    <s v="BUD"/>
    <n v="142911"/>
    <d v="1899-12-30T07:30:00"/>
    <d v="1899-12-30T10:40:00"/>
  </r>
  <r>
    <x v="6"/>
    <d v="1899-12-30T10:05:00"/>
    <s v="BUD"/>
    <x v="0"/>
    <m/>
    <d v="1899-12-30T11:35:00"/>
    <s v="BRI"/>
    <d v="1899-12-30T13:00:00"/>
    <s v="BRI"/>
    <s v="Közvetlen járat"/>
    <m/>
    <d v="1899-12-30T14:30:00"/>
    <s v="BUD"/>
    <n v="58201"/>
    <d v="1899-12-30T01:30:00"/>
    <d v="1899-12-30T01:30:00"/>
  </r>
  <r>
    <x v="0"/>
    <d v="1899-12-30T19:25:00"/>
    <s v="BUD"/>
    <x v="0"/>
    <m/>
    <d v="1899-12-30T21:05:00"/>
    <s v="CIA"/>
    <d v="1899-12-30T08:15:00"/>
    <s v="CIA"/>
    <s v="Közvetlen járat"/>
    <m/>
    <d v="1899-12-30T09:55:00"/>
    <s v="BUD"/>
    <n v="50248"/>
    <d v="1899-12-30T01:40:00"/>
    <d v="1899-12-30T01:40:00"/>
  </r>
  <r>
    <x v="1"/>
    <d v="1899-12-30T07:40:00"/>
    <s v="BUD"/>
    <x v="1"/>
    <s v="VCE"/>
    <d v="1899-12-30T12:35:00"/>
    <s v="PMO"/>
    <d v="1899-12-30T19:20:00"/>
    <s v="PMO"/>
    <s v="1 átszállás"/>
    <s v="FCO"/>
    <d v="1899-12-30T23:35:00"/>
    <s v="BUD"/>
    <n v="72723"/>
    <d v="1899-12-30T04:55:00"/>
    <d v="1899-12-30T04:15:00"/>
  </r>
  <r>
    <x v="2"/>
    <d v="1899-12-30T06:15:00"/>
    <s v="BUD"/>
    <x v="1"/>
    <s v="FCO"/>
    <d v="1899-12-30T14:05:00"/>
    <s v="CAG"/>
    <d v="1899-12-30T20:55:00"/>
    <s v="CAG"/>
    <s v="1 átszállás"/>
    <s v="VCE"/>
    <d v="1899-12-30T07:25:00"/>
    <s v="BUD"/>
    <n v="75323"/>
    <d v="1899-12-30T07:50:00"/>
    <d v="1899-12-30T10:30:00"/>
  </r>
  <r>
    <x v="5"/>
    <d v="1899-12-30T19:25:00"/>
    <s v="BUD"/>
    <x v="0"/>
    <m/>
    <d v="1899-12-30T21:10:00"/>
    <s v="MXP"/>
    <d v="1899-12-30T15:00:00"/>
    <s v="MXP"/>
    <s v="Közvetlen járat"/>
    <m/>
    <d v="1899-12-30T16:40:00"/>
    <s v="BUD"/>
    <n v="56053"/>
    <d v="1899-12-30T01:45:00"/>
    <d v="1899-12-30T01:40:00"/>
  </r>
  <r>
    <x v="12"/>
    <d v="1899-12-30T06:05:00"/>
    <s v="BUD"/>
    <x v="2"/>
    <s v="MUC FRA"/>
    <d v="1899-12-30T17:35:00"/>
    <s v="PSA"/>
    <d v="1899-12-30T18:15:00"/>
    <s v="PSA"/>
    <s v="1 átszállás"/>
    <s v="FRA"/>
    <d v="1899-12-30T23:50:00"/>
    <s v="BUD"/>
    <n v="104800"/>
    <d v="1899-12-30T11:30:00"/>
    <d v="1899-12-30T05:35:00"/>
  </r>
  <r>
    <x v="0"/>
    <d v="1899-12-30T06:15:00"/>
    <s v="BUD"/>
    <x v="0"/>
    <m/>
    <d v="1899-12-30T08:05:00"/>
    <s v="FCO"/>
    <d v="1899-12-30T21:45:00"/>
    <s v="FCO"/>
    <s v="Közvetlen járat"/>
    <m/>
    <d v="1899-12-30T23:35:00"/>
    <s v="BUD"/>
    <n v="31209"/>
    <d v="1899-12-30T01:50:00"/>
    <d v="1899-12-30T01:50:00"/>
  </r>
  <r>
    <x v="4"/>
    <d v="1899-12-30T11:10:00"/>
    <s v="BUD"/>
    <x v="0"/>
    <m/>
    <d v="1899-12-30T13:00:00"/>
    <s v="GOA"/>
    <d v="1899-12-30T13:15:00"/>
    <s v="GOA"/>
    <s v="1 átszállás"/>
    <s v="MUC"/>
    <d v="1899-12-30T16:50:00"/>
    <s v="BUD"/>
    <n v="236607"/>
    <d v="1899-12-30T01:50:00"/>
    <d v="1899-12-30T03:35:00"/>
  </r>
  <r>
    <x v="5"/>
    <d v="1899-12-30T11:10:00"/>
    <s v="BUD"/>
    <x v="0"/>
    <m/>
    <d v="1899-12-30T12:50:00"/>
    <s v="BGY"/>
    <d v="1899-12-30T21:55:00"/>
    <s v="BGY"/>
    <s v="Közvetlen járat"/>
    <m/>
    <d v="1899-12-30T23:30:00"/>
    <s v="BUD"/>
    <n v="56639"/>
    <d v="1899-12-30T01:40:00"/>
    <d v="1899-12-30T01:35:00"/>
  </r>
  <r>
    <x v="2"/>
    <d v="1899-12-30T06:15:00"/>
    <s v="BUD"/>
    <x v="1"/>
    <s v="FCO"/>
    <d v="1899-12-30T14:05:00"/>
    <s v="CAG"/>
    <d v="1899-12-30T19:00:00"/>
    <s v="CAG"/>
    <s v="1 átszállás"/>
    <s v="FCO"/>
    <d v="1899-12-30T23:35:00"/>
    <s v="BUD"/>
    <n v="93879"/>
    <d v="1899-12-30T07:50:00"/>
    <d v="1899-12-30T04:35:00"/>
  </r>
  <r>
    <x v="10"/>
    <d v="1899-12-30T05:55:00"/>
    <s v="BUD"/>
    <x v="0"/>
    <m/>
    <d v="1899-12-30T07:35:00"/>
    <s v="NAP"/>
    <d v="1899-12-30T12:00:00"/>
    <s v="NAP"/>
    <s v="Közvetlen járat"/>
    <m/>
    <d v="1899-12-30T13:35:00"/>
    <s v="BUD"/>
    <n v="44908"/>
    <d v="1899-12-30T01:40:00"/>
    <d v="1899-12-30T01:35:00"/>
  </r>
  <r>
    <x v="12"/>
    <d v="1899-12-30T09:25:00"/>
    <s v="BUD"/>
    <x v="1"/>
    <s v="FRA"/>
    <d v="1899-12-30T17:35:00"/>
    <s v="PSA"/>
    <d v="1899-12-30T18:15:00"/>
    <s v="PSA"/>
    <s v="1 átszállás"/>
    <s v="FRA"/>
    <d v="1899-12-30T23:50:00"/>
    <s v="BUD"/>
    <n v="97509"/>
    <d v="1899-12-30T08:10:00"/>
    <d v="1899-12-30T05:35:00"/>
  </r>
  <r>
    <x v="6"/>
    <d v="1899-12-30T11:40:00"/>
    <s v="BUD"/>
    <x v="0"/>
    <m/>
    <d v="1899-12-30T13:15:00"/>
    <s v="BRI"/>
    <d v="1899-12-30T19:25:00"/>
    <s v="BRI"/>
    <s v="1 átszállás"/>
    <s v="FCO"/>
    <d v="1899-12-30T23:35:00"/>
    <s v="BUD"/>
    <n v="67618"/>
    <d v="1899-12-30T01:35:00"/>
    <d v="1899-12-30T04:10:00"/>
  </r>
  <r>
    <x v="7"/>
    <d v="1899-12-30T16:30:00"/>
    <s v="BUD"/>
    <x v="2"/>
    <s v="BCN TIA"/>
    <d v="1899-12-30T12:15:00"/>
    <s v="RMI"/>
    <d v="1899-12-30T12:50:00"/>
    <s v="RMI"/>
    <s v="2 átszállás"/>
    <s v="TIA FCO"/>
    <d v="1899-12-30T10:35:00"/>
    <s v="BUD"/>
    <n v="113732"/>
    <d v="1899-12-30T19:45:00"/>
    <d v="1899-12-30T21:45:00"/>
  </r>
  <r>
    <x v="5"/>
    <d v="1899-12-30T19:25:00"/>
    <s v="BUD"/>
    <x v="0"/>
    <m/>
    <d v="1899-12-30T21:10:00"/>
    <s v="MXP"/>
    <d v="1899-12-30T21:45:00"/>
    <s v="MXP"/>
    <s v="Közvetlen járat"/>
    <m/>
    <d v="1899-12-30T23:25:00"/>
    <s v="BUD"/>
    <n v="56053"/>
    <d v="1899-12-30T01:45:00"/>
    <d v="1899-12-30T01:40:00"/>
  </r>
  <r>
    <x v="6"/>
    <d v="1899-12-30T10:05:00"/>
    <s v="BUD"/>
    <x v="0"/>
    <m/>
    <d v="1899-12-30T11:35:00"/>
    <s v="BRI"/>
    <d v="1899-12-30T19:25:00"/>
    <s v="BRI"/>
    <s v="1 átszállás"/>
    <s v="FCO"/>
    <d v="1899-12-30T23:35:00"/>
    <s v="BUD"/>
    <n v="63310"/>
    <d v="1899-12-30T01:30:00"/>
    <d v="1899-12-30T04:10:00"/>
  </r>
  <r>
    <x v="1"/>
    <d v="1899-12-30T20:00:00"/>
    <s v="BUD"/>
    <x v="1"/>
    <s v="ZRH"/>
    <d v="1899-12-30T08:50:00"/>
    <s v="PMO"/>
    <d v="1899-12-30T17:55:00"/>
    <s v="PMO"/>
    <s v="1 átszállás"/>
    <s v="MUC"/>
    <d v="1899-12-30T23:35:00"/>
    <s v="BUD"/>
    <n v="103400"/>
    <d v="1899-12-30T12:50:00"/>
    <d v="1899-12-30T05:40:00"/>
  </r>
  <r>
    <x v="12"/>
    <d v="1899-12-30T09:55:00"/>
    <s v="BUD"/>
    <x v="0"/>
    <m/>
    <d v="1899-12-30T11:40:00"/>
    <s v="PSA"/>
    <d v="1899-12-30T18:15:00"/>
    <s v="PSA"/>
    <s v="1 átszállás"/>
    <s v="FRA"/>
    <d v="1899-12-30T23:50:00"/>
    <s v="BUD"/>
    <n v="150201"/>
    <d v="1899-12-30T01:45:00"/>
    <d v="1899-12-30T05:35:00"/>
  </r>
  <r>
    <x v="9"/>
    <d v="1899-12-30T19:05:00"/>
    <s v="BUD"/>
    <x v="1"/>
    <s v="BLQ"/>
    <d v="1899-12-30T07:20:00"/>
    <s v="AHO"/>
    <d v="1899-12-30T08:15:00"/>
    <s v="AHO"/>
    <s v="Közvetlen járat"/>
    <m/>
    <d v="1899-12-30T10:15:00"/>
    <s v="BUD"/>
    <n v="102062"/>
    <d v="1899-12-30T12:15:00"/>
    <d v="1899-12-30T02:00:00"/>
  </r>
  <r>
    <x v="8"/>
    <d v="1899-12-30T06:15:00"/>
    <s v="BUD"/>
    <x v="1"/>
    <s v="FCO"/>
    <d v="1899-12-30T10:15:00"/>
    <s v="BLQ"/>
    <d v="1899-12-30T19:40:00"/>
    <s v="BLQ"/>
    <s v="1 átszállás"/>
    <s v="FCO"/>
    <d v="1899-12-30T23:35:00"/>
    <s v="BUD"/>
    <n v="95170"/>
    <d v="1899-12-30T04:00:00"/>
    <d v="1899-12-30T03:55:00"/>
  </r>
  <r>
    <x v="5"/>
    <d v="1899-12-30T06:10:00"/>
    <s v="BUD"/>
    <x v="0"/>
    <m/>
    <d v="1899-12-30T07:55:00"/>
    <s v="MXP"/>
    <d v="1899-12-30T15:00:00"/>
    <s v="MXP"/>
    <s v="Közvetlen járat"/>
    <m/>
    <d v="1899-12-30T16:40:00"/>
    <s v="BUD"/>
    <n v="50148"/>
    <d v="1899-12-30T01:45:00"/>
    <d v="1899-12-30T01:40:00"/>
  </r>
  <r>
    <x v="12"/>
    <d v="1899-12-30T08:25:00"/>
    <s v="BUD"/>
    <x v="2"/>
    <s v="MUC FRA"/>
    <d v="1899-12-30T17:35:00"/>
    <s v="PSA"/>
    <d v="1899-12-30T18:15:00"/>
    <s v="PSA"/>
    <s v="1 átszállás"/>
    <s v="FRA"/>
    <d v="1899-12-30T23:50:00"/>
    <s v="BUD"/>
    <n v="113921"/>
    <d v="1899-12-30T09:10:00"/>
    <d v="1899-12-30T05:35:00"/>
  </r>
  <r>
    <x v="2"/>
    <d v="1899-12-30T11:10:00"/>
    <s v="BUD"/>
    <x v="1"/>
    <s v="BGY"/>
    <d v="1899-12-30T16:45:00"/>
    <s v="CAG"/>
    <d v="1899-12-30T17:45:00"/>
    <s v="CAG"/>
    <s v="1 átszállás"/>
    <s v="BGY"/>
    <d v="1899-12-30T23:30:00"/>
    <s v="BUD"/>
    <n v="114427"/>
    <d v="1899-12-30T05:35:00"/>
    <d v="1899-12-30T05:45:00"/>
  </r>
  <r>
    <x v="8"/>
    <d v="1899-12-30T11:15:00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7:40:00"/>
    <d v="1899-12-30T02:50:00"/>
  </r>
  <r>
    <x v="3"/>
    <d v="1899-12-30T18:50:00"/>
    <s v="BUD"/>
    <x v="0"/>
    <m/>
    <d v="1899-12-30T21:00:00"/>
    <s v="CTA"/>
    <d v="1899-12-30T14:35:00"/>
    <s v="CTA"/>
    <s v="1 átszállás"/>
    <s v="BEG"/>
    <d v="1899-12-30T19:10:00"/>
    <s v="BUD"/>
    <n v="65537"/>
    <d v="1899-12-30T02:10:00"/>
    <d v="1899-12-30T04:35:00"/>
  </r>
  <r>
    <x v="11"/>
    <d v="1899-12-30T06:15:00"/>
    <s v="BUD"/>
    <x v="1"/>
    <s v="FCO"/>
    <d v="1899-12-30T10:25:00"/>
    <s v="TRS"/>
    <d v="1899-12-30T21:45:00"/>
    <s v="TRS"/>
    <s v="Közvetlen járat"/>
    <m/>
    <d v="1899-12-30T22:50:00"/>
    <s v="BUD"/>
    <n v="75617"/>
    <d v="1899-12-30T04:10:00"/>
    <d v="1899-12-30T01:05:00"/>
  </r>
  <r>
    <x v="4"/>
    <d v="1899-12-30T08:25:00"/>
    <s v="BUD"/>
    <x v="1"/>
    <s v="MUC"/>
    <d v="1899-12-30T12:35:00"/>
    <s v="GOA"/>
    <d v="1899-12-30T13:15:00"/>
    <s v="GOA"/>
    <s v="1 átszállás"/>
    <s v="MUC"/>
    <d v="1899-12-30T16:50:00"/>
    <s v="BUD"/>
    <n v="187663"/>
    <d v="1899-12-30T04:10:00"/>
    <d v="1899-12-30T03:35:00"/>
  </r>
  <r>
    <x v="5"/>
    <d v="1899-12-30T10:45:00"/>
    <s v="BUD"/>
    <x v="0"/>
    <m/>
    <d v="1899-12-30T12:30:00"/>
    <s v="MXP"/>
    <d v="1899-12-30T15:00:00"/>
    <s v="MXP"/>
    <s v="Közvetlen járat"/>
    <m/>
    <d v="1899-12-30T16:40:00"/>
    <s v="BUD"/>
    <n v="54650"/>
    <d v="1899-12-30T01:45:00"/>
    <d v="1899-12-30T01:40:00"/>
  </r>
  <r>
    <x v="11"/>
    <d v="1899-12-30T06:15:00"/>
    <s v="BUD"/>
    <x v="1"/>
    <s v="FCO"/>
    <d v="1899-12-30T10:25:00"/>
    <s v="TRS"/>
    <d v="1899-12-30T19:25:00"/>
    <s v="TRS"/>
    <s v="1 átszállás"/>
    <s v="FCO"/>
    <d v="1899-12-30T23:35:00"/>
    <s v="BUD"/>
    <n v="100579"/>
    <d v="1899-12-30T04:10:00"/>
    <d v="1899-12-30T04:10:00"/>
  </r>
  <r>
    <x v="4"/>
    <d v="1899-12-30T11:10:00"/>
    <s v="BUD"/>
    <x v="0"/>
    <m/>
    <d v="1899-12-30T13:00:00"/>
    <s v="GOA"/>
    <d v="1899-12-30T19:25:00"/>
    <s v="GOA"/>
    <s v="1 átszállás"/>
    <s v="FCO"/>
    <d v="1899-12-30T23:35:00"/>
    <s v="BUD"/>
    <n v="70177"/>
    <d v="1899-12-30T01:50:00"/>
    <d v="1899-12-30T04:10:00"/>
  </r>
  <r>
    <x v="6"/>
    <d v="1899-12-30T10:05:00"/>
    <s v="BUD"/>
    <x v="0"/>
    <m/>
    <d v="1899-12-30T11:35:00"/>
    <s v="BRI"/>
    <d v="1899-12-30T18:00:00"/>
    <s v="BRI"/>
    <s v="1 átszállás"/>
    <s v="MUC"/>
    <d v="1899-12-30T23:35:00"/>
    <s v="BUD"/>
    <n v="152138"/>
    <d v="1899-12-30T01:30:00"/>
    <d v="1899-12-30T05:35:00"/>
  </r>
  <r>
    <x v="0"/>
    <d v="1899-12-30T06:15:00"/>
    <s v="BUD"/>
    <x v="0"/>
    <m/>
    <d v="1899-12-30T08:05:00"/>
    <s v="FCO"/>
    <d v="1899-12-30T19:50:00"/>
    <s v="CIA"/>
    <s v="Közvetlen járat"/>
    <m/>
    <d v="1899-12-30T21:30:00"/>
    <s v="BUD"/>
    <n v="41396"/>
    <d v="1899-12-30T01:50:00"/>
    <d v="1899-12-30T01:40:00"/>
  </r>
  <r>
    <x v="3"/>
    <d v="1899-12-30T06:05:00"/>
    <s v="BUD"/>
    <x v="1"/>
    <s v="MUC"/>
    <d v="1899-12-30T11:00:00"/>
    <s v="CTA"/>
    <d v="1899-12-30T21:00:00"/>
    <s v="CTA"/>
    <s v="Közvetlen járat"/>
    <m/>
    <d v="1899-12-30T23:10:00"/>
    <s v="BUD"/>
    <n v="108167"/>
    <d v="1899-12-30T04:55:00"/>
    <d v="1899-12-30T02:10:00"/>
  </r>
  <r>
    <x v="8"/>
    <d v="1899-12-30T08:25:00"/>
    <s v="BUD"/>
    <x v="1"/>
    <s v="MUC"/>
    <d v="1899-12-30T12:45:00"/>
    <s v="BLQ"/>
    <d v="1899-12-30T19:35:00"/>
    <s v="BLQ"/>
    <s v="1 átszállás"/>
    <s v="VIE"/>
    <d v="1899-12-30T22:25:00"/>
    <s v="BUD"/>
    <n v="85000"/>
    <d v="1899-12-30T04:20:00"/>
    <d v="1899-12-30T02:50:00"/>
  </r>
  <r>
    <x v="10"/>
    <d v="1899-12-30T06:10:00"/>
    <s v="BUD"/>
    <x v="1"/>
    <s v="MXP"/>
    <d v="1899-12-30T12:00:00"/>
    <s v="NAP"/>
    <d v="1899-12-30T18:15:00"/>
    <s v="NAP"/>
    <s v="Közvetlen járat"/>
    <m/>
    <d v="1899-12-30T19:55:00"/>
    <s v="BUD"/>
    <n v="69775"/>
    <d v="1899-12-30T05:50:00"/>
    <d v="1899-12-30T01:40:00"/>
  </r>
  <r>
    <x v="12"/>
    <d v="1899-12-30T09:55:00"/>
    <s v="BUD"/>
    <x v="0"/>
    <m/>
    <d v="1899-12-30T11:40:00"/>
    <s v="PSA"/>
    <d v="1899-12-30T09:30:00"/>
    <s v="PSA"/>
    <s v="1 átszállás"/>
    <s v="BVA"/>
    <d v="1899-12-30T14:50:00"/>
    <s v="BUD"/>
    <n v="105339"/>
    <d v="1899-12-30T01:45:00"/>
    <d v="1899-12-30T05:20:00"/>
  </r>
  <r>
    <x v="1"/>
    <d v="1899-12-30T09:30:00"/>
    <s v="BUD"/>
    <x v="1"/>
    <s v="ZRH"/>
    <d v="1899-12-30T14:00:00"/>
    <s v="PMO"/>
    <d v="1899-12-30T14:50:00"/>
    <s v="PMO"/>
    <s v="1 átszállás"/>
    <s v="ZRH"/>
    <d v="1899-12-30T19:15:00"/>
    <s v="BUD"/>
    <n v="251177"/>
    <d v="1899-12-30T04:30:00"/>
    <d v="1899-12-30T04:25:00"/>
  </r>
  <r>
    <x v="9"/>
    <d v="1899-12-30T05:55:00"/>
    <s v="BUD"/>
    <x v="1"/>
    <s v="NAP"/>
    <d v="1899-12-30T17:40:00"/>
    <s v="AHO"/>
    <d v="1899-12-30T08:15:00"/>
    <s v="AHO"/>
    <s v="Közvetlen járat"/>
    <m/>
    <d v="1899-12-30T10:15:00"/>
    <s v="BUD"/>
    <n v="110183"/>
    <d v="1899-12-30T11:45:00"/>
    <d v="1899-12-30T02:00:00"/>
  </r>
  <r>
    <x v="12"/>
    <d v="1899-12-30T09:55:00"/>
    <s v="BUD"/>
    <x v="0"/>
    <m/>
    <d v="1899-12-30T11:40:00"/>
    <s v="PSA"/>
    <d v="1899-12-30T14:25:00"/>
    <s v="PSA"/>
    <s v="1 átszállás"/>
    <s v="EIN"/>
    <d v="1899-12-30T19:15:00"/>
    <s v="BUD"/>
    <n v="153276"/>
    <d v="1899-12-30T01:45:00"/>
    <d v="1899-12-30T04:5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6E145-809E-42BD-A28A-E88F8C046B29}" name="Kimutatás2" cacheId="0" applyNumberFormats="0" applyBorderFormats="0" applyFontFormats="0" applyPatternFormats="0" applyAlignmentFormats="0" applyWidthHeightFormats="1" dataCaption="Értékek" updatedVersion="6" minRefreshableVersion="3" useAutoFormatting="1" itemPrintTitles="1" createdVersion="6" indent="0" outline="1" outlineData="1" multipleFieldFilters="0">
  <location ref="A3:E18" firstHeaderRow="1" firstDataRow="2" firstDataCol="1"/>
  <pivotFields count="16">
    <pivotField axis="axisRow" showAll="0">
      <items count="14">
        <item x="9"/>
        <item x="6"/>
        <item x="8"/>
        <item x="2"/>
        <item x="3"/>
        <item x="4"/>
        <item x="5"/>
        <item x="10"/>
        <item x="1"/>
        <item x="12"/>
        <item x="7"/>
        <item x="0"/>
        <item x="11"/>
        <item t="default"/>
      </items>
    </pivotField>
    <pivotField numFmtId="164" showAll="0"/>
    <pivotField showAll="0"/>
    <pivotField axis="axisCol" showAll="0" avgSubtotal="1">
      <items count="4">
        <item x="1"/>
        <item x="2"/>
        <item x="0"/>
        <item t="avg"/>
      </items>
    </pivotField>
    <pivotField showAll="0"/>
    <pivotField numFmtId="164" showAll="0"/>
    <pivotField showAll="0"/>
    <pivotField numFmtId="164" showAll="0"/>
    <pivotField showAll="0"/>
    <pivotField showAll="0"/>
    <pivotField showAll="0"/>
    <pivotField numFmtId="164" showAll="0"/>
    <pivotField showAll="0"/>
    <pivotField dataField="1" showAll="0"/>
    <pivotField numFmtId="164" showAll="0"/>
    <pivotField numFmtId="16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Átlag / Ár" fld="13" subtotal="average" baseField="0" baseItem="12" numFmtId="165"/>
  </dataFields>
  <formats count="1">
    <format dxfId="11">
      <pivotArea type="all" dataOnly="0" outline="0" fieldPosition="0"/>
    </format>
  </formats>
  <pivotTableStyleInfo name="Kimutatásstílus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8656-739A-4A7B-94AD-031516BC2CE3}">
  <dimension ref="A1:AB139"/>
  <sheetViews>
    <sheetView zoomScale="85" zoomScaleNormal="85" workbookViewId="0">
      <selection activeCell="F8" sqref="F8"/>
    </sheetView>
  </sheetViews>
  <sheetFormatPr defaultRowHeight="15" x14ac:dyDescent="0.25"/>
  <cols>
    <col min="1" max="1" width="16.5703125" bestFit="1" customWidth="1"/>
    <col min="2" max="2" width="15.140625" bestFit="1" customWidth="1"/>
    <col min="3" max="3" width="18" bestFit="1" customWidth="1"/>
    <col min="4" max="4" width="14.7109375" bestFit="1" customWidth="1"/>
    <col min="5" max="5" width="12.42578125" bestFit="1" customWidth="1"/>
    <col min="6" max="6" width="15.42578125" bestFit="1" customWidth="1"/>
    <col min="7" max="7" width="10.28515625" bestFit="1" customWidth="1"/>
    <col min="8" max="8" width="17" bestFit="1" customWidth="1"/>
    <col min="9" max="9" width="19.85546875" bestFit="1" customWidth="1"/>
    <col min="10" max="10" width="14.7109375" bestFit="1" customWidth="1"/>
    <col min="11" max="11" width="14.42578125" bestFit="1" customWidth="1"/>
    <col min="12" max="12" width="17.42578125" bestFit="1" customWidth="1"/>
    <col min="13" max="13" width="16.42578125" customWidth="1"/>
    <col min="14" max="14" width="9.85546875" bestFit="1" customWidth="1"/>
    <col min="15" max="15" width="14.5703125" bestFit="1" customWidth="1"/>
    <col min="16" max="16" width="16.42578125" bestFit="1" customWidth="1"/>
    <col min="18" max="18" width="8.85546875" bestFit="1" customWidth="1"/>
    <col min="19" max="19" width="6.140625" bestFit="1" customWidth="1"/>
    <col min="24" max="24" width="22.28515625" bestFit="1" customWidth="1"/>
    <col min="25" max="26" width="16.5703125" bestFit="1" customWidth="1"/>
    <col min="27" max="27" width="16.7109375" bestFit="1" customWidth="1"/>
    <col min="28" max="28" width="11.5703125" bestFit="1" customWidth="1"/>
  </cols>
  <sheetData>
    <row r="1" spans="1:28" s="11" customFormat="1" ht="39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  <c r="Z1" s="11" t="s">
        <v>155</v>
      </c>
    </row>
    <row r="2" spans="1:28" x14ac:dyDescent="0.25">
      <c r="A2" t="s">
        <v>16</v>
      </c>
      <c r="B2" s="1">
        <v>0.80208333300000001</v>
      </c>
      <c r="C2" t="s">
        <v>17</v>
      </c>
      <c r="D2" t="s">
        <v>18</v>
      </c>
      <c r="F2" s="1">
        <v>0.87847222199999997</v>
      </c>
      <c r="G2" t="s">
        <v>19</v>
      </c>
      <c r="H2" s="1">
        <v>0.90625</v>
      </c>
      <c r="I2" t="s">
        <v>19</v>
      </c>
      <c r="J2" t="s">
        <v>18</v>
      </c>
      <c r="L2" s="1">
        <v>0.98263888899999996</v>
      </c>
      <c r="M2" t="s">
        <v>17</v>
      </c>
      <c r="N2" s="6">
        <v>32449</v>
      </c>
      <c r="O2" s="1">
        <f>IF(F2-B2&gt;=0,F2-B2,1-ABS(F2-B2))</f>
        <v>7.638888899999996E-2</v>
      </c>
      <c r="P2" s="1">
        <f>IF(L2-H2&gt;=0,L2-H2,1-ABS(L2-H2))</f>
        <v>7.638888899999996E-2</v>
      </c>
      <c r="X2" t="s">
        <v>0</v>
      </c>
    </row>
    <row r="3" spans="1:28" x14ac:dyDescent="0.25">
      <c r="A3" t="s">
        <v>159</v>
      </c>
      <c r="B3" s="1">
        <v>0.31944444399999999</v>
      </c>
      <c r="C3" t="s">
        <v>17</v>
      </c>
      <c r="D3" t="s">
        <v>21</v>
      </c>
      <c r="E3" t="s">
        <v>22</v>
      </c>
      <c r="F3" s="7">
        <v>0.52430555599999995</v>
      </c>
      <c r="G3" t="s">
        <v>23</v>
      </c>
      <c r="H3" s="1">
        <v>0.79166666699999999</v>
      </c>
      <c r="I3" t="s">
        <v>23</v>
      </c>
      <c r="J3" t="s">
        <v>21</v>
      </c>
      <c r="K3" t="s">
        <v>19</v>
      </c>
      <c r="L3" s="1">
        <v>0.98263888899999996</v>
      </c>
      <c r="M3" t="s">
        <v>17</v>
      </c>
      <c r="N3" s="6">
        <v>67253</v>
      </c>
      <c r="O3" s="1">
        <f t="shared" ref="O3:O66" si="0">IF(F3-B3&gt;=0,F3-B3,1-ABS(F3-B3))</f>
        <v>0.20486111199999996</v>
      </c>
      <c r="P3" s="1">
        <f t="shared" ref="P3:P66" si="1">IF(L3-H3&gt;=0,L3-H3,1-ABS(L3-H3))</f>
        <v>0.19097222199999997</v>
      </c>
      <c r="R3" s="6">
        <f>DAVERAGE(fogkő,"ár",X2:X3)</f>
        <v>53067.545454545456</v>
      </c>
      <c r="X3" t="s">
        <v>149</v>
      </c>
    </row>
    <row r="4" spans="1:28" x14ac:dyDescent="0.25">
      <c r="A4" t="s">
        <v>24</v>
      </c>
      <c r="B4" s="1">
        <v>0.31944444399999999</v>
      </c>
      <c r="C4" t="s">
        <v>17</v>
      </c>
      <c r="D4" t="s">
        <v>25</v>
      </c>
      <c r="E4" t="s">
        <v>26</v>
      </c>
      <c r="F4" s="1">
        <v>0.61111111100000004</v>
      </c>
      <c r="G4" t="s">
        <v>27</v>
      </c>
      <c r="H4" s="1">
        <v>0.87152777800000003</v>
      </c>
      <c r="I4" t="s">
        <v>27</v>
      </c>
      <c r="J4" t="s">
        <v>21</v>
      </c>
      <c r="K4" t="s">
        <v>22</v>
      </c>
      <c r="L4" s="1">
        <v>0.30902777799999998</v>
      </c>
      <c r="M4" t="s">
        <v>17</v>
      </c>
      <c r="N4" s="6">
        <v>68030</v>
      </c>
      <c r="O4" s="1">
        <f t="shared" si="0"/>
        <v>0.29166666700000005</v>
      </c>
      <c r="P4" s="1">
        <f t="shared" si="1"/>
        <v>0.4375</v>
      </c>
    </row>
    <row r="5" spans="1:28" x14ac:dyDescent="0.25">
      <c r="A5" t="s">
        <v>28</v>
      </c>
      <c r="B5" s="1">
        <v>0.78472222199999997</v>
      </c>
      <c r="C5" t="s">
        <v>17</v>
      </c>
      <c r="D5" t="s">
        <v>18</v>
      </c>
      <c r="F5" s="1">
        <v>0.875</v>
      </c>
      <c r="G5" t="s">
        <v>29</v>
      </c>
      <c r="H5" s="1">
        <v>0.875</v>
      </c>
      <c r="I5" t="s">
        <v>29</v>
      </c>
      <c r="J5" t="s">
        <v>18</v>
      </c>
      <c r="L5" s="1">
        <v>0.96527777800000003</v>
      </c>
      <c r="M5" t="s">
        <v>17</v>
      </c>
      <c r="N5" s="6">
        <v>71351</v>
      </c>
      <c r="O5" s="1">
        <f t="shared" si="0"/>
        <v>9.0277778000000031E-2</v>
      </c>
      <c r="P5" s="1">
        <f t="shared" si="1"/>
        <v>9.0277778000000031E-2</v>
      </c>
      <c r="R5" t="str">
        <f>DGET(fogkő,A1,X5:X6)</f>
        <v>Calgiari</v>
      </c>
      <c r="X5" t="s">
        <v>150</v>
      </c>
    </row>
    <row r="6" spans="1:28" x14ac:dyDescent="0.25">
      <c r="A6" t="s">
        <v>20</v>
      </c>
      <c r="B6" s="1">
        <v>0.39583333300000001</v>
      </c>
      <c r="C6" t="s">
        <v>17</v>
      </c>
      <c r="D6" t="s">
        <v>21</v>
      </c>
      <c r="E6" t="s">
        <v>30</v>
      </c>
      <c r="F6" s="1">
        <v>0.58333333300000001</v>
      </c>
      <c r="G6" t="s">
        <v>23</v>
      </c>
      <c r="H6" s="1">
        <v>0.74652777800000003</v>
      </c>
      <c r="I6" t="s">
        <v>23</v>
      </c>
      <c r="J6" t="s">
        <v>21</v>
      </c>
      <c r="K6" t="s">
        <v>31</v>
      </c>
      <c r="L6" s="1">
        <v>0.98263888899999996</v>
      </c>
      <c r="M6" t="s">
        <v>17</v>
      </c>
      <c r="N6" s="6">
        <v>160618</v>
      </c>
      <c r="O6" s="1">
        <f t="shared" si="0"/>
        <v>0.1875</v>
      </c>
      <c r="P6" s="1">
        <f t="shared" si="1"/>
        <v>0.23611111099999993</v>
      </c>
      <c r="X6" s="6">
        <f>MAX(N2:N139)</f>
        <v>803016</v>
      </c>
    </row>
    <row r="7" spans="1:28" x14ac:dyDescent="0.25">
      <c r="A7" t="s">
        <v>16</v>
      </c>
      <c r="B7" s="1">
        <v>0.55555555599999995</v>
      </c>
      <c r="C7" t="s">
        <v>17</v>
      </c>
      <c r="D7" t="s">
        <v>18</v>
      </c>
      <c r="F7" s="1">
        <v>0.625</v>
      </c>
      <c r="G7" t="s">
        <v>32</v>
      </c>
      <c r="H7" s="1">
        <v>0.34375</v>
      </c>
      <c r="I7" t="s">
        <v>32</v>
      </c>
      <c r="J7" t="s">
        <v>18</v>
      </c>
      <c r="L7" s="1">
        <v>0.41319444399999999</v>
      </c>
      <c r="M7" t="s">
        <v>17</v>
      </c>
      <c r="N7" s="6">
        <v>54354</v>
      </c>
      <c r="O7" s="1">
        <f t="shared" si="0"/>
        <v>6.944444400000005E-2</v>
      </c>
      <c r="P7" s="1">
        <f t="shared" si="1"/>
        <v>6.9444443999999994E-2</v>
      </c>
      <c r="R7">
        <f>DCOUNT(macska,P1,X8:AB10)</f>
        <v>18</v>
      </c>
    </row>
    <row r="8" spans="1:28" x14ac:dyDescent="0.25">
      <c r="A8" t="s">
        <v>28</v>
      </c>
      <c r="B8" s="1">
        <v>0.31944444399999999</v>
      </c>
      <c r="C8" t="s">
        <v>17</v>
      </c>
      <c r="D8" t="s">
        <v>21</v>
      </c>
      <c r="E8" t="s">
        <v>22</v>
      </c>
      <c r="F8" s="1">
        <v>0.50694444400000005</v>
      </c>
      <c r="G8" t="s">
        <v>29</v>
      </c>
      <c r="H8" s="1">
        <v>0.60763888899999996</v>
      </c>
      <c r="I8" t="s">
        <v>29</v>
      </c>
      <c r="J8" t="s">
        <v>21</v>
      </c>
      <c r="K8" t="s">
        <v>33</v>
      </c>
      <c r="L8" s="1">
        <v>0.79861111100000004</v>
      </c>
      <c r="M8" t="s">
        <v>17</v>
      </c>
      <c r="N8" s="6">
        <v>56597</v>
      </c>
      <c r="O8" s="1">
        <f t="shared" si="0"/>
        <v>0.18750000000000006</v>
      </c>
      <c r="P8" s="1">
        <f t="shared" si="1"/>
        <v>0.19097222200000008</v>
      </c>
      <c r="X8" t="s">
        <v>4</v>
      </c>
      <c r="Y8" t="s">
        <v>1</v>
      </c>
      <c r="Z8" t="s">
        <v>1</v>
      </c>
      <c r="AA8" t="s">
        <v>13</v>
      </c>
      <c r="AB8" t="s">
        <v>156</v>
      </c>
    </row>
    <row r="9" spans="1:28" x14ac:dyDescent="0.25">
      <c r="A9" t="s">
        <v>20</v>
      </c>
      <c r="B9" s="1">
        <v>0.31944444399999999</v>
      </c>
      <c r="C9" t="s">
        <v>17</v>
      </c>
      <c r="D9" t="s">
        <v>21</v>
      </c>
      <c r="E9" t="s">
        <v>22</v>
      </c>
      <c r="F9" s="1">
        <v>0.89236111100000004</v>
      </c>
      <c r="G9" t="s">
        <v>23</v>
      </c>
      <c r="H9" s="1">
        <v>0.69097222199999997</v>
      </c>
      <c r="I9" t="s">
        <v>23</v>
      </c>
      <c r="J9" t="s">
        <v>21</v>
      </c>
      <c r="K9" t="s">
        <v>34</v>
      </c>
      <c r="L9" s="1">
        <v>0.56597222199999997</v>
      </c>
      <c r="M9" t="s">
        <v>17</v>
      </c>
      <c r="N9" s="6">
        <v>57044</v>
      </c>
      <c r="O9" s="1">
        <f t="shared" si="0"/>
        <v>0.5729166670000001</v>
      </c>
      <c r="P9" s="1">
        <f t="shared" si="1"/>
        <v>0.875</v>
      </c>
      <c r="X9" t="s">
        <v>22</v>
      </c>
      <c r="Y9" s="1" t="s">
        <v>152</v>
      </c>
      <c r="Z9" s="1" t="s">
        <v>151</v>
      </c>
      <c r="AA9" s="6" t="s">
        <v>153</v>
      </c>
      <c r="AB9" s="1"/>
    </row>
    <row r="10" spans="1:28" x14ac:dyDescent="0.25">
      <c r="A10" t="s">
        <v>20</v>
      </c>
      <c r="B10" s="1">
        <v>0.31944444399999999</v>
      </c>
      <c r="C10" t="s">
        <v>17</v>
      </c>
      <c r="D10" t="s">
        <v>21</v>
      </c>
      <c r="E10" t="s">
        <v>22</v>
      </c>
      <c r="F10" s="1">
        <v>0.52430555599999995</v>
      </c>
      <c r="G10" t="s">
        <v>23</v>
      </c>
      <c r="H10" s="1">
        <v>0.25694444399999999</v>
      </c>
      <c r="I10" t="s">
        <v>23</v>
      </c>
      <c r="J10" t="s">
        <v>21</v>
      </c>
      <c r="K10" t="s">
        <v>19</v>
      </c>
      <c r="L10" s="1">
        <v>0.44097222200000002</v>
      </c>
      <c r="M10" t="s">
        <v>17</v>
      </c>
      <c r="N10" s="6">
        <v>67253</v>
      </c>
      <c r="O10" s="1">
        <f t="shared" si="0"/>
        <v>0.20486111199999996</v>
      </c>
      <c r="P10" s="1">
        <f t="shared" si="1"/>
        <v>0.18402777800000003</v>
      </c>
      <c r="X10" t="s">
        <v>23</v>
      </c>
      <c r="Y10" s="1" t="s">
        <v>152</v>
      </c>
      <c r="Z10" s="1" t="s">
        <v>151</v>
      </c>
      <c r="AA10" s="6" t="s">
        <v>153</v>
      </c>
      <c r="AB10" s="1"/>
    </row>
    <row r="11" spans="1:28" x14ac:dyDescent="0.25">
      <c r="A11" t="s">
        <v>35</v>
      </c>
      <c r="B11" s="1">
        <v>0.26041666699999999</v>
      </c>
      <c r="C11" t="s">
        <v>17</v>
      </c>
      <c r="D11" t="s">
        <v>21</v>
      </c>
      <c r="E11" t="s">
        <v>19</v>
      </c>
      <c r="F11" s="7">
        <v>0.52083333333333337</v>
      </c>
      <c r="G11" t="s">
        <v>36</v>
      </c>
      <c r="H11" s="1">
        <v>0.80902777800000003</v>
      </c>
      <c r="I11" t="s">
        <v>36</v>
      </c>
      <c r="J11" t="s">
        <v>21</v>
      </c>
      <c r="K11" t="s">
        <v>19</v>
      </c>
      <c r="L11" s="1">
        <v>0.98263888899999996</v>
      </c>
      <c r="M11" t="s">
        <v>17</v>
      </c>
      <c r="N11" s="6">
        <v>88234</v>
      </c>
      <c r="O11" s="1">
        <f>IF(F11-B11&gt;=0,F11-B11,1-ABS(F11-B11))</f>
        <v>0.26041666633333338</v>
      </c>
      <c r="P11" s="1">
        <f t="shared" si="1"/>
        <v>0.17361111099999993</v>
      </c>
      <c r="Y11" s="1"/>
      <c r="Z11" s="1"/>
      <c r="AA11" s="6"/>
    </row>
    <row r="12" spans="1:28" x14ac:dyDescent="0.25">
      <c r="A12" t="s">
        <v>37</v>
      </c>
      <c r="B12" s="1">
        <v>0.60763888899999996</v>
      </c>
      <c r="C12" t="s">
        <v>17</v>
      </c>
      <c r="D12" t="s">
        <v>18</v>
      </c>
      <c r="F12" s="1">
        <v>0.68055555599999995</v>
      </c>
      <c r="G12" t="s">
        <v>38</v>
      </c>
      <c r="H12" s="1">
        <v>0.53125</v>
      </c>
      <c r="I12" t="s">
        <v>39</v>
      </c>
      <c r="J12" t="s">
        <v>18</v>
      </c>
      <c r="L12" s="1">
        <v>0.59722222199999997</v>
      </c>
      <c r="M12" t="s">
        <v>17</v>
      </c>
      <c r="N12" s="6">
        <v>55616</v>
      </c>
      <c r="O12" s="1">
        <f t="shared" si="0"/>
        <v>7.2916666999999991E-2</v>
      </c>
      <c r="P12" s="1">
        <f t="shared" si="1"/>
        <v>6.5972221999999969E-2</v>
      </c>
    </row>
    <row r="13" spans="1:28" x14ac:dyDescent="0.25">
      <c r="A13" t="s">
        <v>40</v>
      </c>
      <c r="B13" s="1">
        <v>0.59027777800000003</v>
      </c>
      <c r="C13" t="s">
        <v>17</v>
      </c>
      <c r="D13" t="s">
        <v>21</v>
      </c>
      <c r="E13" t="s">
        <v>41</v>
      </c>
      <c r="F13" s="1">
        <v>0.89930555599999995</v>
      </c>
      <c r="G13" t="s">
        <v>42</v>
      </c>
      <c r="H13" s="1">
        <v>0.54166666699999999</v>
      </c>
      <c r="I13" t="s">
        <v>42</v>
      </c>
      <c r="J13" t="s">
        <v>18</v>
      </c>
      <c r="L13" s="1">
        <v>0.60416666699999999</v>
      </c>
      <c r="M13" t="s">
        <v>17</v>
      </c>
      <c r="N13" s="6">
        <v>112795</v>
      </c>
      <c r="O13" s="1">
        <f t="shared" si="0"/>
        <v>0.30902777799999992</v>
      </c>
      <c r="P13" s="1">
        <f t="shared" si="1"/>
        <v>6.25E-2</v>
      </c>
      <c r="R13" t="s">
        <v>149</v>
      </c>
      <c r="S13">
        <f>_xlfn.IFS(DCOUNT(macska,P1,X13:Y14)&gt;0,DMIN(macska,"ár",X13:Y14),DCOUNT(macska,P1,X13:X14)=DCOUNT(macska,P1,Z13:AA14),"Nincs közvetlen járat",DCOUNT(macska,A1,X13:Y14)=0,"Nincs ilyen város")</f>
        <v>46587</v>
      </c>
      <c r="X13" t="s">
        <v>154</v>
      </c>
      <c r="Y13" t="s">
        <v>3</v>
      </c>
      <c r="Z13" t="s">
        <v>154</v>
      </c>
      <c r="AA13" t="s">
        <v>3</v>
      </c>
    </row>
    <row r="14" spans="1:28" x14ac:dyDescent="0.25">
      <c r="A14" t="s">
        <v>43</v>
      </c>
      <c r="B14" s="1">
        <v>0.80208333300000001</v>
      </c>
      <c r="C14" t="s">
        <v>17</v>
      </c>
      <c r="D14" t="s">
        <v>25</v>
      </c>
      <c r="E14" t="s">
        <v>44</v>
      </c>
      <c r="F14" s="1">
        <v>0.51041666699999999</v>
      </c>
      <c r="G14" t="s">
        <v>45</v>
      </c>
      <c r="H14" s="1">
        <v>0.53472222199999997</v>
      </c>
      <c r="I14" t="s">
        <v>45</v>
      </c>
      <c r="J14" t="s">
        <v>25</v>
      </c>
      <c r="K14" t="s">
        <v>46</v>
      </c>
      <c r="L14" s="1">
        <v>0.44097222200000002</v>
      </c>
      <c r="M14" t="s">
        <v>17</v>
      </c>
      <c r="N14" s="6">
        <v>108094</v>
      </c>
      <c r="O14" s="1">
        <f t="shared" si="0"/>
        <v>0.70833333399999998</v>
      </c>
      <c r="P14" s="1">
        <f t="shared" si="1"/>
        <v>0.90625</v>
      </c>
      <c r="X14" t="str">
        <f>R13</f>
        <v>milánó</v>
      </c>
      <c r="Y14" s="1" t="s">
        <v>157</v>
      </c>
      <c r="Z14" t="str">
        <f>R13</f>
        <v>milánó</v>
      </c>
      <c r="AA14" s="1" t="s">
        <v>158</v>
      </c>
    </row>
    <row r="15" spans="1:28" x14ac:dyDescent="0.25">
      <c r="A15" t="s">
        <v>16</v>
      </c>
      <c r="B15" s="1">
        <v>0.55555555599999995</v>
      </c>
      <c r="C15" t="s">
        <v>17</v>
      </c>
      <c r="D15" t="s">
        <v>18</v>
      </c>
      <c r="F15" s="1">
        <v>0.625</v>
      </c>
      <c r="G15" t="s">
        <v>32</v>
      </c>
      <c r="H15" s="1">
        <v>0.90625</v>
      </c>
      <c r="I15" t="s">
        <v>19</v>
      </c>
      <c r="J15" t="s">
        <v>18</v>
      </c>
      <c r="L15" s="1">
        <v>0.98263888899999996</v>
      </c>
      <c r="M15" t="s">
        <v>17</v>
      </c>
      <c r="N15" s="6">
        <v>48199</v>
      </c>
      <c r="O15" s="1">
        <f t="shared" si="0"/>
        <v>6.944444400000005E-2</v>
      </c>
      <c r="P15" s="1">
        <f t="shared" si="1"/>
        <v>7.638888899999996E-2</v>
      </c>
    </row>
    <row r="16" spans="1:28" x14ac:dyDescent="0.25">
      <c r="A16" t="s">
        <v>20</v>
      </c>
      <c r="B16" s="1">
        <v>0.26041666699999999</v>
      </c>
      <c r="C16" t="s">
        <v>17</v>
      </c>
      <c r="D16" t="s">
        <v>21</v>
      </c>
      <c r="E16" t="s">
        <v>19</v>
      </c>
      <c r="F16" s="1">
        <v>0.43055555600000001</v>
      </c>
      <c r="G16" t="s">
        <v>23</v>
      </c>
      <c r="H16" s="1">
        <v>0.80555555599999995</v>
      </c>
      <c r="I16" t="s">
        <v>23</v>
      </c>
      <c r="J16" t="s">
        <v>21</v>
      </c>
      <c r="K16" t="s">
        <v>19</v>
      </c>
      <c r="L16" s="1">
        <v>0.98263888899999996</v>
      </c>
      <c r="M16" t="s">
        <v>17</v>
      </c>
      <c r="N16" s="6">
        <v>83874</v>
      </c>
      <c r="O16" s="1">
        <f t="shared" si="0"/>
        <v>0.17013888900000002</v>
      </c>
      <c r="P16" s="1">
        <f t="shared" si="1"/>
        <v>0.17708333300000001</v>
      </c>
    </row>
    <row r="17" spans="1:16" x14ac:dyDescent="0.25">
      <c r="A17" t="s">
        <v>47</v>
      </c>
      <c r="B17" s="1">
        <v>0.61458333300000001</v>
      </c>
      <c r="C17" t="s">
        <v>17</v>
      </c>
      <c r="D17" t="s">
        <v>21</v>
      </c>
      <c r="E17" t="s">
        <v>30</v>
      </c>
      <c r="F17" s="1">
        <v>0.76736111100000004</v>
      </c>
      <c r="G17" t="s">
        <v>48</v>
      </c>
      <c r="H17" s="1">
        <v>0.81597222199999997</v>
      </c>
      <c r="I17" t="s">
        <v>48</v>
      </c>
      <c r="J17" t="s">
        <v>21</v>
      </c>
      <c r="K17" t="s">
        <v>49</v>
      </c>
      <c r="L17" s="1">
        <v>0.93402777800000003</v>
      </c>
      <c r="M17" t="s">
        <v>17</v>
      </c>
      <c r="N17" s="6">
        <v>75800</v>
      </c>
      <c r="O17" s="1">
        <f t="shared" si="0"/>
        <v>0.15277777800000003</v>
      </c>
      <c r="P17" s="1">
        <f t="shared" si="1"/>
        <v>0.11805555600000006</v>
      </c>
    </row>
    <row r="18" spans="1:16" x14ac:dyDescent="0.25">
      <c r="A18" t="s">
        <v>20</v>
      </c>
      <c r="B18" s="1">
        <v>0.26041666699999999</v>
      </c>
      <c r="C18" t="s">
        <v>17</v>
      </c>
      <c r="D18" t="s">
        <v>21</v>
      </c>
      <c r="E18" t="s">
        <v>19</v>
      </c>
      <c r="F18" s="1">
        <v>0.43055555600000001</v>
      </c>
      <c r="G18" t="s">
        <v>23</v>
      </c>
      <c r="H18" s="1">
        <v>0.79166666699999999</v>
      </c>
      <c r="I18" t="s">
        <v>23</v>
      </c>
      <c r="J18" t="s">
        <v>21</v>
      </c>
      <c r="K18" t="s">
        <v>19</v>
      </c>
      <c r="L18" s="1">
        <v>0.98263888899999996</v>
      </c>
      <c r="M18" t="s">
        <v>17</v>
      </c>
      <c r="N18" s="6">
        <v>77851</v>
      </c>
      <c r="O18" s="1">
        <f t="shared" si="0"/>
        <v>0.17013888900000002</v>
      </c>
      <c r="P18" s="1">
        <f t="shared" si="1"/>
        <v>0.19097222199999997</v>
      </c>
    </row>
    <row r="19" spans="1:16" x14ac:dyDescent="0.25">
      <c r="A19" t="s">
        <v>16</v>
      </c>
      <c r="B19" s="1">
        <v>0.80208333300000001</v>
      </c>
      <c r="C19" t="s">
        <v>17</v>
      </c>
      <c r="D19" t="s">
        <v>18</v>
      </c>
      <c r="F19" s="1">
        <v>0.87847222199999997</v>
      </c>
      <c r="G19" t="s">
        <v>19</v>
      </c>
      <c r="H19" s="1">
        <v>0.36458333300000001</v>
      </c>
      <c r="I19" t="s">
        <v>19</v>
      </c>
      <c r="J19" t="s">
        <v>18</v>
      </c>
      <c r="L19" s="1">
        <v>0.44097222200000002</v>
      </c>
      <c r="M19" t="s">
        <v>17</v>
      </c>
      <c r="N19" s="6">
        <v>32449</v>
      </c>
      <c r="O19" s="1">
        <f t="shared" si="0"/>
        <v>7.638888899999996E-2</v>
      </c>
      <c r="P19" s="1">
        <f t="shared" si="1"/>
        <v>7.6388889000000015E-2</v>
      </c>
    </row>
    <row r="20" spans="1:16" x14ac:dyDescent="0.25">
      <c r="A20" t="s">
        <v>50</v>
      </c>
      <c r="B20" s="1">
        <v>0.31944444399999999</v>
      </c>
      <c r="C20" t="s">
        <v>17</v>
      </c>
      <c r="D20" t="s">
        <v>25</v>
      </c>
      <c r="E20" t="s">
        <v>51</v>
      </c>
      <c r="F20" s="1">
        <v>0.65277777800000003</v>
      </c>
      <c r="G20" t="s">
        <v>52</v>
      </c>
      <c r="H20" s="1">
        <v>0.59027777800000003</v>
      </c>
      <c r="I20" t="s">
        <v>52</v>
      </c>
      <c r="J20" t="s">
        <v>25</v>
      </c>
      <c r="K20" t="s">
        <v>53</v>
      </c>
      <c r="L20" s="1">
        <v>0.98263888899999996</v>
      </c>
      <c r="M20" t="s">
        <v>17</v>
      </c>
      <c r="N20" s="6">
        <v>96125</v>
      </c>
      <c r="O20" s="1">
        <f t="shared" si="0"/>
        <v>0.33333333400000004</v>
      </c>
      <c r="P20" s="1">
        <f t="shared" si="1"/>
        <v>0.39236111099999993</v>
      </c>
    </row>
    <row r="21" spans="1:16" x14ac:dyDescent="0.25">
      <c r="A21" t="s">
        <v>54</v>
      </c>
      <c r="B21" s="1">
        <v>0.31944444399999999</v>
      </c>
      <c r="C21" t="s">
        <v>17</v>
      </c>
      <c r="D21" t="s">
        <v>21</v>
      </c>
      <c r="E21" t="s">
        <v>22</v>
      </c>
      <c r="F21" s="1">
        <v>0.46875</v>
      </c>
      <c r="G21" t="s">
        <v>34</v>
      </c>
      <c r="H21" s="1">
        <v>0.76041666699999999</v>
      </c>
      <c r="I21" t="s">
        <v>34</v>
      </c>
      <c r="J21" t="s">
        <v>18</v>
      </c>
      <c r="L21" s="1">
        <v>0.82986111100000004</v>
      </c>
      <c r="M21" t="s">
        <v>17</v>
      </c>
      <c r="N21" s="6">
        <v>62470</v>
      </c>
      <c r="O21" s="1">
        <f t="shared" si="0"/>
        <v>0.14930555600000001</v>
      </c>
      <c r="P21" s="1">
        <f t="shared" si="1"/>
        <v>6.944444400000005E-2</v>
      </c>
    </row>
    <row r="22" spans="1:16" x14ac:dyDescent="0.25">
      <c r="A22" t="s">
        <v>40</v>
      </c>
      <c r="B22" s="1">
        <v>0.48611111099999998</v>
      </c>
      <c r="C22" t="s">
        <v>17</v>
      </c>
      <c r="D22" t="s">
        <v>18</v>
      </c>
      <c r="F22" s="1">
        <v>0.55208333300000001</v>
      </c>
      <c r="G22" t="s">
        <v>42</v>
      </c>
      <c r="H22" s="1">
        <v>0.54166666699999999</v>
      </c>
      <c r="I22" t="s">
        <v>42</v>
      </c>
      <c r="J22" t="s">
        <v>18</v>
      </c>
      <c r="L22" s="1">
        <v>0.60416666699999999</v>
      </c>
      <c r="M22" t="s">
        <v>17</v>
      </c>
      <c r="N22" s="6">
        <v>66261</v>
      </c>
      <c r="O22" s="1">
        <f t="shared" si="0"/>
        <v>6.5972222000000025E-2</v>
      </c>
      <c r="P22" s="1">
        <f t="shared" si="1"/>
        <v>6.25E-2</v>
      </c>
    </row>
    <row r="23" spans="1:16" x14ac:dyDescent="0.25">
      <c r="A23" t="s">
        <v>37</v>
      </c>
      <c r="B23" s="1">
        <v>0.25694444399999999</v>
      </c>
      <c r="C23" t="s">
        <v>17</v>
      </c>
      <c r="D23" t="s">
        <v>18</v>
      </c>
      <c r="F23" s="1">
        <v>0.32986111099999998</v>
      </c>
      <c r="G23" t="s">
        <v>38</v>
      </c>
      <c r="H23" s="1">
        <v>0.90625</v>
      </c>
      <c r="I23" t="s">
        <v>38</v>
      </c>
      <c r="J23" t="s">
        <v>18</v>
      </c>
      <c r="L23" s="1">
        <v>0.97569444400000005</v>
      </c>
      <c r="M23" t="s">
        <v>17</v>
      </c>
      <c r="N23" s="6">
        <v>50148</v>
      </c>
      <c r="O23" s="1">
        <f t="shared" si="0"/>
        <v>7.2916666999999991E-2</v>
      </c>
      <c r="P23" s="1">
        <f t="shared" si="1"/>
        <v>6.944444400000005E-2</v>
      </c>
    </row>
    <row r="24" spans="1:16" x14ac:dyDescent="0.25">
      <c r="A24" t="s">
        <v>35</v>
      </c>
      <c r="B24" s="1">
        <v>0.25347222200000002</v>
      </c>
      <c r="C24" t="s">
        <v>17</v>
      </c>
      <c r="D24" t="s">
        <v>21</v>
      </c>
      <c r="E24" t="s">
        <v>31</v>
      </c>
      <c r="F24" s="1">
        <v>0.52430555599999995</v>
      </c>
      <c r="G24" t="s">
        <v>36</v>
      </c>
      <c r="H24" s="1">
        <v>0.25694444399999999</v>
      </c>
      <c r="I24" t="s">
        <v>36</v>
      </c>
      <c r="J24" t="s">
        <v>21</v>
      </c>
      <c r="K24" t="s">
        <v>31</v>
      </c>
      <c r="L24" s="1">
        <v>0.39930555600000001</v>
      </c>
      <c r="M24" t="s">
        <v>17</v>
      </c>
      <c r="N24" s="6">
        <v>88600</v>
      </c>
      <c r="O24" s="1">
        <f t="shared" si="0"/>
        <v>0.27083333399999993</v>
      </c>
      <c r="P24" s="1">
        <f t="shared" si="1"/>
        <v>0.14236111200000001</v>
      </c>
    </row>
    <row r="25" spans="1:16" x14ac:dyDescent="0.25">
      <c r="A25" t="s">
        <v>47</v>
      </c>
      <c r="B25" s="1">
        <v>0.62152777800000003</v>
      </c>
      <c r="C25" t="s">
        <v>17</v>
      </c>
      <c r="D25" t="s">
        <v>21</v>
      </c>
      <c r="E25" t="s">
        <v>30</v>
      </c>
      <c r="F25" s="1">
        <v>0.76736111100000004</v>
      </c>
      <c r="G25" t="s">
        <v>48</v>
      </c>
      <c r="H25" s="1">
        <v>0.81597222199999997</v>
      </c>
      <c r="I25" t="s">
        <v>48</v>
      </c>
      <c r="J25" t="s">
        <v>21</v>
      </c>
      <c r="K25" t="s">
        <v>49</v>
      </c>
      <c r="L25" s="1">
        <v>0.93402777800000003</v>
      </c>
      <c r="M25" t="s">
        <v>17</v>
      </c>
      <c r="N25" s="6">
        <v>77025</v>
      </c>
      <c r="O25" s="1">
        <f t="shared" si="0"/>
        <v>0.14583333300000001</v>
      </c>
      <c r="P25" s="1">
        <f t="shared" si="1"/>
        <v>0.11805555600000006</v>
      </c>
    </row>
    <row r="26" spans="1:16" x14ac:dyDescent="0.25">
      <c r="A26" t="s">
        <v>47</v>
      </c>
      <c r="B26" s="1">
        <v>0.25347222200000002</v>
      </c>
      <c r="C26" t="s">
        <v>17</v>
      </c>
      <c r="D26" t="s">
        <v>21</v>
      </c>
      <c r="E26" t="s">
        <v>31</v>
      </c>
      <c r="F26" s="1">
        <v>0.38194444399999999</v>
      </c>
      <c r="G26" t="s">
        <v>48</v>
      </c>
      <c r="H26" s="1">
        <v>0.72222222199999997</v>
      </c>
      <c r="I26" t="s">
        <v>48</v>
      </c>
      <c r="J26" t="s">
        <v>21</v>
      </c>
      <c r="K26" t="s">
        <v>31</v>
      </c>
      <c r="L26" s="1">
        <v>0.98263888899999996</v>
      </c>
      <c r="M26" t="s">
        <v>17</v>
      </c>
      <c r="N26" s="6">
        <v>90000</v>
      </c>
      <c r="O26" s="1">
        <f t="shared" si="0"/>
        <v>0.12847222199999997</v>
      </c>
      <c r="P26" s="1">
        <f t="shared" si="1"/>
        <v>0.26041666699999999</v>
      </c>
    </row>
    <row r="27" spans="1:16" x14ac:dyDescent="0.25">
      <c r="A27" t="s">
        <v>47</v>
      </c>
      <c r="B27" s="1">
        <v>0.29166666699999999</v>
      </c>
      <c r="C27" t="s">
        <v>17</v>
      </c>
      <c r="D27" t="s">
        <v>21</v>
      </c>
      <c r="E27" t="s">
        <v>49</v>
      </c>
      <c r="F27" s="1">
        <v>0.40972222200000002</v>
      </c>
      <c r="G27" t="s">
        <v>48</v>
      </c>
      <c r="H27" s="1">
        <v>0.81597222199999997</v>
      </c>
      <c r="I27" t="s">
        <v>48</v>
      </c>
      <c r="J27" t="s">
        <v>21</v>
      </c>
      <c r="K27" t="s">
        <v>49</v>
      </c>
      <c r="L27" s="1">
        <v>0.93402777800000003</v>
      </c>
      <c r="M27" t="s">
        <v>17</v>
      </c>
      <c r="N27" s="6">
        <v>76000</v>
      </c>
      <c r="O27" s="1">
        <f t="shared" si="0"/>
        <v>0.11805555500000003</v>
      </c>
      <c r="P27" s="1">
        <f t="shared" si="1"/>
        <v>0.11805555600000006</v>
      </c>
    </row>
    <row r="28" spans="1:16" x14ac:dyDescent="0.25">
      <c r="A28" t="s">
        <v>35</v>
      </c>
      <c r="B28" s="1">
        <v>0.46527777799999998</v>
      </c>
      <c r="C28" t="s">
        <v>17</v>
      </c>
      <c r="D28" t="s">
        <v>18</v>
      </c>
      <c r="F28" s="1">
        <v>0.54166666699999999</v>
      </c>
      <c r="G28" t="s">
        <v>36</v>
      </c>
      <c r="H28" s="1">
        <v>0.80902777800000003</v>
      </c>
      <c r="I28" t="s">
        <v>36</v>
      </c>
      <c r="J28" t="s">
        <v>21</v>
      </c>
      <c r="K28" t="s">
        <v>19</v>
      </c>
      <c r="L28" s="1">
        <v>0.44097222200000002</v>
      </c>
      <c r="M28" t="s">
        <v>17</v>
      </c>
      <c r="N28" s="6">
        <v>68946</v>
      </c>
      <c r="O28" s="1">
        <f t="shared" si="0"/>
        <v>7.6388889000000015E-2</v>
      </c>
      <c r="P28" s="1">
        <f t="shared" si="1"/>
        <v>0.63194444399999994</v>
      </c>
    </row>
    <row r="29" spans="1:16" x14ac:dyDescent="0.25">
      <c r="A29" t="s">
        <v>50</v>
      </c>
      <c r="B29" s="1">
        <v>0.26041666699999999</v>
      </c>
      <c r="C29" t="s">
        <v>17</v>
      </c>
      <c r="D29" t="s">
        <v>25</v>
      </c>
      <c r="E29" t="s">
        <v>55</v>
      </c>
      <c r="F29" s="1">
        <v>0.65277777800000003</v>
      </c>
      <c r="G29" t="s">
        <v>52</v>
      </c>
      <c r="H29" s="1">
        <v>0.54513888899999996</v>
      </c>
      <c r="I29" t="s">
        <v>52</v>
      </c>
      <c r="J29" t="s">
        <v>56</v>
      </c>
      <c r="K29" t="s">
        <v>57</v>
      </c>
      <c r="L29" s="1">
        <v>0.9375</v>
      </c>
      <c r="M29" t="s">
        <v>17</v>
      </c>
      <c r="N29" s="6">
        <v>100948</v>
      </c>
      <c r="O29" s="1">
        <f t="shared" si="0"/>
        <v>0.39236111100000004</v>
      </c>
      <c r="P29" s="1">
        <f t="shared" si="1"/>
        <v>0.39236111100000004</v>
      </c>
    </row>
    <row r="30" spans="1:16" x14ac:dyDescent="0.25">
      <c r="A30" t="s">
        <v>47</v>
      </c>
      <c r="B30" s="1">
        <v>0.55902777800000003</v>
      </c>
      <c r="C30" t="s">
        <v>17</v>
      </c>
      <c r="D30" t="s">
        <v>21</v>
      </c>
      <c r="E30" t="s">
        <v>31</v>
      </c>
      <c r="F30" s="1">
        <v>0.69444444400000005</v>
      </c>
      <c r="G30" t="s">
        <v>48</v>
      </c>
      <c r="H30" s="1">
        <v>0.81597222199999997</v>
      </c>
      <c r="I30" t="s">
        <v>48</v>
      </c>
      <c r="J30" t="s">
        <v>21</v>
      </c>
      <c r="K30" t="s">
        <v>49</v>
      </c>
      <c r="L30" s="1">
        <v>0.93402777800000003</v>
      </c>
      <c r="M30" t="s">
        <v>17</v>
      </c>
      <c r="N30" s="6">
        <v>81800</v>
      </c>
      <c r="O30" s="1">
        <f t="shared" si="0"/>
        <v>0.13541666600000002</v>
      </c>
      <c r="P30" s="1">
        <f t="shared" si="1"/>
        <v>0.11805555600000006</v>
      </c>
    </row>
    <row r="31" spans="1:16" x14ac:dyDescent="0.25">
      <c r="A31" t="s">
        <v>58</v>
      </c>
      <c r="B31" s="1">
        <v>0.25347222200000002</v>
      </c>
      <c r="C31" t="s">
        <v>17</v>
      </c>
      <c r="D31" t="s">
        <v>25</v>
      </c>
      <c r="E31" t="s">
        <v>59</v>
      </c>
      <c r="F31" s="1">
        <v>0.58680555599999995</v>
      </c>
      <c r="G31" t="s">
        <v>60</v>
      </c>
      <c r="H31" s="1">
        <v>0.90625</v>
      </c>
      <c r="I31" t="s">
        <v>60</v>
      </c>
      <c r="J31" t="s">
        <v>18</v>
      </c>
      <c r="L31" s="1">
        <v>0.95138888899999996</v>
      </c>
      <c r="M31" t="s">
        <v>17</v>
      </c>
      <c r="N31" s="6">
        <v>105011</v>
      </c>
      <c r="O31" s="1">
        <f t="shared" si="0"/>
        <v>0.33333333399999993</v>
      </c>
      <c r="P31" s="1">
        <f t="shared" si="1"/>
        <v>4.513888899999996E-2</v>
      </c>
    </row>
    <row r="32" spans="1:16" x14ac:dyDescent="0.25">
      <c r="A32" t="s">
        <v>58</v>
      </c>
      <c r="B32" s="1">
        <v>0.39236111099999998</v>
      </c>
      <c r="C32" t="s">
        <v>17</v>
      </c>
      <c r="D32" t="s">
        <v>21</v>
      </c>
      <c r="E32" t="s">
        <v>61</v>
      </c>
      <c r="F32" s="1">
        <v>0.58680555599999995</v>
      </c>
      <c r="G32" t="s">
        <v>60</v>
      </c>
      <c r="H32" s="1">
        <v>0.61458333300000001</v>
      </c>
      <c r="I32" t="s">
        <v>60</v>
      </c>
      <c r="J32" t="s">
        <v>21</v>
      </c>
      <c r="K32" t="s">
        <v>61</v>
      </c>
      <c r="L32" s="1">
        <v>0.99305555599999995</v>
      </c>
      <c r="M32" t="s">
        <v>17</v>
      </c>
      <c r="N32" s="6">
        <v>90400</v>
      </c>
      <c r="O32" s="1">
        <f t="shared" si="0"/>
        <v>0.19444444499999997</v>
      </c>
      <c r="P32" s="1">
        <f t="shared" si="1"/>
        <v>0.37847222299999994</v>
      </c>
    </row>
    <row r="33" spans="1:16" x14ac:dyDescent="0.25">
      <c r="A33" t="s">
        <v>54</v>
      </c>
      <c r="B33" s="1">
        <v>0.31944444399999999</v>
      </c>
      <c r="C33" t="s">
        <v>17</v>
      </c>
      <c r="D33" t="s">
        <v>21</v>
      </c>
      <c r="E33" t="s">
        <v>22</v>
      </c>
      <c r="F33" s="1">
        <v>0.46875</v>
      </c>
      <c r="G33" t="s">
        <v>34</v>
      </c>
      <c r="H33" s="1">
        <v>0.5</v>
      </c>
      <c r="I33" t="s">
        <v>34</v>
      </c>
      <c r="J33" t="s">
        <v>18</v>
      </c>
      <c r="L33" s="1">
        <v>0.56597222199999997</v>
      </c>
      <c r="M33" t="s">
        <v>17</v>
      </c>
      <c r="N33" s="6">
        <v>42681</v>
      </c>
      <c r="O33" s="1">
        <f t="shared" si="0"/>
        <v>0.14930555600000001</v>
      </c>
      <c r="P33" s="1">
        <f t="shared" si="1"/>
        <v>6.5972221999999969E-2</v>
      </c>
    </row>
    <row r="34" spans="1:16" x14ac:dyDescent="0.25">
      <c r="A34" t="s">
        <v>43</v>
      </c>
      <c r="B34" s="1">
        <v>0.26041666699999999</v>
      </c>
      <c r="C34" t="s">
        <v>17</v>
      </c>
      <c r="D34" t="s">
        <v>25</v>
      </c>
      <c r="E34" t="s">
        <v>55</v>
      </c>
      <c r="F34" s="1">
        <v>0.63194444400000005</v>
      </c>
      <c r="G34" t="s">
        <v>45</v>
      </c>
      <c r="H34" s="1">
        <v>0.53472222199999997</v>
      </c>
      <c r="I34" t="s">
        <v>45</v>
      </c>
      <c r="J34" t="s">
        <v>21</v>
      </c>
      <c r="K34" t="s">
        <v>62</v>
      </c>
      <c r="L34" s="1">
        <v>0.97916666699999999</v>
      </c>
      <c r="M34" t="s">
        <v>17</v>
      </c>
      <c r="N34" s="6">
        <v>153468</v>
      </c>
      <c r="O34" s="1">
        <f t="shared" si="0"/>
        <v>0.37152777700000006</v>
      </c>
      <c r="P34" s="1">
        <f t="shared" si="1"/>
        <v>0.44444444500000002</v>
      </c>
    </row>
    <row r="35" spans="1:16" x14ac:dyDescent="0.25">
      <c r="A35" t="s">
        <v>54</v>
      </c>
      <c r="B35" s="1">
        <v>0.59722222199999997</v>
      </c>
      <c r="C35" t="s">
        <v>17</v>
      </c>
      <c r="D35" t="s">
        <v>18</v>
      </c>
      <c r="F35" s="1">
        <v>0.67361111100000004</v>
      </c>
      <c r="G35" t="s">
        <v>34</v>
      </c>
      <c r="H35" s="1">
        <v>0.76041666699999999</v>
      </c>
      <c r="I35" t="s">
        <v>34</v>
      </c>
      <c r="J35" t="s">
        <v>18</v>
      </c>
      <c r="L35" s="1">
        <v>0.82986111100000004</v>
      </c>
      <c r="M35" t="s">
        <v>17</v>
      </c>
      <c r="N35" s="6">
        <v>60566</v>
      </c>
      <c r="O35" s="1">
        <f t="shared" si="0"/>
        <v>7.6388889000000071E-2</v>
      </c>
      <c r="P35" s="1">
        <f t="shared" si="1"/>
        <v>6.944444400000005E-2</v>
      </c>
    </row>
    <row r="36" spans="1:16" x14ac:dyDescent="0.25">
      <c r="A36" t="s">
        <v>58</v>
      </c>
      <c r="B36" s="1">
        <v>0.39236111099999998</v>
      </c>
      <c r="C36" t="s">
        <v>17</v>
      </c>
      <c r="D36" t="s">
        <v>21</v>
      </c>
      <c r="E36" t="s">
        <v>61</v>
      </c>
      <c r="F36" s="1">
        <v>0.58680555599999995</v>
      </c>
      <c r="G36" t="s">
        <v>60</v>
      </c>
      <c r="H36" s="1">
        <v>0.61458333300000001</v>
      </c>
      <c r="I36" t="s">
        <v>60</v>
      </c>
      <c r="J36" t="s">
        <v>25</v>
      </c>
      <c r="K36" t="s">
        <v>63</v>
      </c>
      <c r="L36" s="1">
        <v>0.98263888899999996</v>
      </c>
      <c r="M36" t="s">
        <v>17</v>
      </c>
      <c r="N36" s="6">
        <v>114700</v>
      </c>
      <c r="O36" s="1">
        <f t="shared" si="0"/>
        <v>0.19444444499999997</v>
      </c>
      <c r="P36" s="1">
        <f t="shared" si="1"/>
        <v>0.36805555599999995</v>
      </c>
    </row>
    <row r="37" spans="1:16" x14ac:dyDescent="0.25">
      <c r="A37" t="s">
        <v>16</v>
      </c>
      <c r="B37" s="1">
        <v>0.26041666699999999</v>
      </c>
      <c r="C37" t="s">
        <v>17</v>
      </c>
      <c r="D37" t="s">
        <v>18</v>
      </c>
      <c r="F37" s="1">
        <v>0.33680555600000001</v>
      </c>
      <c r="G37" t="s">
        <v>19</v>
      </c>
      <c r="H37" s="1">
        <v>0.34375</v>
      </c>
      <c r="I37" t="s">
        <v>32</v>
      </c>
      <c r="J37" t="s">
        <v>18</v>
      </c>
      <c r="L37" s="1">
        <v>0.41319444399999999</v>
      </c>
      <c r="M37" t="s">
        <v>17</v>
      </c>
      <c r="N37" s="6">
        <v>41396</v>
      </c>
      <c r="O37" s="1">
        <f t="shared" si="0"/>
        <v>7.6388889000000015E-2</v>
      </c>
      <c r="P37" s="1">
        <f t="shared" si="1"/>
        <v>6.9444443999999994E-2</v>
      </c>
    </row>
    <row r="38" spans="1:16" x14ac:dyDescent="0.25">
      <c r="A38" t="s">
        <v>20</v>
      </c>
      <c r="B38" s="1">
        <v>0.26041666699999999</v>
      </c>
      <c r="C38" t="s">
        <v>17</v>
      </c>
      <c r="D38" t="s">
        <v>21</v>
      </c>
      <c r="E38" t="s">
        <v>19</v>
      </c>
      <c r="F38" s="1">
        <v>0.4375</v>
      </c>
      <c r="G38" t="s">
        <v>23</v>
      </c>
      <c r="H38" s="1">
        <v>0.80555555599999995</v>
      </c>
      <c r="I38" t="s">
        <v>23</v>
      </c>
      <c r="J38" t="s">
        <v>21</v>
      </c>
      <c r="K38" t="s">
        <v>19</v>
      </c>
      <c r="L38" s="1">
        <v>0.98263888899999996</v>
      </c>
      <c r="M38" t="s">
        <v>17</v>
      </c>
      <c r="N38" s="6">
        <v>87703</v>
      </c>
      <c r="O38" s="1">
        <f t="shared" si="0"/>
        <v>0.17708333300000001</v>
      </c>
      <c r="P38" s="1">
        <f t="shared" si="1"/>
        <v>0.17708333300000001</v>
      </c>
    </row>
    <row r="39" spans="1:16" x14ac:dyDescent="0.25">
      <c r="A39" t="s">
        <v>54</v>
      </c>
      <c r="B39" s="1">
        <v>0.59722222199999997</v>
      </c>
      <c r="C39" t="s">
        <v>17</v>
      </c>
      <c r="D39" t="s">
        <v>18</v>
      </c>
      <c r="F39" s="1">
        <v>0.67361111100000004</v>
      </c>
      <c r="G39" t="s">
        <v>34</v>
      </c>
      <c r="H39" s="1">
        <v>0.5</v>
      </c>
      <c r="I39" t="s">
        <v>34</v>
      </c>
      <c r="J39" t="s">
        <v>18</v>
      </c>
      <c r="L39" s="1">
        <v>0.56597222199999997</v>
      </c>
      <c r="M39" t="s">
        <v>17</v>
      </c>
      <c r="N39" s="6">
        <v>38595</v>
      </c>
      <c r="O39" s="1">
        <f t="shared" si="0"/>
        <v>7.6388889000000071E-2</v>
      </c>
      <c r="P39" s="1">
        <f t="shared" si="1"/>
        <v>6.5972221999999969E-2</v>
      </c>
    </row>
    <row r="40" spans="1:16" x14ac:dyDescent="0.25">
      <c r="A40" t="s">
        <v>24</v>
      </c>
      <c r="B40" s="1">
        <v>0.80208333300000001</v>
      </c>
      <c r="C40" t="s">
        <v>17</v>
      </c>
      <c r="D40" t="s">
        <v>21</v>
      </c>
      <c r="E40" t="s">
        <v>19</v>
      </c>
      <c r="F40" s="1">
        <v>0.98263888899999996</v>
      </c>
      <c r="G40" t="s">
        <v>27</v>
      </c>
      <c r="H40" s="1">
        <v>0.25</v>
      </c>
      <c r="I40" t="s">
        <v>27</v>
      </c>
      <c r="J40" t="s">
        <v>21</v>
      </c>
      <c r="K40" t="s">
        <v>19</v>
      </c>
      <c r="L40" s="1">
        <v>0.44097222200000002</v>
      </c>
      <c r="M40" t="s">
        <v>17</v>
      </c>
      <c r="N40" s="6">
        <v>100075</v>
      </c>
      <c r="O40" s="1">
        <f t="shared" si="0"/>
        <v>0.18055555599999995</v>
      </c>
      <c r="P40" s="1">
        <f t="shared" si="1"/>
        <v>0.19097222200000002</v>
      </c>
    </row>
    <row r="41" spans="1:16" x14ac:dyDescent="0.25">
      <c r="A41" t="s">
        <v>50</v>
      </c>
      <c r="B41" s="1">
        <v>0.26041666699999999</v>
      </c>
      <c r="C41" t="s">
        <v>17</v>
      </c>
      <c r="D41" t="s">
        <v>25</v>
      </c>
      <c r="E41" t="s">
        <v>55</v>
      </c>
      <c r="F41" s="1">
        <v>0.65277777800000003</v>
      </c>
      <c r="G41" t="s">
        <v>52</v>
      </c>
      <c r="H41" s="1">
        <v>0.34375</v>
      </c>
      <c r="I41" t="s">
        <v>52</v>
      </c>
      <c r="J41" t="s">
        <v>18</v>
      </c>
      <c r="L41" s="1">
        <v>0.42708333300000001</v>
      </c>
      <c r="M41" t="s">
        <v>17</v>
      </c>
      <c r="N41" s="6">
        <v>95299</v>
      </c>
      <c r="O41" s="1">
        <f t="shared" si="0"/>
        <v>0.39236111100000004</v>
      </c>
      <c r="P41" s="1">
        <f t="shared" si="1"/>
        <v>8.3333333000000009E-2</v>
      </c>
    </row>
    <row r="42" spans="1:16" x14ac:dyDescent="0.25">
      <c r="A42" t="s">
        <v>50</v>
      </c>
      <c r="B42" s="1">
        <v>0.62152777800000003</v>
      </c>
      <c r="C42" t="s">
        <v>17</v>
      </c>
      <c r="D42" t="s">
        <v>25</v>
      </c>
      <c r="E42" t="s">
        <v>64</v>
      </c>
      <c r="F42" s="1">
        <v>0.92361111100000004</v>
      </c>
      <c r="G42" t="s">
        <v>52</v>
      </c>
      <c r="H42" s="1">
        <v>0.34375</v>
      </c>
      <c r="I42" t="s">
        <v>52</v>
      </c>
      <c r="J42" t="s">
        <v>18</v>
      </c>
      <c r="L42" s="1">
        <v>0.42708333300000001</v>
      </c>
      <c r="M42" t="s">
        <v>17</v>
      </c>
      <c r="N42" s="6">
        <v>143778</v>
      </c>
      <c r="O42" s="1">
        <f t="shared" si="0"/>
        <v>0.30208333300000001</v>
      </c>
      <c r="P42" s="1">
        <f t="shared" si="1"/>
        <v>8.3333333000000009E-2</v>
      </c>
    </row>
    <row r="43" spans="1:16" x14ac:dyDescent="0.25">
      <c r="A43" t="s">
        <v>50</v>
      </c>
      <c r="B43" s="1">
        <v>0.26041666699999999</v>
      </c>
      <c r="C43" t="s">
        <v>17</v>
      </c>
      <c r="D43" t="s">
        <v>25</v>
      </c>
      <c r="E43" t="s">
        <v>55</v>
      </c>
      <c r="F43" s="1">
        <v>0.65277777800000003</v>
      </c>
      <c r="G43" t="s">
        <v>52</v>
      </c>
      <c r="H43" s="1">
        <v>0.59027777800000003</v>
      </c>
      <c r="I43" t="s">
        <v>52</v>
      </c>
      <c r="J43" t="s">
        <v>25</v>
      </c>
      <c r="K43" t="s">
        <v>53</v>
      </c>
      <c r="L43" s="1">
        <v>0.98263888899999996</v>
      </c>
      <c r="M43" t="s">
        <v>17</v>
      </c>
      <c r="N43" s="6">
        <v>106735</v>
      </c>
      <c r="O43" s="1">
        <f t="shared" si="0"/>
        <v>0.39236111100000004</v>
      </c>
      <c r="P43" s="1">
        <f t="shared" si="1"/>
        <v>0.39236111099999993</v>
      </c>
    </row>
    <row r="44" spans="1:16" x14ac:dyDescent="0.25">
      <c r="A44" t="s">
        <v>43</v>
      </c>
      <c r="B44" s="1">
        <v>0.31944444399999999</v>
      </c>
      <c r="C44" t="s">
        <v>17</v>
      </c>
      <c r="D44" t="s">
        <v>25</v>
      </c>
      <c r="E44" t="s">
        <v>51</v>
      </c>
      <c r="F44" s="1">
        <v>0.63194444400000005</v>
      </c>
      <c r="G44" t="s">
        <v>45</v>
      </c>
      <c r="H44" s="1">
        <v>0.53472222199999997</v>
      </c>
      <c r="I44" t="s">
        <v>45</v>
      </c>
      <c r="J44" t="s">
        <v>25</v>
      </c>
      <c r="K44" t="s">
        <v>46</v>
      </c>
      <c r="L44" s="1">
        <v>0.44097222200000002</v>
      </c>
      <c r="M44" t="s">
        <v>17</v>
      </c>
      <c r="N44" s="6">
        <v>112911</v>
      </c>
      <c r="O44" s="1">
        <f t="shared" si="0"/>
        <v>0.31250000000000006</v>
      </c>
      <c r="P44" s="1">
        <f t="shared" si="1"/>
        <v>0.90625</v>
      </c>
    </row>
    <row r="45" spans="1:16" x14ac:dyDescent="0.25">
      <c r="A45" t="s">
        <v>43</v>
      </c>
      <c r="B45" s="1">
        <v>0.26041666699999999</v>
      </c>
      <c r="C45" t="s">
        <v>17</v>
      </c>
      <c r="D45" t="s">
        <v>25</v>
      </c>
      <c r="E45" t="s">
        <v>55</v>
      </c>
      <c r="F45" s="1">
        <v>0.63194444400000005</v>
      </c>
      <c r="G45" t="s">
        <v>45</v>
      </c>
      <c r="H45" s="1">
        <v>0.53472222199999997</v>
      </c>
      <c r="I45" t="s">
        <v>45</v>
      </c>
      <c r="J45" t="s">
        <v>21</v>
      </c>
      <c r="K45" t="s">
        <v>62</v>
      </c>
      <c r="L45" s="1">
        <v>0.97916666699999999</v>
      </c>
      <c r="M45" t="s">
        <v>17</v>
      </c>
      <c r="N45" s="6">
        <v>149926</v>
      </c>
      <c r="O45" s="1">
        <f t="shared" si="0"/>
        <v>0.37152777700000006</v>
      </c>
      <c r="P45" s="1">
        <f t="shared" si="1"/>
        <v>0.44444444500000002</v>
      </c>
    </row>
    <row r="46" spans="1:16" x14ac:dyDescent="0.25">
      <c r="A46" t="s">
        <v>28</v>
      </c>
      <c r="B46" s="1">
        <v>0.78472222199999997</v>
      </c>
      <c r="C46" t="s">
        <v>17</v>
      </c>
      <c r="D46" t="s">
        <v>18</v>
      </c>
      <c r="F46" s="1">
        <v>0.875</v>
      </c>
      <c r="G46" t="s">
        <v>29</v>
      </c>
      <c r="H46" s="1">
        <v>0.42013888900000002</v>
      </c>
      <c r="I46" t="s">
        <v>29</v>
      </c>
      <c r="J46" t="s">
        <v>18</v>
      </c>
      <c r="L46" s="1">
        <v>0.51041666699999999</v>
      </c>
      <c r="M46" t="s">
        <v>17</v>
      </c>
      <c r="N46" s="6">
        <v>88979</v>
      </c>
      <c r="O46" s="1">
        <f t="shared" si="0"/>
        <v>9.0277778000000031E-2</v>
      </c>
      <c r="P46" s="1">
        <f t="shared" si="1"/>
        <v>9.0277777999999975E-2</v>
      </c>
    </row>
    <row r="47" spans="1:16" x14ac:dyDescent="0.25">
      <c r="A47" t="s">
        <v>58</v>
      </c>
      <c r="B47" s="1">
        <v>0.46527777799999998</v>
      </c>
      <c r="C47" t="s">
        <v>17</v>
      </c>
      <c r="D47" t="s">
        <v>25</v>
      </c>
      <c r="E47" t="s">
        <v>65</v>
      </c>
      <c r="F47" s="1">
        <v>0.76388888899999996</v>
      </c>
      <c r="G47" t="s">
        <v>60</v>
      </c>
      <c r="H47" s="1">
        <v>0.90625</v>
      </c>
      <c r="I47" t="s">
        <v>60</v>
      </c>
      <c r="J47" t="s">
        <v>18</v>
      </c>
      <c r="L47" s="1">
        <v>0.95138888899999996</v>
      </c>
      <c r="M47" t="s">
        <v>17</v>
      </c>
      <c r="N47" s="6">
        <v>83003</v>
      </c>
      <c r="O47" s="1">
        <f t="shared" si="0"/>
        <v>0.29861111099999998</v>
      </c>
      <c r="P47" s="1">
        <f t="shared" si="1"/>
        <v>4.513888899999996E-2</v>
      </c>
    </row>
    <row r="48" spans="1:16" x14ac:dyDescent="0.25">
      <c r="A48" t="s">
        <v>40</v>
      </c>
      <c r="B48" s="1">
        <v>0.26041666699999999</v>
      </c>
      <c r="C48" t="s">
        <v>17</v>
      </c>
      <c r="D48" t="s">
        <v>21</v>
      </c>
      <c r="E48" t="s">
        <v>19</v>
      </c>
      <c r="F48" s="1">
        <v>0.44097222200000002</v>
      </c>
      <c r="G48" t="s">
        <v>42</v>
      </c>
      <c r="H48" s="1">
        <v>0.80902777800000003</v>
      </c>
      <c r="I48" t="s">
        <v>42</v>
      </c>
      <c r="J48" t="s">
        <v>21</v>
      </c>
      <c r="K48" t="s">
        <v>19</v>
      </c>
      <c r="L48" s="1">
        <v>0.98263888899999996</v>
      </c>
      <c r="M48" t="s">
        <v>17</v>
      </c>
      <c r="N48" s="6">
        <v>96677</v>
      </c>
      <c r="O48" s="1">
        <f t="shared" si="0"/>
        <v>0.18055555500000003</v>
      </c>
      <c r="P48" s="1">
        <f t="shared" si="1"/>
        <v>0.17361111099999993</v>
      </c>
    </row>
    <row r="49" spans="1:16" x14ac:dyDescent="0.25">
      <c r="A49" t="s">
        <v>47</v>
      </c>
      <c r="B49" s="1">
        <v>0.25347222200000002</v>
      </c>
      <c r="C49" t="s">
        <v>17</v>
      </c>
      <c r="D49" t="s">
        <v>21</v>
      </c>
      <c r="E49" t="s">
        <v>31</v>
      </c>
      <c r="F49" s="1">
        <v>0.38194444399999999</v>
      </c>
      <c r="G49" t="s">
        <v>48</v>
      </c>
      <c r="H49" s="1">
        <v>0.81597222199999997</v>
      </c>
      <c r="I49" t="s">
        <v>48</v>
      </c>
      <c r="J49" t="s">
        <v>21</v>
      </c>
      <c r="K49" t="s">
        <v>49</v>
      </c>
      <c r="L49" s="1">
        <v>0.93402777800000003</v>
      </c>
      <c r="M49" t="s">
        <v>17</v>
      </c>
      <c r="N49" s="6">
        <v>76100</v>
      </c>
      <c r="O49" s="1">
        <f t="shared" si="0"/>
        <v>0.12847222199999997</v>
      </c>
      <c r="P49" s="1">
        <f t="shared" si="1"/>
        <v>0.11805555600000006</v>
      </c>
    </row>
    <row r="50" spans="1:16" x14ac:dyDescent="0.25">
      <c r="A50" t="s">
        <v>54</v>
      </c>
      <c r="B50" s="1">
        <v>0.246527778</v>
      </c>
      <c r="C50" t="s">
        <v>17</v>
      </c>
      <c r="D50" t="s">
        <v>18</v>
      </c>
      <c r="F50" s="1">
        <v>0.31597222200000002</v>
      </c>
      <c r="G50" t="s">
        <v>34</v>
      </c>
      <c r="H50" s="1">
        <v>0.76041666699999999</v>
      </c>
      <c r="I50" t="s">
        <v>34</v>
      </c>
      <c r="J50" t="s">
        <v>18</v>
      </c>
      <c r="L50" s="1">
        <v>0.82986111100000004</v>
      </c>
      <c r="M50" t="s">
        <v>17</v>
      </c>
      <c r="N50" s="6">
        <v>63222</v>
      </c>
      <c r="O50" s="1">
        <f t="shared" si="0"/>
        <v>6.9444444000000022E-2</v>
      </c>
      <c r="P50" s="1">
        <f t="shared" si="1"/>
        <v>6.944444400000005E-2</v>
      </c>
    </row>
    <row r="51" spans="1:16" x14ac:dyDescent="0.25">
      <c r="A51" t="s">
        <v>43</v>
      </c>
      <c r="B51" s="1">
        <v>0.25694444399999999</v>
      </c>
      <c r="C51" t="s">
        <v>17</v>
      </c>
      <c r="D51" t="s">
        <v>25</v>
      </c>
      <c r="E51" t="s">
        <v>66</v>
      </c>
      <c r="F51" s="1">
        <v>0.51041666699999999</v>
      </c>
      <c r="G51" t="s">
        <v>45</v>
      </c>
      <c r="H51" s="1">
        <v>0.53472222199999997</v>
      </c>
      <c r="I51" t="s">
        <v>45</v>
      </c>
      <c r="J51" t="s">
        <v>25</v>
      </c>
      <c r="K51" t="s">
        <v>46</v>
      </c>
      <c r="L51" s="1">
        <v>0.44097222200000002</v>
      </c>
      <c r="M51" t="s">
        <v>17</v>
      </c>
      <c r="N51" s="6">
        <v>106570</v>
      </c>
      <c r="O51" s="1">
        <f t="shared" si="0"/>
        <v>0.253472223</v>
      </c>
      <c r="P51" s="1">
        <f t="shared" si="1"/>
        <v>0.90625</v>
      </c>
    </row>
    <row r="52" spans="1:16" x14ac:dyDescent="0.25">
      <c r="A52" t="s">
        <v>24</v>
      </c>
      <c r="B52" s="1">
        <v>0.26041666699999999</v>
      </c>
      <c r="C52" t="s">
        <v>17</v>
      </c>
      <c r="D52" t="s">
        <v>21</v>
      </c>
      <c r="E52" t="s">
        <v>19</v>
      </c>
      <c r="F52" s="1">
        <v>0.58680555599999995</v>
      </c>
      <c r="G52" t="s">
        <v>27</v>
      </c>
      <c r="H52" s="1">
        <v>0.67708333300000001</v>
      </c>
      <c r="I52" t="s">
        <v>27</v>
      </c>
      <c r="J52" t="s">
        <v>21</v>
      </c>
      <c r="K52" t="s">
        <v>57</v>
      </c>
      <c r="L52" s="1">
        <v>0.9375</v>
      </c>
      <c r="M52" t="s">
        <v>17</v>
      </c>
      <c r="N52" s="6">
        <v>81913</v>
      </c>
      <c r="O52" s="1">
        <f t="shared" si="0"/>
        <v>0.32638888899999996</v>
      </c>
      <c r="P52" s="1">
        <f t="shared" si="1"/>
        <v>0.26041666699999999</v>
      </c>
    </row>
    <row r="53" spans="1:16" x14ac:dyDescent="0.25">
      <c r="A53" t="s">
        <v>54</v>
      </c>
      <c r="B53" s="1">
        <v>0.59722222199999997</v>
      </c>
      <c r="C53" t="s">
        <v>17</v>
      </c>
      <c r="D53" t="s">
        <v>18</v>
      </c>
      <c r="F53" s="1">
        <v>0.67361111100000004</v>
      </c>
      <c r="G53" t="s">
        <v>34</v>
      </c>
      <c r="H53" s="1">
        <v>0.62152777800000003</v>
      </c>
      <c r="I53" t="s">
        <v>34</v>
      </c>
      <c r="J53" t="s">
        <v>21</v>
      </c>
      <c r="K53" t="s">
        <v>33</v>
      </c>
      <c r="L53" s="1">
        <v>0.79861111100000004</v>
      </c>
      <c r="M53" t="s">
        <v>17</v>
      </c>
      <c r="N53" s="6">
        <v>54905</v>
      </c>
      <c r="O53" s="1">
        <f t="shared" si="0"/>
        <v>7.6388889000000071E-2</v>
      </c>
      <c r="P53" s="1">
        <f t="shared" si="1"/>
        <v>0.17708333300000001</v>
      </c>
    </row>
    <row r="54" spans="1:16" x14ac:dyDescent="0.25">
      <c r="A54" t="s">
        <v>58</v>
      </c>
      <c r="B54" s="1">
        <v>0.42013888900000002</v>
      </c>
      <c r="C54" t="s">
        <v>17</v>
      </c>
      <c r="D54" t="s">
        <v>21</v>
      </c>
      <c r="E54" t="s">
        <v>42</v>
      </c>
      <c r="F54" s="1">
        <v>0.90972222199999997</v>
      </c>
      <c r="G54" t="s">
        <v>60</v>
      </c>
      <c r="H54" s="1">
        <v>0.90625</v>
      </c>
      <c r="I54" t="s">
        <v>60</v>
      </c>
      <c r="J54" t="s">
        <v>18</v>
      </c>
      <c r="L54" s="1">
        <v>0.95138888899999996</v>
      </c>
      <c r="M54" t="s">
        <v>17</v>
      </c>
      <c r="N54" s="6">
        <v>51469</v>
      </c>
      <c r="O54" s="1">
        <f t="shared" si="0"/>
        <v>0.48958333299999995</v>
      </c>
      <c r="P54" s="1">
        <f t="shared" si="1"/>
        <v>4.513888899999996E-2</v>
      </c>
    </row>
    <row r="55" spans="1:16" x14ac:dyDescent="0.25">
      <c r="A55" t="s">
        <v>54</v>
      </c>
      <c r="B55" s="1">
        <v>0.246527778</v>
      </c>
      <c r="C55" t="s">
        <v>17</v>
      </c>
      <c r="D55" t="s">
        <v>18</v>
      </c>
      <c r="F55" s="1">
        <v>0.31597222200000002</v>
      </c>
      <c r="G55" t="s">
        <v>34</v>
      </c>
      <c r="H55" s="1">
        <v>0.82291666699999999</v>
      </c>
      <c r="I55" t="s">
        <v>34</v>
      </c>
      <c r="J55" t="s">
        <v>21</v>
      </c>
      <c r="K55" t="s">
        <v>19</v>
      </c>
      <c r="L55" s="1">
        <v>0.98263888899999996</v>
      </c>
      <c r="M55" t="s">
        <v>17</v>
      </c>
      <c r="N55" s="6">
        <v>85628</v>
      </c>
      <c r="O55" s="1">
        <f t="shared" si="0"/>
        <v>6.9444444000000022E-2</v>
      </c>
      <c r="P55" s="1">
        <f t="shared" si="1"/>
        <v>0.15972222199999997</v>
      </c>
    </row>
    <row r="56" spans="1:16" x14ac:dyDescent="0.25">
      <c r="A56" t="s">
        <v>24</v>
      </c>
      <c r="B56" s="1">
        <v>0.80208333300000001</v>
      </c>
      <c r="C56" t="s">
        <v>17</v>
      </c>
      <c r="D56" t="s">
        <v>21</v>
      </c>
      <c r="E56" t="s">
        <v>19</v>
      </c>
      <c r="F56" s="1">
        <v>0.98263888899999996</v>
      </c>
      <c r="G56" t="s">
        <v>27</v>
      </c>
      <c r="H56" s="1">
        <v>0.79166666699999999</v>
      </c>
      <c r="I56" t="s">
        <v>27</v>
      </c>
      <c r="J56" t="s">
        <v>21</v>
      </c>
      <c r="K56" t="s">
        <v>19</v>
      </c>
      <c r="L56" s="1">
        <v>0.98263888899999996</v>
      </c>
      <c r="M56" t="s">
        <v>17</v>
      </c>
      <c r="N56" s="6">
        <v>100075</v>
      </c>
      <c r="O56" s="1">
        <f t="shared" si="0"/>
        <v>0.18055555599999995</v>
      </c>
      <c r="P56" s="1">
        <f t="shared" si="1"/>
        <v>0.19097222199999997</v>
      </c>
    </row>
    <row r="57" spans="1:16" x14ac:dyDescent="0.25">
      <c r="A57" t="s">
        <v>54</v>
      </c>
      <c r="B57" s="1">
        <v>0.31944444399999999</v>
      </c>
      <c r="C57" t="s">
        <v>17</v>
      </c>
      <c r="D57" t="s">
        <v>21</v>
      </c>
      <c r="E57" t="s">
        <v>22</v>
      </c>
      <c r="F57" s="1">
        <v>0.64236111100000004</v>
      </c>
      <c r="G57" t="s">
        <v>34</v>
      </c>
      <c r="H57" s="1">
        <v>0.5</v>
      </c>
      <c r="I57" t="s">
        <v>34</v>
      </c>
      <c r="J57" t="s">
        <v>18</v>
      </c>
      <c r="L57" s="1">
        <v>0.56597222199999997</v>
      </c>
      <c r="M57" t="s">
        <v>17</v>
      </c>
      <c r="N57" s="6">
        <v>39109</v>
      </c>
      <c r="O57" s="1">
        <f t="shared" si="0"/>
        <v>0.32291666700000005</v>
      </c>
      <c r="P57" s="1">
        <f t="shared" si="1"/>
        <v>6.5972221999999969E-2</v>
      </c>
    </row>
    <row r="58" spans="1:16" x14ac:dyDescent="0.25">
      <c r="A58" t="s">
        <v>37</v>
      </c>
      <c r="B58" s="1">
        <v>0.25694444399999999</v>
      </c>
      <c r="C58" t="s">
        <v>17</v>
      </c>
      <c r="D58" t="s">
        <v>18</v>
      </c>
      <c r="F58" s="1">
        <v>0.32986111099999998</v>
      </c>
      <c r="G58" t="s">
        <v>38</v>
      </c>
      <c r="H58" s="1">
        <v>0.91319444400000005</v>
      </c>
      <c r="I58" t="s">
        <v>39</v>
      </c>
      <c r="J58" t="s">
        <v>18</v>
      </c>
      <c r="L58" s="1">
        <v>0.97916666699999999</v>
      </c>
      <c r="M58" t="s">
        <v>17</v>
      </c>
      <c r="N58" s="6">
        <v>51495</v>
      </c>
      <c r="O58" s="1">
        <f t="shared" si="0"/>
        <v>7.2916666999999991E-2</v>
      </c>
      <c r="P58" s="1">
        <f t="shared" si="1"/>
        <v>6.5972222999999941E-2</v>
      </c>
    </row>
    <row r="59" spans="1:16" x14ac:dyDescent="0.25">
      <c r="A59" t="s">
        <v>37</v>
      </c>
      <c r="B59" s="1">
        <v>0.25694444399999999</v>
      </c>
      <c r="C59" t="s">
        <v>17</v>
      </c>
      <c r="D59" t="s">
        <v>18</v>
      </c>
      <c r="F59" s="1">
        <v>0.32986111099999998</v>
      </c>
      <c r="G59" t="s">
        <v>38</v>
      </c>
      <c r="H59" s="1">
        <v>0.53125</v>
      </c>
      <c r="I59" t="s">
        <v>39</v>
      </c>
      <c r="J59" t="s">
        <v>18</v>
      </c>
      <c r="L59" s="1">
        <v>0.59722222199999997</v>
      </c>
      <c r="M59" t="s">
        <v>17</v>
      </c>
      <c r="N59" s="6">
        <v>46587</v>
      </c>
      <c r="O59" s="1">
        <f t="shared" si="0"/>
        <v>7.2916666999999991E-2</v>
      </c>
      <c r="P59" s="1">
        <f t="shared" si="1"/>
        <v>6.5972221999999969E-2</v>
      </c>
    </row>
    <row r="60" spans="1:16" x14ac:dyDescent="0.25">
      <c r="A60" t="s">
        <v>50</v>
      </c>
      <c r="B60" s="1">
        <v>0.31944444399999999</v>
      </c>
      <c r="C60" t="s">
        <v>17</v>
      </c>
      <c r="D60" t="s">
        <v>25</v>
      </c>
      <c r="E60" t="s">
        <v>51</v>
      </c>
      <c r="F60" s="1">
        <v>0.65277777800000003</v>
      </c>
      <c r="G60" t="s">
        <v>52</v>
      </c>
      <c r="H60" s="1">
        <v>0.34375</v>
      </c>
      <c r="I60" t="s">
        <v>52</v>
      </c>
      <c r="J60" t="s">
        <v>18</v>
      </c>
      <c r="L60" s="1">
        <v>0.42708333300000001</v>
      </c>
      <c r="M60" t="s">
        <v>17</v>
      </c>
      <c r="N60" s="6">
        <v>87891</v>
      </c>
      <c r="O60" s="1">
        <f t="shared" si="0"/>
        <v>0.33333333400000004</v>
      </c>
      <c r="P60" s="1">
        <f t="shared" si="1"/>
        <v>8.3333333000000009E-2</v>
      </c>
    </row>
    <row r="61" spans="1:16" x14ac:dyDescent="0.25">
      <c r="A61" t="s">
        <v>24</v>
      </c>
      <c r="B61" s="1">
        <v>0.67013888899999996</v>
      </c>
      <c r="C61" t="s">
        <v>17</v>
      </c>
      <c r="D61" t="s">
        <v>25</v>
      </c>
      <c r="E61" t="s">
        <v>67</v>
      </c>
      <c r="F61" s="1">
        <v>0.65625</v>
      </c>
      <c r="G61" t="s">
        <v>27</v>
      </c>
      <c r="H61" s="1">
        <v>0.4375</v>
      </c>
      <c r="I61" t="s">
        <v>27</v>
      </c>
      <c r="J61" t="s">
        <v>21</v>
      </c>
      <c r="K61" t="s">
        <v>49</v>
      </c>
      <c r="L61" s="1">
        <v>0.60416666699999999</v>
      </c>
      <c r="M61" t="s">
        <v>17</v>
      </c>
      <c r="N61" s="6">
        <v>781299</v>
      </c>
      <c r="O61" s="1">
        <f t="shared" si="0"/>
        <v>0.98611111100000004</v>
      </c>
      <c r="P61" s="1">
        <f t="shared" si="1"/>
        <v>0.16666666699999999</v>
      </c>
    </row>
    <row r="62" spans="1:16" x14ac:dyDescent="0.25">
      <c r="A62" t="s">
        <v>28</v>
      </c>
      <c r="B62" s="1">
        <v>0.31944444399999999</v>
      </c>
      <c r="C62" t="s">
        <v>17</v>
      </c>
      <c r="D62" t="s">
        <v>21</v>
      </c>
      <c r="E62" t="s">
        <v>22</v>
      </c>
      <c r="F62" s="1">
        <v>0.50694444400000005</v>
      </c>
      <c r="G62" t="s">
        <v>29</v>
      </c>
      <c r="H62" s="1">
        <v>0.875</v>
      </c>
      <c r="I62" t="s">
        <v>29</v>
      </c>
      <c r="J62" t="s">
        <v>18</v>
      </c>
      <c r="L62" s="1">
        <v>0.96527777800000003</v>
      </c>
      <c r="M62" t="s">
        <v>17</v>
      </c>
      <c r="N62" s="6">
        <v>61779</v>
      </c>
      <c r="O62" s="1">
        <f t="shared" si="0"/>
        <v>0.18750000000000006</v>
      </c>
      <c r="P62" s="1">
        <f t="shared" si="1"/>
        <v>9.0277778000000031E-2</v>
      </c>
    </row>
    <row r="63" spans="1:16" x14ac:dyDescent="0.25">
      <c r="A63" t="s">
        <v>40</v>
      </c>
      <c r="B63" s="1">
        <v>0.42013888900000002</v>
      </c>
      <c r="C63" t="s">
        <v>17</v>
      </c>
      <c r="D63" t="s">
        <v>18</v>
      </c>
      <c r="F63" s="1">
        <v>0.48263888900000002</v>
      </c>
      <c r="G63" t="s">
        <v>42</v>
      </c>
      <c r="H63" s="1">
        <v>0.73263888899999996</v>
      </c>
      <c r="I63" t="s">
        <v>42</v>
      </c>
      <c r="J63" t="s">
        <v>21</v>
      </c>
      <c r="K63" t="s">
        <v>60</v>
      </c>
      <c r="L63" s="1">
        <v>0.95138888899999996</v>
      </c>
      <c r="M63" t="s">
        <v>17</v>
      </c>
      <c r="N63" s="6">
        <v>61022</v>
      </c>
      <c r="O63" s="1">
        <f t="shared" si="0"/>
        <v>6.25E-2</v>
      </c>
      <c r="P63" s="1">
        <f t="shared" si="1"/>
        <v>0.21875</v>
      </c>
    </row>
    <row r="64" spans="1:16" x14ac:dyDescent="0.25">
      <c r="A64" t="s">
        <v>50</v>
      </c>
      <c r="B64" s="1">
        <v>0.63194444400000005</v>
      </c>
      <c r="C64" t="s">
        <v>17</v>
      </c>
      <c r="D64" t="s">
        <v>25</v>
      </c>
      <c r="E64" t="s">
        <v>68</v>
      </c>
      <c r="F64" s="1">
        <v>0.92361111100000004</v>
      </c>
      <c r="G64" t="s">
        <v>52</v>
      </c>
      <c r="H64" s="1">
        <v>0.34375</v>
      </c>
      <c r="I64" t="s">
        <v>52</v>
      </c>
      <c r="J64" t="s">
        <v>18</v>
      </c>
      <c r="L64" s="1">
        <v>0.42708333300000001</v>
      </c>
      <c r="M64" t="s">
        <v>17</v>
      </c>
      <c r="N64" s="6">
        <v>159768</v>
      </c>
      <c r="O64" s="1">
        <f t="shared" si="0"/>
        <v>0.29166666699999999</v>
      </c>
      <c r="P64" s="1">
        <f t="shared" si="1"/>
        <v>8.3333333000000009E-2</v>
      </c>
    </row>
    <row r="65" spans="1:16" x14ac:dyDescent="0.25">
      <c r="A65" t="s">
        <v>37</v>
      </c>
      <c r="B65" s="1">
        <v>0.46527777799999998</v>
      </c>
      <c r="C65" t="s">
        <v>17</v>
      </c>
      <c r="D65" t="s">
        <v>18</v>
      </c>
      <c r="F65" s="1">
        <v>0.53472222199999997</v>
      </c>
      <c r="G65" t="s">
        <v>39</v>
      </c>
      <c r="H65" s="1">
        <v>0.53125</v>
      </c>
      <c r="I65" t="s">
        <v>39</v>
      </c>
      <c r="J65" t="s">
        <v>18</v>
      </c>
      <c r="L65" s="1">
        <v>0.59722222199999997</v>
      </c>
      <c r="M65" t="s">
        <v>17</v>
      </c>
      <c r="N65" s="6">
        <v>51704</v>
      </c>
      <c r="O65" s="1">
        <f t="shared" si="0"/>
        <v>6.9444443999999994E-2</v>
      </c>
      <c r="P65" s="1">
        <f t="shared" si="1"/>
        <v>6.5972221999999969E-2</v>
      </c>
    </row>
    <row r="66" spans="1:16" x14ac:dyDescent="0.25">
      <c r="A66" t="s">
        <v>24</v>
      </c>
      <c r="B66" s="1">
        <v>0.67013888899999996</v>
      </c>
      <c r="C66" t="s">
        <v>17</v>
      </c>
      <c r="D66" t="s">
        <v>25</v>
      </c>
      <c r="E66" t="s">
        <v>67</v>
      </c>
      <c r="F66" s="1">
        <v>0.65625</v>
      </c>
      <c r="G66" t="s">
        <v>27</v>
      </c>
      <c r="H66" s="1">
        <v>0.76736111100000004</v>
      </c>
      <c r="I66" t="s">
        <v>27</v>
      </c>
      <c r="J66" t="s">
        <v>21</v>
      </c>
      <c r="K66" t="s">
        <v>31</v>
      </c>
      <c r="L66" s="1">
        <v>0.98263888899999996</v>
      </c>
      <c r="M66" t="s">
        <v>17</v>
      </c>
      <c r="N66" s="6">
        <v>763752</v>
      </c>
      <c r="O66" s="1">
        <f t="shared" si="0"/>
        <v>0.98611111100000004</v>
      </c>
      <c r="P66" s="1">
        <f t="shared" si="1"/>
        <v>0.21527777799999992</v>
      </c>
    </row>
    <row r="67" spans="1:16" x14ac:dyDescent="0.25">
      <c r="A67" t="s">
        <v>35</v>
      </c>
      <c r="B67" s="1">
        <v>0.35069444399999999</v>
      </c>
      <c r="C67" t="s">
        <v>17</v>
      </c>
      <c r="D67" t="s">
        <v>21</v>
      </c>
      <c r="E67" t="s">
        <v>31</v>
      </c>
      <c r="F67" s="1">
        <v>0.52430555599999995</v>
      </c>
      <c r="G67" t="s">
        <v>36</v>
      </c>
      <c r="H67" s="1">
        <v>0.25694444399999999</v>
      </c>
      <c r="I67" t="s">
        <v>36</v>
      </c>
      <c r="J67" t="s">
        <v>21</v>
      </c>
      <c r="K67" t="s">
        <v>31</v>
      </c>
      <c r="L67" s="1">
        <v>0.39930555600000001</v>
      </c>
      <c r="M67" t="s">
        <v>17</v>
      </c>
      <c r="N67" s="6">
        <v>94600</v>
      </c>
      <c r="O67" s="1">
        <f t="shared" ref="O67:O130" si="2">IF(F67-B67&gt;=0,F67-B67,1-ABS(F67-B67))</f>
        <v>0.17361111199999996</v>
      </c>
      <c r="P67" s="1">
        <f t="shared" ref="P67:P130" si="3">IF(L67-H67&gt;=0,L67-H67,1-ABS(L67-H67))</f>
        <v>0.14236111200000001</v>
      </c>
    </row>
    <row r="68" spans="1:16" x14ac:dyDescent="0.25">
      <c r="A68" t="s">
        <v>54</v>
      </c>
      <c r="B68" s="1">
        <v>0.25694444399999999</v>
      </c>
      <c r="C68" t="s">
        <v>17</v>
      </c>
      <c r="D68" t="s">
        <v>21</v>
      </c>
      <c r="E68" t="s">
        <v>38</v>
      </c>
      <c r="F68" s="1">
        <v>0.5</v>
      </c>
      <c r="G68" t="s">
        <v>34</v>
      </c>
      <c r="H68" s="1">
        <v>0.5</v>
      </c>
      <c r="I68" t="s">
        <v>34</v>
      </c>
      <c r="J68" t="s">
        <v>18</v>
      </c>
      <c r="L68" s="1">
        <v>0.56597222199999997</v>
      </c>
      <c r="M68" t="s">
        <v>17</v>
      </c>
      <c r="N68" s="6">
        <v>45076</v>
      </c>
      <c r="O68" s="1">
        <f t="shared" si="2"/>
        <v>0.24305555600000001</v>
      </c>
      <c r="P68" s="1">
        <f t="shared" si="3"/>
        <v>6.5972221999999969E-2</v>
      </c>
    </row>
    <row r="69" spans="1:16" x14ac:dyDescent="0.25">
      <c r="A69" t="s">
        <v>16</v>
      </c>
      <c r="B69" s="1">
        <v>0.80902777800000003</v>
      </c>
      <c r="C69" t="s">
        <v>17</v>
      </c>
      <c r="D69" t="s">
        <v>18</v>
      </c>
      <c r="F69" s="1">
        <v>0.87847222199999997</v>
      </c>
      <c r="G69" t="s">
        <v>32</v>
      </c>
      <c r="H69" s="1">
        <v>0.82638888899999996</v>
      </c>
      <c r="I69" t="s">
        <v>32</v>
      </c>
      <c r="J69" t="s">
        <v>18</v>
      </c>
      <c r="L69" s="1">
        <v>0.89583333300000001</v>
      </c>
      <c r="M69" t="s">
        <v>17</v>
      </c>
      <c r="N69" s="6">
        <v>50432</v>
      </c>
      <c r="O69" s="1">
        <f t="shared" si="2"/>
        <v>6.9444443999999939E-2</v>
      </c>
      <c r="P69" s="1">
        <f t="shared" si="3"/>
        <v>6.944444400000005E-2</v>
      </c>
    </row>
    <row r="70" spans="1:16" x14ac:dyDescent="0.25">
      <c r="A70" t="s">
        <v>58</v>
      </c>
      <c r="B70" s="1">
        <v>0.25347222200000002</v>
      </c>
      <c r="C70" t="s">
        <v>17</v>
      </c>
      <c r="D70" t="s">
        <v>25</v>
      </c>
      <c r="E70" t="s">
        <v>59</v>
      </c>
      <c r="F70" s="1">
        <v>0.58680555599999995</v>
      </c>
      <c r="G70" t="s">
        <v>60</v>
      </c>
      <c r="H70" s="1">
        <v>0.61458333300000001</v>
      </c>
      <c r="I70" t="s">
        <v>60</v>
      </c>
      <c r="J70" t="s">
        <v>21</v>
      </c>
      <c r="K70" t="s">
        <v>61</v>
      </c>
      <c r="L70" s="1">
        <v>0.99305555599999995</v>
      </c>
      <c r="M70" t="s">
        <v>17</v>
      </c>
      <c r="N70" s="6">
        <v>94645</v>
      </c>
      <c r="O70" s="1">
        <f t="shared" si="2"/>
        <v>0.33333333399999993</v>
      </c>
      <c r="P70" s="1">
        <f t="shared" si="3"/>
        <v>0.37847222299999994</v>
      </c>
    </row>
    <row r="71" spans="1:16" x14ac:dyDescent="0.25">
      <c r="A71" t="s">
        <v>69</v>
      </c>
      <c r="B71" s="1">
        <v>0.48263888900000002</v>
      </c>
      <c r="C71" t="s">
        <v>17</v>
      </c>
      <c r="D71" t="s">
        <v>21</v>
      </c>
      <c r="E71" t="s">
        <v>61</v>
      </c>
      <c r="F71" s="1">
        <v>0.73263888899999996</v>
      </c>
      <c r="G71" t="s">
        <v>70</v>
      </c>
      <c r="H71" s="1">
        <v>0.76041666699999999</v>
      </c>
      <c r="I71" t="s">
        <v>70</v>
      </c>
      <c r="J71" t="s">
        <v>21</v>
      </c>
      <c r="K71" t="s">
        <v>61</v>
      </c>
      <c r="L71" s="1">
        <v>0.99305555599999995</v>
      </c>
      <c r="M71" t="s">
        <v>17</v>
      </c>
      <c r="N71" s="6">
        <v>91640</v>
      </c>
      <c r="O71" s="1">
        <f t="shared" si="2"/>
        <v>0.24999999999999994</v>
      </c>
      <c r="P71" s="1">
        <f t="shared" si="3"/>
        <v>0.23263888899999996</v>
      </c>
    </row>
    <row r="72" spans="1:16" x14ac:dyDescent="0.25">
      <c r="A72" t="s">
        <v>50</v>
      </c>
      <c r="B72" s="1">
        <v>0.31944444399999999</v>
      </c>
      <c r="C72" t="s">
        <v>17</v>
      </c>
      <c r="D72" t="s">
        <v>25</v>
      </c>
      <c r="E72" t="s">
        <v>51</v>
      </c>
      <c r="F72" s="1">
        <v>0.65277777800000003</v>
      </c>
      <c r="G72" t="s">
        <v>52</v>
      </c>
      <c r="H72" s="1">
        <v>0.54513888899999996</v>
      </c>
      <c r="I72" t="s">
        <v>52</v>
      </c>
      <c r="J72" t="s">
        <v>21</v>
      </c>
      <c r="K72" t="s">
        <v>57</v>
      </c>
      <c r="L72" s="1">
        <v>0.9375</v>
      </c>
      <c r="M72" t="s">
        <v>17</v>
      </c>
      <c r="N72" s="6">
        <v>93540</v>
      </c>
      <c r="O72" s="1">
        <f t="shared" si="2"/>
        <v>0.33333333400000004</v>
      </c>
      <c r="P72" s="1">
        <f t="shared" si="3"/>
        <v>0.39236111100000004</v>
      </c>
    </row>
    <row r="73" spans="1:16" x14ac:dyDescent="0.25">
      <c r="A73" t="s">
        <v>58</v>
      </c>
      <c r="B73" s="1">
        <v>0.26041666699999999</v>
      </c>
      <c r="C73" t="s">
        <v>17</v>
      </c>
      <c r="D73" t="s">
        <v>21</v>
      </c>
      <c r="E73" t="s">
        <v>19</v>
      </c>
      <c r="F73" s="1">
        <v>0.77430555599999995</v>
      </c>
      <c r="G73" t="s">
        <v>60</v>
      </c>
      <c r="H73" s="1">
        <v>0.90625</v>
      </c>
      <c r="I73" t="s">
        <v>60</v>
      </c>
      <c r="J73" t="s">
        <v>18</v>
      </c>
      <c r="L73" s="1">
        <v>0.95138888899999996</v>
      </c>
      <c r="M73" t="s">
        <v>17</v>
      </c>
      <c r="N73" s="6">
        <v>63292</v>
      </c>
      <c r="O73" s="1">
        <f t="shared" si="2"/>
        <v>0.51388888899999996</v>
      </c>
      <c r="P73" s="1">
        <f t="shared" si="3"/>
        <v>4.513888899999996E-2</v>
      </c>
    </row>
    <row r="74" spans="1:16" x14ac:dyDescent="0.25">
      <c r="A74" t="s">
        <v>50</v>
      </c>
      <c r="B74" s="1">
        <v>0.26041666699999999</v>
      </c>
      <c r="C74" t="s">
        <v>17</v>
      </c>
      <c r="D74" t="s">
        <v>25</v>
      </c>
      <c r="E74" t="s">
        <v>55</v>
      </c>
      <c r="F74" s="1">
        <v>0.65277777800000003</v>
      </c>
      <c r="G74" t="s">
        <v>52</v>
      </c>
      <c r="H74" s="1">
        <v>0.34375</v>
      </c>
      <c r="I74" t="s">
        <v>52</v>
      </c>
      <c r="J74" t="s">
        <v>18</v>
      </c>
      <c r="L74" s="1">
        <v>0.42708333300000001</v>
      </c>
      <c r="M74" t="s">
        <v>17</v>
      </c>
      <c r="N74" s="6">
        <v>99041</v>
      </c>
      <c r="O74" s="1">
        <f t="shared" si="2"/>
        <v>0.39236111100000004</v>
      </c>
      <c r="P74" s="1">
        <f t="shared" si="3"/>
        <v>8.3333333000000009E-2</v>
      </c>
    </row>
    <row r="75" spans="1:16" x14ac:dyDescent="0.25">
      <c r="A75" t="s">
        <v>69</v>
      </c>
      <c r="B75" s="1">
        <v>0.41319444399999999</v>
      </c>
      <c r="C75" t="s">
        <v>17</v>
      </c>
      <c r="D75" t="s">
        <v>18</v>
      </c>
      <c r="F75" s="1">
        <v>0.48611111099999998</v>
      </c>
      <c r="G75" t="s">
        <v>70</v>
      </c>
      <c r="H75" s="1">
        <v>0.43402777799999998</v>
      </c>
      <c r="I75" t="s">
        <v>70</v>
      </c>
      <c r="J75" t="s">
        <v>21</v>
      </c>
      <c r="K75" t="s">
        <v>71</v>
      </c>
      <c r="L75" s="1">
        <v>0.72916666699999999</v>
      </c>
      <c r="M75" t="s">
        <v>17</v>
      </c>
      <c r="N75" s="6">
        <v>91041</v>
      </c>
      <c r="O75" s="1">
        <f t="shared" si="2"/>
        <v>7.2916666999999991E-2</v>
      </c>
      <c r="P75" s="1">
        <f t="shared" si="3"/>
        <v>0.29513888900000002</v>
      </c>
    </row>
    <row r="76" spans="1:16" x14ac:dyDescent="0.25">
      <c r="A76" t="s">
        <v>47</v>
      </c>
      <c r="B76" s="1">
        <v>0.63194444400000005</v>
      </c>
      <c r="C76" t="s">
        <v>17</v>
      </c>
      <c r="D76" t="s">
        <v>21</v>
      </c>
      <c r="E76" t="s">
        <v>49</v>
      </c>
      <c r="F76" s="1">
        <v>0.78819444400000005</v>
      </c>
      <c r="G76" t="s">
        <v>48</v>
      </c>
      <c r="H76" s="1">
        <v>0.81597222199999997</v>
      </c>
      <c r="I76" t="s">
        <v>48</v>
      </c>
      <c r="J76" t="s">
        <v>21</v>
      </c>
      <c r="K76" t="s">
        <v>49</v>
      </c>
      <c r="L76" s="1">
        <v>0.93402777800000003</v>
      </c>
      <c r="M76" t="s">
        <v>17</v>
      </c>
      <c r="N76" s="6">
        <v>76000</v>
      </c>
      <c r="O76" s="1">
        <f t="shared" si="2"/>
        <v>0.15625</v>
      </c>
      <c r="P76" s="1">
        <f t="shared" si="3"/>
        <v>0.11805555600000006</v>
      </c>
    </row>
    <row r="77" spans="1:16" x14ac:dyDescent="0.25">
      <c r="A77" t="s">
        <v>24</v>
      </c>
      <c r="B77" s="1">
        <v>0.67013888899999996</v>
      </c>
      <c r="C77" t="s">
        <v>17</v>
      </c>
      <c r="D77" t="s">
        <v>25</v>
      </c>
      <c r="E77" t="s">
        <v>67</v>
      </c>
      <c r="F77" s="1">
        <v>0.65625</v>
      </c>
      <c r="G77" t="s">
        <v>27</v>
      </c>
      <c r="H77" s="1">
        <v>0.59027777800000003</v>
      </c>
      <c r="I77" t="s">
        <v>27</v>
      </c>
      <c r="J77" t="s">
        <v>21</v>
      </c>
      <c r="K77" t="s">
        <v>72</v>
      </c>
      <c r="L77" s="1">
        <v>0.8125</v>
      </c>
      <c r="M77" t="s">
        <v>17</v>
      </c>
      <c r="N77" s="6">
        <v>803016</v>
      </c>
      <c r="O77" s="1">
        <f t="shared" si="2"/>
        <v>0.98611111100000004</v>
      </c>
      <c r="P77" s="1">
        <f t="shared" si="3"/>
        <v>0.22222222199999997</v>
      </c>
    </row>
    <row r="78" spans="1:16" x14ac:dyDescent="0.25">
      <c r="A78" t="s">
        <v>69</v>
      </c>
      <c r="B78" s="1">
        <v>0.41319444399999999</v>
      </c>
      <c r="C78" t="s">
        <v>17</v>
      </c>
      <c r="D78" t="s">
        <v>18</v>
      </c>
      <c r="F78" s="1">
        <v>0.48611111099999998</v>
      </c>
      <c r="G78" t="s">
        <v>70</v>
      </c>
      <c r="H78" s="1">
        <v>0.65972222199999997</v>
      </c>
      <c r="I78" t="s">
        <v>70</v>
      </c>
      <c r="J78" t="s">
        <v>21</v>
      </c>
      <c r="K78" t="s">
        <v>73</v>
      </c>
      <c r="L78" s="1">
        <v>0.95486111100000004</v>
      </c>
      <c r="M78" t="s">
        <v>17</v>
      </c>
      <c r="N78" s="6">
        <v>95296</v>
      </c>
      <c r="O78" s="1">
        <f t="shared" si="2"/>
        <v>7.2916666999999991E-2</v>
      </c>
      <c r="P78" s="1">
        <f t="shared" si="3"/>
        <v>0.29513888900000007</v>
      </c>
    </row>
    <row r="79" spans="1:16" x14ac:dyDescent="0.25">
      <c r="A79" t="s">
        <v>47</v>
      </c>
      <c r="B79" s="1">
        <v>0.79513888899999996</v>
      </c>
      <c r="C79" t="s">
        <v>17</v>
      </c>
      <c r="D79" t="s">
        <v>18</v>
      </c>
      <c r="F79" s="1">
        <v>0.85763888899999996</v>
      </c>
      <c r="G79" t="s">
        <v>48</v>
      </c>
      <c r="H79" s="1">
        <v>0.81597222199999997</v>
      </c>
      <c r="I79" t="s">
        <v>48</v>
      </c>
      <c r="J79" t="s">
        <v>21</v>
      </c>
      <c r="K79" t="s">
        <v>49</v>
      </c>
      <c r="L79" s="1">
        <v>0.93402777800000003</v>
      </c>
      <c r="M79" t="s">
        <v>17</v>
      </c>
      <c r="N79" s="6">
        <v>114286</v>
      </c>
      <c r="O79" s="1">
        <f t="shared" si="2"/>
        <v>6.25E-2</v>
      </c>
      <c r="P79" s="1">
        <f t="shared" si="3"/>
        <v>0.11805555600000006</v>
      </c>
    </row>
    <row r="80" spans="1:16" x14ac:dyDescent="0.25">
      <c r="A80" t="s">
        <v>28</v>
      </c>
      <c r="B80" s="1">
        <v>0.26041666699999999</v>
      </c>
      <c r="C80" t="s">
        <v>17</v>
      </c>
      <c r="D80" t="s">
        <v>21</v>
      </c>
      <c r="E80" t="s">
        <v>19</v>
      </c>
      <c r="F80" s="1">
        <v>0.45138888900000002</v>
      </c>
      <c r="G80" t="s">
        <v>29</v>
      </c>
      <c r="H80" s="1">
        <v>0.875</v>
      </c>
      <c r="I80" t="s">
        <v>29</v>
      </c>
      <c r="J80" t="s">
        <v>18</v>
      </c>
      <c r="L80" s="1">
        <v>0.96527777800000003</v>
      </c>
      <c r="M80" t="s">
        <v>17</v>
      </c>
      <c r="N80" s="6">
        <v>71856</v>
      </c>
      <c r="O80" s="1">
        <f t="shared" si="2"/>
        <v>0.19097222200000002</v>
      </c>
      <c r="P80" s="1">
        <f t="shared" si="3"/>
        <v>9.0277778000000031E-2</v>
      </c>
    </row>
    <row r="81" spans="1:16" x14ac:dyDescent="0.25">
      <c r="A81" t="s">
        <v>35</v>
      </c>
      <c r="B81" s="1">
        <v>0.36458333300000001</v>
      </c>
      <c r="C81" t="s">
        <v>17</v>
      </c>
      <c r="D81" t="s">
        <v>21</v>
      </c>
      <c r="E81" t="s">
        <v>31</v>
      </c>
      <c r="F81" s="1">
        <v>0.52430555599999995</v>
      </c>
      <c r="G81" t="s">
        <v>36</v>
      </c>
      <c r="H81" s="1">
        <v>0.25694444399999999</v>
      </c>
      <c r="I81" t="s">
        <v>36</v>
      </c>
      <c r="J81" t="s">
        <v>21</v>
      </c>
      <c r="K81" t="s">
        <v>31</v>
      </c>
      <c r="L81" s="1">
        <v>0.39930555600000001</v>
      </c>
      <c r="M81" t="s">
        <v>17</v>
      </c>
      <c r="N81" s="6">
        <v>132732</v>
      </c>
      <c r="O81" s="1">
        <f t="shared" si="2"/>
        <v>0.15972222299999994</v>
      </c>
      <c r="P81" s="1">
        <f t="shared" si="3"/>
        <v>0.14236111200000001</v>
      </c>
    </row>
    <row r="82" spans="1:16" x14ac:dyDescent="0.25">
      <c r="A82" t="s">
        <v>16</v>
      </c>
      <c r="B82" s="1">
        <v>0.55555555599999995</v>
      </c>
      <c r="C82" t="s">
        <v>17</v>
      </c>
      <c r="D82" t="s">
        <v>18</v>
      </c>
      <c r="F82" s="1">
        <v>0.625</v>
      </c>
      <c r="G82" t="s">
        <v>32</v>
      </c>
      <c r="H82" s="1">
        <v>0.82638888899999996</v>
      </c>
      <c r="I82" t="s">
        <v>32</v>
      </c>
      <c r="J82" t="s">
        <v>18</v>
      </c>
      <c r="L82" s="1">
        <v>0.89583333300000001</v>
      </c>
      <c r="M82" t="s">
        <v>17</v>
      </c>
      <c r="N82" s="6">
        <v>54478</v>
      </c>
      <c r="O82" s="1">
        <f t="shared" si="2"/>
        <v>6.944444400000005E-2</v>
      </c>
      <c r="P82" s="1">
        <f t="shared" si="3"/>
        <v>6.944444400000005E-2</v>
      </c>
    </row>
    <row r="83" spans="1:16" x14ac:dyDescent="0.25">
      <c r="A83" t="s">
        <v>58</v>
      </c>
      <c r="B83" s="1">
        <v>0.39236111099999998</v>
      </c>
      <c r="C83" t="s">
        <v>17</v>
      </c>
      <c r="D83" t="s">
        <v>21</v>
      </c>
      <c r="E83" t="s">
        <v>61</v>
      </c>
      <c r="F83" s="1">
        <v>0.58680555599999995</v>
      </c>
      <c r="G83" t="s">
        <v>60</v>
      </c>
      <c r="H83" s="1">
        <v>0.90625</v>
      </c>
      <c r="I83" t="s">
        <v>60</v>
      </c>
      <c r="J83" t="s">
        <v>18</v>
      </c>
      <c r="L83" s="1">
        <v>0.95138888899999996</v>
      </c>
      <c r="M83" t="s">
        <v>17</v>
      </c>
      <c r="N83" s="6">
        <v>104954</v>
      </c>
      <c r="O83" s="1">
        <f t="shared" si="2"/>
        <v>0.19444444499999997</v>
      </c>
      <c r="P83" s="1">
        <f t="shared" si="3"/>
        <v>4.513888899999996E-2</v>
      </c>
    </row>
    <row r="84" spans="1:16" x14ac:dyDescent="0.25">
      <c r="A84" t="s">
        <v>43</v>
      </c>
      <c r="B84" s="1">
        <v>0.59722222199999997</v>
      </c>
      <c r="C84" t="s">
        <v>17</v>
      </c>
      <c r="D84" t="s">
        <v>18</v>
      </c>
      <c r="F84" s="1">
        <v>0.65972222199999997</v>
      </c>
      <c r="G84" t="s">
        <v>45</v>
      </c>
      <c r="H84" s="1">
        <v>0.53472222199999997</v>
      </c>
      <c r="I84" t="s">
        <v>45</v>
      </c>
      <c r="J84" t="s">
        <v>21</v>
      </c>
      <c r="K84" t="s">
        <v>62</v>
      </c>
      <c r="L84" s="1">
        <v>0.97916666699999999</v>
      </c>
      <c r="M84" t="s">
        <v>17</v>
      </c>
      <c r="N84" s="6">
        <v>145749</v>
      </c>
      <c r="O84" s="1">
        <f t="shared" si="2"/>
        <v>6.25E-2</v>
      </c>
      <c r="P84" s="1">
        <f t="shared" si="3"/>
        <v>0.44444444500000002</v>
      </c>
    </row>
    <row r="85" spans="1:16" x14ac:dyDescent="0.25">
      <c r="A85" t="s">
        <v>40</v>
      </c>
      <c r="B85" s="1">
        <v>0.42013888900000002</v>
      </c>
      <c r="C85" t="s">
        <v>17</v>
      </c>
      <c r="D85" t="s">
        <v>18</v>
      </c>
      <c r="F85" s="1">
        <v>0.48263888900000002</v>
      </c>
      <c r="G85" t="s">
        <v>42</v>
      </c>
      <c r="H85" s="1">
        <v>0.94791666699999999</v>
      </c>
      <c r="I85" t="s">
        <v>42</v>
      </c>
      <c r="J85" t="s">
        <v>21</v>
      </c>
      <c r="K85" t="s">
        <v>19</v>
      </c>
      <c r="L85" s="1">
        <v>0.44097222200000002</v>
      </c>
      <c r="M85" t="s">
        <v>17</v>
      </c>
      <c r="N85" s="6">
        <v>54715</v>
      </c>
      <c r="O85" s="1">
        <f t="shared" si="2"/>
        <v>6.25E-2</v>
      </c>
      <c r="P85" s="1">
        <f t="shared" si="3"/>
        <v>0.49305555499999998</v>
      </c>
    </row>
    <row r="86" spans="1:16" x14ac:dyDescent="0.25">
      <c r="A86" t="s">
        <v>43</v>
      </c>
      <c r="B86" s="1">
        <v>0.59722222199999997</v>
      </c>
      <c r="C86" t="s">
        <v>17</v>
      </c>
      <c r="D86" t="s">
        <v>18</v>
      </c>
      <c r="F86" s="1">
        <v>0.65972222199999997</v>
      </c>
      <c r="G86" t="s">
        <v>45</v>
      </c>
      <c r="H86" s="1">
        <v>0.53472222199999997</v>
      </c>
      <c r="I86" t="s">
        <v>45</v>
      </c>
      <c r="J86" t="s">
        <v>25</v>
      </c>
      <c r="K86" t="s">
        <v>46</v>
      </c>
      <c r="L86" s="1">
        <v>0.44097222200000002</v>
      </c>
      <c r="M86" t="s">
        <v>17</v>
      </c>
      <c r="N86" s="6">
        <v>115763</v>
      </c>
      <c r="O86" s="1">
        <f t="shared" si="2"/>
        <v>6.25E-2</v>
      </c>
      <c r="P86" s="1">
        <f t="shared" si="3"/>
        <v>0.90625</v>
      </c>
    </row>
    <row r="87" spans="1:16" x14ac:dyDescent="0.25">
      <c r="A87" t="s">
        <v>43</v>
      </c>
      <c r="B87" s="1">
        <v>0.59722222199999997</v>
      </c>
      <c r="C87" t="s">
        <v>17</v>
      </c>
      <c r="D87" t="s">
        <v>18</v>
      </c>
      <c r="F87" s="1">
        <v>0.65972222199999997</v>
      </c>
      <c r="G87" t="s">
        <v>45</v>
      </c>
      <c r="H87" s="1">
        <v>0.53472222199999997</v>
      </c>
      <c r="I87" t="s">
        <v>45</v>
      </c>
      <c r="J87" t="s">
        <v>25</v>
      </c>
      <c r="K87" t="s">
        <v>74</v>
      </c>
      <c r="L87" s="1">
        <v>0.56597222199999997</v>
      </c>
      <c r="M87" t="s">
        <v>17</v>
      </c>
      <c r="N87" s="6">
        <v>124920</v>
      </c>
      <c r="O87" s="1">
        <f t="shared" si="2"/>
        <v>6.25E-2</v>
      </c>
      <c r="P87" s="1">
        <f t="shared" si="3"/>
        <v>3.125E-2</v>
      </c>
    </row>
    <row r="88" spans="1:16" x14ac:dyDescent="0.25">
      <c r="A88" t="s">
        <v>69</v>
      </c>
      <c r="B88" s="1">
        <v>0.41319444399999999</v>
      </c>
      <c r="C88" t="s">
        <v>17</v>
      </c>
      <c r="D88" t="s">
        <v>18</v>
      </c>
      <c r="F88" s="1">
        <v>0.48611111099999998</v>
      </c>
      <c r="G88" t="s">
        <v>70</v>
      </c>
      <c r="H88" s="1">
        <v>0.26388888900000002</v>
      </c>
      <c r="I88" t="s">
        <v>70</v>
      </c>
      <c r="J88" t="s">
        <v>21</v>
      </c>
      <c r="K88" t="s">
        <v>62</v>
      </c>
      <c r="L88" s="1">
        <v>0.69097222199999997</v>
      </c>
      <c r="M88" t="s">
        <v>17</v>
      </c>
      <c r="N88" s="6">
        <v>74993</v>
      </c>
      <c r="O88" s="1">
        <f t="shared" si="2"/>
        <v>7.2916666999999991E-2</v>
      </c>
      <c r="P88" s="1">
        <f t="shared" si="3"/>
        <v>0.42708333299999995</v>
      </c>
    </row>
    <row r="89" spans="1:16" x14ac:dyDescent="0.25">
      <c r="A89" t="s">
        <v>16</v>
      </c>
      <c r="B89" s="1">
        <v>0.26041666699999999</v>
      </c>
      <c r="C89" t="s">
        <v>17</v>
      </c>
      <c r="D89" t="s">
        <v>18</v>
      </c>
      <c r="F89" s="1">
        <v>0.33680555600000001</v>
      </c>
      <c r="G89" t="s">
        <v>19</v>
      </c>
      <c r="H89" s="1">
        <v>0.36458333300000001</v>
      </c>
      <c r="I89" t="s">
        <v>19</v>
      </c>
      <c r="J89" t="s">
        <v>18</v>
      </c>
      <c r="L89" s="1">
        <v>0.44097222200000002</v>
      </c>
      <c r="M89" t="s">
        <v>17</v>
      </c>
      <c r="N89" s="6">
        <v>31209</v>
      </c>
      <c r="O89" s="1">
        <f t="shared" si="2"/>
        <v>7.6388889000000015E-2</v>
      </c>
      <c r="P89" s="1">
        <f t="shared" si="3"/>
        <v>7.6388889000000015E-2</v>
      </c>
    </row>
    <row r="90" spans="1:16" x14ac:dyDescent="0.25">
      <c r="A90" t="s">
        <v>43</v>
      </c>
      <c r="B90" s="1">
        <v>0.26041666699999999</v>
      </c>
      <c r="C90" t="s">
        <v>17</v>
      </c>
      <c r="D90" t="s">
        <v>25</v>
      </c>
      <c r="E90" t="s">
        <v>44</v>
      </c>
      <c r="F90" s="1">
        <v>0.51041666699999999</v>
      </c>
      <c r="G90" t="s">
        <v>45</v>
      </c>
      <c r="H90" s="1">
        <v>0.53472222199999997</v>
      </c>
      <c r="I90" t="s">
        <v>45</v>
      </c>
      <c r="J90" t="s">
        <v>25</v>
      </c>
      <c r="K90" t="s">
        <v>46</v>
      </c>
      <c r="L90" s="1">
        <v>0.44097222200000002</v>
      </c>
      <c r="M90" t="s">
        <v>17</v>
      </c>
      <c r="N90" s="6">
        <v>104753</v>
      </c>
      <c r="O90" s="1">
        <f t="shared" si="2"/>
        <v>0.25</v>
      </c>
      <c r="P90" s="1">
        <f t="shared" si="3"/>
        <v>0.90625</v>
      </c>
    </row>
    <row r="91" spans="1:16" x14ac:dyDescent="0.25">
      <c r="A91" t="s">
        <v>40</v>
      </c>
      <c r="B91" s="1">
        <v>0.46875</v>
      </c>
      <c r="C91" t="s">
        <v>17</v>
      </c>
      <c r="D91" t="s">
        <v>21</v>
      </c>
      <c r="E91" t="s">
        <v>49</v>
      </c>
      <c r="F91" s="1">
        <v>0.59375</v>
      </c>
      <c r="G91" t="s">
        <v>42</v>
      </c>
      <c r="H91" s="1">
        <v>0.54166666699999999</v>
      </c>
      <c r="I91" t="s">
        <v>42</v>
      </c>
      <c r="J91" t="s">
        <v>18</v>
      </c>
      <c r="L91" s="1">
        <v>0.60416666699999999</v>
      </c>
      <c r="M91" t="s">
        <v>17</v>
      </c>
      <c r="N91" s="6">
        <v>174771</v>
      </c>
      <c r="O91" s="1">
        <f t="shared" si="2"/>
        <v>0.125</v>
      </c>
      <c r="P91" s="1">
        <f t="shared" si="3"/>
        <v>6.25E-2</v>
      </c>
    </row>
    <row r="92" spans="1:16" x14ac:dyDescent="0.25">
      <c r="A92" t="s">
        <v>35</v>
      </c>
      <c r="B92" s="1">
        <v>0.46527777799999998</v>
      </c>
      <c r="C92" t="s">
        <v>17</v>
      </c>
      <c r="D92" t="s">
        <v>18</v>
      </c>
      <c r="F92" s="1">
        <v>0.54166666699999999</v>
      </c>
      <c r="G92" t="s">
        <v>36</v>
      </c>
      <c r="H92" s="1">
        <v>0.25694444399999999</v>
      </c>
      <c r="I92" t="s">
        <v>36</v>
      </c>
      <c r="J92" t="s">
        <v>21</v>
      </c>
      <c r="K92" t="s">
        <v>31</v>
      </c>
      <c r="L92" s="1">
        <v>0.39930555600000001</v>
      </c>
      <c r="M92" t="s">
        <v>17</v>
      </c>
      <c r="N92" s="6">
        <v>93113</v>
      </c>
      <c r="O92" s="1">
        <f t="shared" si="2"/>
        <v>7.6388889000000015E-2</v>
      </c>
      <c r="P92" s="1">
        <f t="shared" si="3"/>
        <v>0.14236111200000001</v>
      </c>
    </row>
    <row r="93" spans="1:16" x14ac:dyDescent="0.25">
      <c r="A93" t="s">
        <v>37</v>
      </c>
      <c r="B93" s="1">
        <v>0.44791666699999999</v>
      </c>
      <c r="C93" t="s">
        <v>17</v>
      </c>
      <c r="D93" t="s">
        <v>18</v>
      </c>
      <c r="F93" s="1">
        <v>0.52083333300000001</v>
      </c>
      <c r="G93" t="s">
        <v>38</v>
      </c>
      <c r="H93" s="1">
        <v>0.90625</v>
      </c>
      <c r="I93" t="s">
        <v>38</v>
      </c>
      <c r="J93" t="s">
        <v>18</v>
      </c>
      <c r="L93" s="1">
        <v>0.97569444400000005</v>
      </c>
      <c r="M93" t="s">
        <v>17</v>
      </c>
      <c r="N93" s="6">
        <v>54650</v>
      </c>
      <c r="O93" s="1">
        <f t="shared" si="2"/>
        <v>7.2916666000000019E-2</v>
      </c>
      <c r="P93" s="1">
        <f t="shared" si="3"/>
        <v>6.944444400000005E-2</v>
      </c>
    </row>
    <row r="94" spans="1:16" x14ac:dyDescent="0.25">
      <c r="A94" t="s">
        <v>28</v>
      </c>
      <c r="B94" s="1">
        <v>0.31944444399999999</v>
      </c>
      <c r="C94" t="s">
        <v>17</v>
      </c>
      <c r="D94" t="s">
        <v>21</v>
      </c>
      <c r="E94" t="s">
        <v>22</v>
      </c>
      <c r="F94" s="1">
        <v>0.50694444400000005</v>
      </c>
      <c r="G94" t="s">
        <v>29</v>
      </c>
      <c r="H94" s="1">
        <v>0.32638888900000002</v>
      </c>
      <c r="I94" t="s">
        <v>29</v>
      </c>
      <c r="J94" t="s">
        <v>21</v>
      </c>
      <c r="K94" t="s">
        <v>34</v>
      </c>
      <c r="L94" s="1">
        <v>0.56597222199999997</v>
      </c>
      <c r="M94" t="s">
        <v>17</v>
      </c>
      <c r="N94" s="6">
        <v>53391</v>
      </c>
      <c r="O94" s="1">
        <f t="shared" si="2"/>
        <v>0.18750000000000006</v>
      </c>
      <c r="P94" s="1">
        <f t="shared" si="3"/>
        <v>0.23958333299999995</v>
      </c>
    </row>
    <row r="95" spans="1:16" x14ac:dyDescent="0.25">
      <c r="A95" t="s">
        <v>28</v>
      </c>
      <c r="B95" s="1">
        <v>0.55902777800000003</v>
      </c>
      <c r="C95" t="s">
        <v>17</v>
      </c>
      <c r="D95" t="s">
        <v>21</v>
      </c>
      <c r="E95" t="s">
        <v>31</v>
      </c>
      <c r="F95" s="1">
        <v>0.73958333300000001</v>
      </c>
      <c r="G95" t="s">
        <v>29</v>
      </c>
      <c r="H95" s="1">
        <v>0.875</v>
      </c>
      <c r="I95" t="s">
        <v>29</v>
      </c>
      <c r="J95" t="s">
        <v>18</v>
      </c>
      <c r="L95" s="1">
        <v>0.96527777800000003</v>
      </c>
      <c r="M95" t="s">
        <v>17</v>
      </c>
      <c r="N95" s="6">
        <v>117592</v>
      </c>
      <c r="O95" s="1">
        <f t="shared" si="2"/>
        <v>0.18055555499999998</v>
      </c>
      <c r="P95" s="1">
        <f t="shared" si="3"/>
        <v>9.0277778000000031E-2</v>
      </c>
    </row>
    <row r="96" spans="1:16" x14ac:dyDescent="0.25">
      <c r="A96" t="s">
        <v>28</v>
      </c>
      <c r="B96" s="1">
        <v>0.31944444399999999</v>
      </c>
      <c r="C96" t="s">
        <v>17</v>
      </c>
      <c r="D96" t="s">
        <v>21</v>
      </c>
      <c r="E96" t="s">
        <v>22</v>
      </c>
      <c r="F96" s="1">
        <v>0.50694444400000005</v>
      </c>
      <c r="G96" t="s">
        <v>29</v>
      </c>
      <c r="H96" s="1">
        <v>0.80208333300000001</v>
      </c>
      <c r="I96" t="s">
        <v>29</v>
      </c>
      <c r="J96" t="s">
        <v>21</v>
      </c>
      <c r="K96" t="s">
        <v>19</v>
      </c>
      <c r="L96" s="1">
        <v>0.98263888899999996</v>
      </c>
      <c r="M96" t="s">
        <v>17</v>
      </c>
      <c r="N96" s="6">
        <v>61879</v>
      </c>
      <c r="O96" s="1">
        <f t="shared" si="2"/>
        <v>0.18750000000000006</v>
      </c>
      <c r="P96" s="1">
        <f t="shared" si="3"/>
        <v>0.18055555599999995</v>
      </c>
    </row>
    <row r="97" spans="1:16" x14ac:dyDescent="0.25">
      <c r="A97" t="s">
        <v>28</v>
      </c>
      <c r="B97" s="1">
        <v>0.31944444399999999</v>
      </c>
      <c r="C97" t="s">
        <v>17</v>
      </c>
      <c r="D97" t="s">
        <v>21</v>
      </c>
      <c r="E97" t="s">
        <v>22</v>
      </c>
      <c r="F97" s="1">
        <v>0.50694444400000005</v>
      </c>
      <c r="G97" t="s">
        <v>29</v>
      </c>
      <c r="H97" s="1">
        <v>0.39583333300000001</v>
      </c>
      <c r="I97" t="s">
        <v>29</v>
      </c>
      <c r="J97" t="s">
        <v>21</v>
      </c>
      <c r="K97" t="s">
        <v>34</v>
      </c>
      <c r="L97" s="1">
        <v>0.56597222199999997</v>
      </c>
      <c r="M97" t="s">
        <v>17</v>
      </c>
      <c r="N97" s="6">
        <v>58312</v>
      </c>
      <c r="O97" s="1">
        <f t="shared" si="2"/>
        <v>0.18750000000000006</v>
      </c>
      <c r="P97" s="1">
        <f t="shared" si="3"/>
        <v>0.17013888899999996</v>
      </c>
    </row>
    <row r="98" spans="1:16" x14ac:dyDescent="0.25">
      <c r="A98" t="s">
        <v>35</v>
      </c>
      <c r="B98" s="1">
        <v>0.46527777799999998</v>
      </c>
      <c r="C98" t="s">
        <v>17</v>
      </c>
      <c r="D98" t="s">
        <v>18</v>
      </c>
      <c r="F98" s="1">
        <v>0.54166666699999999</v>
      </c>
      <c r="G98" t="s">
        <v>36</v>
      </c>
      <c r="H98" s="1">
        <v>0.64236111100000004</v>
      </c>
      <c r="I98" t="s">
        <v>36</v>
      </c>
      <c r="J98" t="s">
        <v>21</v>
      </c>
      <c r="K98" t="s">
        <v>19</v>
      </c>
      <c r="L98" s="1">
        <v>0.98263888899999996</v>
      </c>
      <c r="M98" t="s">
        <v>17</v>
      </c>
      <c r="N98" s="6">
        <v>68946</v>
      </c>
      <c r="O98" s="1">
        <f t="shared" si="2"/>
        <v>7.6388889000000015E-2</v>
      </c>
      <c r="P98" s="1">
        <f t="shared" si="3"/>
        <v>0.34027777799999992</v>
      </c>
    </row>
    <row r="99" spans="1:16" x14ac:dyDescent="0.25">
      <c r="A99" t="s">
        <v>40</v>
      </c>
      <c r="B99" s="1">
        <v>0.42013888900000002</v>
      </c>
      <c r="C99" t="s">
        <v>17</v>
      </c>
      <c r="D99" t="s">
        <v>18</v>
      </c>
      <c r="F99" s="1">
        <v>0.48263888900000002</v>
      </c>
      <c r="G99" t="s">
        <v>42</v>
      </c>
      <c r="H99" s="1">
        <v>0.74305555599999995</v>
      </c>
      <c r="I99" t="s">
        <v>42</v>
      </c>
      <c r="J99" t="s">
        <v>21</v>
      </c>
      <c r="K99" t="s">
        <v>39</v>
      </c>
      <c r="L99" s="1">
        <v>0.97916666699999999</v>
      </c>
      <c r="M99" t="s">
        <v>17</v>
      </c>
      <c r="N99" s="6">
        <v>71191</v>
      </c>
      <c r="O99" s="1">
        <f t="shared" si="2"/>
        <v>6.25E-2</v>
      </c>
      <c r="P99" s="1">
        <f t="shared" si="3"/>
        <v>0.23611111100000004</v>
      </c>
    </row>
    <row r="100" spans="1:16" x14ac:dyDescent="0.25">
      <c r="A100" t="s">
        <v>43</v>
      </c>
      <c r="B100" s="1">
        <v>0.31944444399999999</v>
      </c>
      <c r="C100" t="s">
        <v>17</v>
      </c>
      <c r="D100" t="s">
        <v>25</v>
      </c>
      <c r="E100" t="s">
        <v>51</v>
      </c>
      <c r="F100" s="1">
        <v>0.63194444400000005</v>
      </c>
      <c r="G100" t="s">
        <v>45</v>
      </c>
      <c r="H100" s="1">
        <v>0.53472222199999997</v>
      </c>
      <c r="I100" t="s">
        <v>45</v>
      </c>
      <c r="J100" t="s">
        <v>21</v>
      </c>
      <c r="K100" t="s">
        <v>62</v>
      </c>
      <c r="L100" s="1">
        <v>0.97916666699999999</v>
      </c>
      <c r="M100" t="s">
        <v>17</v>
      </c>
      <c r="N100" s="6">
        <v>142911</v>
      </c>
      <c r="O100" s="1">
        <f t="shared" si="2"/>
        <v>0.31250000000000006</v>
      </c>
      <c r="P100" s="1">
        <f t="shared" si="3"/>
        <v>0.44444444500000002</v>
      </c>
    </row>
    <row r="101" spans="1:16" x14ac:dyDescent="0.25">
      <c r="A101" t="s">
        <v>40</v>
      </c>
      <c r="B101" s="1">
        <v>0.42013888900000002</v>
      </c>
      <c r="C101" t="s">
        <v>17</v>
      </c>
      <c r="D101" t="s">
        <v>18</v>
      </c>
      <c r="F101" s="1">
        <v>0.48263888900000002</v>
      </c>
      <c r="G101" t="s">
        <v>42</v>
      </c>
      <c r="H101" s="1">
        <v>0.54166666699999999</v>
      </c>
      <c r="I101" t="s">
        <v>42</v>
      </c>
      <c r="J101" t="s">
        <v>18</v>
      </c>
      <c r="L101" s="1">
        <v>0.60416666699999999</v>
      </c>
      <c r="M101" t="s">
        <v>17</v>
      </c>
      <c r="N101" s="6">
        <v>58201</v>
      </c>
      <c r="O101" s="1">
        <f t="shared" si="2"/>
        <v>6.25E-2</v>
      </c>
      <c r="P101" s="1">
        <f t="shared" si="3"/>
        <v>6.25E-2</v>
      </c>
    </row>
    <row r="102" spans="1:16" x14ac:dyDescent="0.25">
      <c r="A102" t="s">
        <v>16</v>
      </c>
      <c r="B102" s="1">
        <v>0.80902777800000003</v>
      </c>
      <c r="C102" t="s">
        <v>17</v>
      </c>
      <c r="D102" t="s">
        <v>18</v>
      </c>
      <c r="F102" s="1">
        <v>0.87847222199999997</v>
      </c>
      <c r="G102" t="s">
        <v>32</v>
      </c>
      <c r="H102" s="1">
        <v>0.34375</v>
      </c>
      <c r="I102" t="s">
        <v>32</v>
      </c>
      <c r="J102" t="s">
        <v>18</v>
      </c>
      <c r="L102" s="1">
        <v>0.41319444399999999</v>
      </c>
      <c r="M102" t="s">
        <v>17</v>
      </c>
      <c r="N102" s="6">
        <v>50248</v>
      </c>
      <c r="O102" s="1">
        <f t="shared" si="2"/>
        <v>6.9444443999999939E-2</v>
      </c>
      <c r="P102" s="1">
        <f t="shared" si="3"/>
        <v>6.9444443999999994E-2</v>
      </c>
    </row>
    <row r="103" spans="1:16" x14ac:dyDescent="0.25">
      <c r="A103" t="s">
        <v>20</v>
      </c>
      <c r="B103" s="1">
        <v>0.31944444399999999</v>
      </c>
      <c r="C103" t="s">
        <v>17</v>
      </c>
      <c r="D103" t="s">
        <v>21</v>
      </c>
      <c r="E103" t="s">
        <v>22</v>
      </c>
      <c r="F103" s="1">
        <v>0.52430555599999995</v>
      </c>
      <c r="G103" t="s">
        <v>23</v>
      </c>
      <c r="H103" s="1">
        <v>0.80555555599999995</v>
      </c>
      <c r="I103" t="s">
        <v>23</v>
      </c>
      <c r="J103" t="s">
        <v>21</v>
      </c>
      <c r="K103" t="s">
        <v>19</v>
      </c>
      <c r="L103" s="1">
        <v>0.98263888899999996</v>
      </c>
      <c r="M103" t="s">
        <v>17</v>
      </c>
      <c r="N103" s="6">
        <v>72723</v>
      </c>
      <c r="O103" s="1">
        <f t="shared" si="2"/>
        <v>0.20486111199999996</v>
      </c>
      <c r="P103" s="1">
        <f t="shared" si="3"/>
        <v>0.17708333300000001</v>
      </c>
    </row>
    <row r="104" spans="1:16" x14ac:dyDescent="0.25">
      <c r="A104" t="s">
        <v>24</v>
      </c>
      <c r="B104" s="1">
        <v>0.26041666699999999</v>
      </c>
      <c r="C104" t="s">
        <v>17</v>
      </c>
      <c r="D104" t="s">
        <v>21</v>
      </c>
      <c r="E104" t="s">
        <v>19</v>
      </c>
      <c r="F104" s="1">
        <v>0.58680555599999995</v>
      </c>
      <c r="G104" t="s">
        <v>27</v>
      </c>
      <c r="H104" s="1">
        <v>0.87152777800000003</v>
      </c>
      <c r="I104" t="s">
        <v>27</v>
      </c>
      <c r="J104" t="s">
        <v>21</v>
      </c>
      <c r="K104" t="s">
        <v>22</v>
      </c>
      <c r="L104" s="1">
        <v>0.30902777799999998</v>
      </c>
      <c r="M104" t="s">
        <v>17</v>
      </c>
      <c r="N104" s="6">
        <v>75323</v>
      </c>
      <c r="O104" s="1">
        <f t="shared" si="2"/>
        <v>0.32638888899999996</v>
      </c>
      <c r="P104" s="1">
        <f t="shared" si="3"/>
        <v>0.4375</v>
      </c>
    </row>
    <row r="105" spans="1:16" x14ac:dyDescent="0.25">
      <c r="A105" t="s">
        <v>37</v>
      </c>
      <c r="B105" s="1">
        <v>0.80902777800000003</v>
      </c>
      <c r="C105" t="s">
        <v>17</v>
      </c>
      <c r="D105" t="s">
        <v>18</v>
      </c>
      <c r="F105" s="1">
        <v>0.88194444400000005</v>
      </c>
      <c r="G105" t="s">
        <v>38</v>
      </c>
      <c r="H105" s="1">
        <v>0.625</v>
      </c>
      <c r="I105" t="s">
        <v>38</v>
      </c>
      <c r="J105" t="s">
        <v>18</v>
      </c>
      <c r="L105" s="1">
        <v>0.69444444400000005</v>
      </c>
      <c r="M105" t="s">
        <v>17</v>
      </c>
      <c r="N105" s="6">
        <v>56053</v>
      </c>
      <c r="O105" s="1">
        <f t="shared" si="2"/>
        <v>7.2916666000000019E-2</v>
      </c>
      <c r="P105" s="1">
        <f t="shared" si="3"/>
        <v>6.944444400000005E-2</v>
      </c>
    </row>
    <row r="106" spans="1:16" x14ac:dyDescent="0.25">
      <c r="A106" t="s">
        <v>69</v>
      </c>
      <c r="B106" s="1">
        <v>0.25347222200000002</v>
      </c>
      <c r="C106" t="s">
        <v>17</v>
      </c>
      <c r="D106" t="s">
        <v>25</v>
      </c>
      <c r="E106" t="s">
        <v>59</v>
      </c>
      <c r="F106" s="1">
        <v>0.73263888899999996</v>
      </c>
      <c r="G106" t="s">
        <v>70</v>
      </c>
      <c r="H106" s="1">
        <v>0.76041666699999999</v>
      </c>
      <c r="I106" t="s">
        <v>70</v>
      </c>
      <c r="J106" t="s">
        <v>21</v>
      </c>
      <c r="K106" t="s">
        <v>61</v>
      </c>
      <c r="L106" s="1">
        <v>0.99305555599999995</v>
      </c>
      <c r="M106" t="s">
        <v>17</v>
      </c>
      <c r="N106" s="6">
        <v>104800</v>
      </c>
      <c r="O106" s="1">
        <f t="shared" si="2"/>
        <v>0.47916666699999994</v>
      </c>
      <c r="P106" s="1">
        <f t="shared" si="3"/>
        <v>0.23263888899999996</v>
      </c>
    </row>
    <row r="107" spans="1:16" x14ac:dyDescent="0.25">
      <c r="A107" t="s">
        <v>16</v>
      </c>
      <c r="B107" s="1">
        <v>0.26041666699999999</v>
      </c>
      <c r="C107" t="s">
        <v>17</v>
      </c>
      <c r="D107" t="s">
        <v>18</v>
      </c>
      <c r="F107" s="1">
        <v>0.33680555600000001</v>
      </c>
      <c r="G107" t="s">
        <v>19</v>
      </c>
      <c r="H107" s="1">
        <v>0.90625</v>
      </c>
      <c r="I107" t="s">
        <v>19</v>
      </c>
      <c r="J107" t="s">
        <v>18</v>
      </c>
      <c r="L107" s="1">
        <v>0.98263888899999996</v>
      </c>
      <c r="M107" t="s">
        <v>17</v>
      </c>
      <c r="N107" s="6">
        <v>31209</v>
      </c>
      <c r="O107" s="1">
        <f t="shared" si="2"/>
        <v>7.6388889000000015E-2</v>
      </c>
      <c r="P107" s="1">
        <f t="shared" si="3"/>
        <v>7.638888899999996E-2</v>
      </c>
    </row>
    <row r="108" spans="1:16" x14ac:dyDescent="0.25">
      <c r="A108" t="s">
        <v>35</v>
      </c>
      <c r="B108" s="1">
        <v>0.46527777799999998</v>
      </c>
      <c r="C108" t="s">
        <v>17</v>
      </c>
      <c r="D108" t="s">
        <v>18</v>
      </c>
      <c r="F108" s="1">
        <v>0.54166666699999999</v>
      </c>
      <c r="G108" t="s">
        <v>36</v>
      </c>
      <c r="H108" s="1">
        <v>0.55208333300000001</v>
      </c>
      <c r="I108" t="s">
        <v>36</v>
      </c>
      <c r="J108" t="s">
        <v>21</v>
      </c>
      <c r="K108" t="s">
        <v>31</v>
      </c>
      <c r="L108" s="1">
        <v>0.70138888899999996</v>
      </c>
      <c r="M108" t="s">
        <v>17</v>
      </c>
      <c r="N108" s="6">
        <v>236607</v>
      </c>
      <c r="O108" s="1">
        <f t="shared" si="2"/>
        <v>7.6388889000000015E-2</v>
      </c>
      <c r="P108" s="1">
        <f t="shared" si="3"/>
        <v>0.14930555599999995</v>
      </c>
    </row>
    <row r="109" spans="1:16" x14ac:dyDescent="0.25">
      <c r="A109" t="s">
        <v>37</v>
      </c>
      <c r="B109" s="1">
        <v>0.46527777799999998</v>
      </c>
      <c r="C109" t="s">
        <v>17</v>
      </c>
      <c r="D109" t="s">
        <v>18</v>
      </c>
      <c r="F109" s="1">
        <v>0.53472222199999997</v>
      </c>
      <c r="G109" t="s">
        <v>39</v>
      </c>
      <c r="H109" s="1">
        <v>0.91319444400000005</v>
      </c>
      <c r="I109" t="s">
        <v>39</v>
      </c>
      <c r="J109" t="s">
        <v>18</v>
      </c>
      <c r="L109" s="1">
        <v>0.97916666699999999</v>
      </c>
      <c r="M109" t="s">
        <v>17</v>
      </c>
      <c r="N109" s="6">
        <v>56639</v>
      </c>
      <c r="O109" s="1">
        <f t="shared" si="2"/>
        <v>6.9444443999999994E-2</v>
      </c>
      <c r="P109" s="1">
        <f t="shared" si="3"/>
        <v>6.5972222999999941E-2</v>
      </c>
    </row>
    <row r="110" spans="1:16" x14ac:dyDescent="0.25">
      <c r="A110" t="s">
        <v>24</v>
      </c>
      <c r="B110" s="1">
        <v>0.26041666699999999</v>
      </c>
      <c r="C110" t="s">
        <v>17</v>
      </c>
      <c r="D110" t="s">
        <v>21</v>
      </c>
      <c r="E110" t="s">
        <v>19</v>
      </c>
      <c r="F110" s="1">
        <v>0.58680555599999995</v>
      </c>
      <c r="G110" t="s">
        <v>27</v>
      </c>
      <c r="H110" s="1">
        <v>0.79166666699999999</v>
      </c>
      <c r="I110" t="s">
        <v>27</v>
      </c>
      <c r="J110" t="s">
        <v>21</v>
      </c>
      <c r="K110" t="s">
        <v>19</v>
      </c>
      <c r="L110" s="1">
        <v>0.98263888899999996</v>
      </c>
      <c r="M110" t="s">
        <v>17</v>
      </c>
      <c r="N110" s="6">
        <v>93879</v>
      </c>
      <c r="O110" s="1">
        <f t="shared" si="2"/>
        <v>0.32638888899999996</v>
      </c>
      <c r="P110" s="1">
        <f t="shared" si="3"/>
        <v>0.19097222199999997</v>
      </c>
    </row>
    <row r="111" spans="1:16" x14ac:dyDescent="0.25">
      <c r="A111" t="s">
        <v>54</v>
      </c>
      <c r="B111" s="1">
        <v>0.246527778</v>
      </c>
      <c r="C111" t="s">
        <v>17</v>
      </c>
      <c r="D111" t="s">
        <v>18</v>
      </c>
      <c r="F111" s="1">
        <v>0.31597222200000002</v>
      </c>
      <c r="G111" t="s">
        <v>34</v>
      </c>
      <c r="H111" s="1">
        <v>0.5</v>
      </c>
      <c r="I111" t="s">
        <v>34</v>
      </c>
      <c r="J111" t="s">
        <v>18</v>
      </c>
      <c r="L111" s="1">
        <v>0.56597222199999997</v>
      </c>
      <c r="M111" t="s">
        <v>17</v>
      </c>
      <c r="N111" s="6">
        <v>44908</v>
      </c>
      <c r="O111" s="1">
        <f t="shared" si="2"/>
        <v>6.9444444000000022E-2</v>
      </c>
      <c r="P111" s="1">
        <f t="shared" si="3"/>
        <v>6.5972221999999969E-2</v>
      </c>
    </row>
    <row r="112" spans="1:16" x14ac:dyDescent="0.25">
      <c r="A112" t="s">
        <v>69</v>
      </c>
      <c r="B112" s="1">
        <v>0.39236111099999998</v>
      </c>
      <c r="C112" t="s">
        <v>17</v>
      </c>
      <c r="D112" t="s">
        <v>21</v>
      </c>
      <c r="E112" t="s">
        <v>61</v>
      </c>
      <c r="F112" s="1">
        <v>0.73263888899999996</v>
      </c>
      <c r="G112" t="s">
        <v>70</v>
      </c>
      <c r="H112" s="1">
        <v>0.76041666699999999</v>
      </c>
      <c r="I112" t="s">
        <v>70</v>
      </c>
      <c r="J112" t="s">
        <v>21</v>
      </c>
      <c r="K112" t="s">
        <v>61</v>
      </c>
      <c r="L112" s="1">
        <v>0.99305555599999995</v>
      </c>
      <c r="M112" t="s">
        <v>17</v>
      </c>
      <c r="N112" s="6">
        <v>97509</v>
      </c>
      <c r="O112" s="1">
        <f t="shared" si="2"/>
        <v>0.34027777799999998</v>
      </c>
      <c r="P112" s="1">
        <f t="shared" si="3"/>
        <v>0.23263888899999996</v>
      </c>
    </row>
    <row r="113" spans="1:16" x14ac:dyDescent="0.25">
      <c r="A113" t="s">
        <v>40</v>
      </c>
      <c r="B113" s="1">
        <v>0.48611111099999998</v>
      </c>
      <c r="C113" t="s">
        <v>17</v>
      </c>
      <c r="D113" t="s">
        <v>18</v>
      </c>
      <c r="F113" s="1">
        <v>0.55208333300000001</v>
      </c>
      <c r="G113" t="s">
        <v>42</v>
      </c>
      <c r="H113" s="1">
        <v>0.80902777800000003</v>
      </c>
      <c r="I113" t="s">
        <v>42</v>
      </c>
      <c r="J113" t="s">
        <v>21</v>
      </c>
      <c r="K113" t="s">
        <v>19</v>
      </c>
      <c r="L113" s="1">
        <v>0.98263888899999996</v>
      </c>
      <c r="M113" t="s">
        <v>17</v>
      </c>
      <c r="N113" s="6">
        <v>67618</v>
      </c>
      <c r="O113" s="1">
        <f t="shared" si="2"/>
        <v>6.5972222000000025E-2</v>
      </c>
      <c r="P113" s="1">
        <f t="shared" si="3"/>
        <v>0.17361111099999993</v>
      </c>
    </row>
    <row r="114" spans="1:16" x14ac:dyDescent="0.25">
      <c r="A114" t="s">
        <v>43</v>
      </c>
      <c r="B114" s="1">
        <v>0.6875</v>
      </c>
      <c r="C114" t="s">
        <v>17</v>
      </c>
      <c r="D114" t="s">
        <v>25</v>
      </c>
      <c r="E114" t="s">
        <v>75</v>
      </c>
      <c r="F114" s="1">
        <v>0.51041666699999999</v>
      </c>
      <c r="G114" t="s">
        <v>45</v>
      </c>
      <c r="H114" s="1">
        <v>0.53472222199999997</v>
      </c>
      <c r="I114" t="s">
        <v>45</v>
      </c>
      <c r="J114" t="s">
        <v>25</v>
      </c>
      <c r="K114" t="s">
        <v>46</v>
      </c>
      <c r="L114" s="1">
        <v>0.44097222200000002</v>
      </c>
      <c r="M114" t="s">
        <v>17</v>
      </c>
      <c r="N114" s="6">
        <v>113732</v>
      </c>
      <c r="O114" s="1">
        <f t="shared" si="2"/>
        <v>0.82291666699999999</v>
      </c>
      <c r="P114" s="1">
        <f t="shared" si="3"/>
        <v>0.90625</v>
      </c>
    </row>
    <row r="115" spans="1:16" x14ac:dyDescent="0.25">
      <c r="A115" t="s">
        <v>37</v>
      </c>
      <c r="B115" s="1">
        <v>0.80902777800000003</v>
      </c>
      <c r="C115" t="s">
        <v>17</v>
      </c>
      <c r="D115" t="s">
        <v>18</v>
      </c>
      <c r="F115" s="1">
        <v>0.88194444400000005</v>
      </c>
      <c r="G115" t="s">
        <v>38</v>
      </c>
      <c r="H115" s="1">
        <v>0.90625</v>
      </c>
      <c r="I115" t="s">
        <v>38</v>
      </c>
      <c r="J115" t="s">
        <v>18</v>
      </c>
      <c r="L115" s="1">
        <v>0.97569444400000005</v>
      </c>
      <c r="M115" t="s">
        <v>17</v>
      </c>
      <c r="N115" s="6">
        <v>56053</v>
      </c>
      <c r="O115" s="1">
        <f t="shared" si="2"/>
        <v>7.2916666000000019E-2</v>
      </c>
      <c r="P115" s="1">
        <f t="shared" si="3"/>
        <v>6.944444400000005E-2</v>
      </c>
    </row>
    <row r="116" spans="1:16" x14ac:dyDescent="0.25">
      <c r="A116" t="s">
        <v>40</v>
      </c>
      <c r="B116" s="1">
        <v>0.42013888900000002</v>
      </c>
      <c r="C116" t="s">
        <v>17</v>
      </c>
      <c r="D116" t="s">
        <v>18</v>
      </c>
      <c r="F116" s="1">
        <v>0.48263888900000002</v>
      </c>
      <c r="G116" t="s">
        <v>42</v>
      </c>
      <c r="H116" s="1">
        <v>0.80902777800000003</v>
      </c>
      <c r="I116" t="s">
        <v>42</v>
      </c>
      <c r="J116" t="s">
        <v>21</v>
      </c>
      <c r="K116" t="s">
        <v>19</v>
      </c>
      <c r="L116" s="1">
        <v>0.98263888899999996</v>
      </c>
      <c r="M116" t="s">
        <v>17</v>
      </c>
      <c r="N116" s="6">
        <v>63310</v>
      </c>
      <c r="O116" s="1">
        <f t="shared" si="2"/>
        <v>6.25E-2</v>
      </c>
      <c r="P116" s="1">
        <f t="shared" si="3"/>
        <v>0.17361111099999993</v>
      </c>
    </row>
    <row r="117" spans="1:16" x14ac:dyDescent="0.25">
      <c r="A117" t="s">
        <v>20</v>
      </c>
      <c r="B117" s="1">
        <v>0.83333333300000001</v>
      </c>
      <c r="C117" t="s">
        <v>17</v>
      </c>
      <c r="D117" t="s">
        <v>21</v>
      </c>
      <c r="E117" t="s">
        <v>30</v>
      </c>
      <c r="F117" s="1">
        <v>0.36805555600000001</v>
      </c>
      <c r="G117" t="s">
        <v>23</v>
      </c>
      <c r="H117" s="1">
        <v>0.74652777800000003</v>
      </c>
      <c r="I117" t="s">
        <v>23</v>
      </c>
      <c r="J117" t="s">
        <v>21</v>
      </c>
      <c r="K117" t="s">
        <v>31</v>
      </c>
      <c r="L117" s="1">
        <v>0.98263888899999996</v>
      </c>
      <c r="M117" t="s">
        <v>17</v>
      </c>
      <c r="N117" s="6">
        <v>103400</v>
      </c>
      <c r="O117" s="1">
        <f t="shared" si="2"/>
        <v>0.53472222299999994</v>
      </c>
      <c r="P117" s="1">
        <f t="shared" si="3"/>
        <v>0.23611111099999993</v>
      </c>
    </row>
    <row r="118" spans="1:16" x14ac:dyDescent="0.25">
      <c r="A118" t="s">
        <v>69</v>
      </c>
      <c r="B118" s="1">
        <v>0.41319444399999999</v>
      </c>
      <c r="C118" t="s">
        <v>17</v>
      </c>
      <c r="D118" t="s">
        <v>18</v>
      </c>
      <c r="F118" s="1">
        <v>0.48611111099999998</v>
      </c>
      <c r="G118" t="s">
        <v>70</v>
      </c>
      <c r="H118" s="1">
        <v>0.76041666699999999</v>
      </c>
      <c r="I118" t="s">
        <v>70</v>
      </c>
      <c r="J118" t="s">
        <v>21</v>
      </c>
      <c r="K118" t="s">
        <v>61</v>
      </c>
      <c r="L118" s="1">
        <v>0.99305555599999995</v>
      </c>
      <c r="M118" t="s">
        <v>17</v>
      </c>
      <c r="N118" s="6">
        <v>150201</v>
      </c>
      <c r="O118" s="1">
        <f t="shared" si="2"/>
        <v>7.2916666999999991E-2</v>
      </c>
      <c r="P118" s="1">
        <f t="shared" si="3"/>
        <v>0.23263888899999996</v>
      </c>
    </row>
    <row r="119" spans="1:16" x14ac:dyDescent="0.25">
      <c r="A119" t="s">
        <v>50</v>
      </c>
      <c r="B119" s="1">
        <v>0.79513888899999996</v>
      </c>
      <c r="C119" t="s">
        <v>17</v>
      </c>
      <c r="D119" t="s">
        <v>21</v>
      </c>
      <c r="E119" t="s">
        <v>48</v>
      </c>
      <c r="F119" s="1">
        <v>0.30555555600000001</v>
      </c>
      <c r="G119" t="s">
        <v>52</v>
      </c>
      <c r="H119" s="1">
        <v>0.34375</v>
      </c>
      <c r="I119" t="s">
        <v>52</v>
      </c>
      <c r="J119" t="s">
        <v>18</v>
      </c>
      <c r="L119" s="1">
        <v>0.42708333300000001</v>
      </c>
      <c r="M119" t="s">
        <v>17</v>
      </c>
      <c r="N119" s="6">
        <v>102062</v>
      </c>
      <c r="O119" s="1">
        <f t="shared" si="2"/>
        <v>0.5104166670000001</v>
      </c>
      <c r="P119" s="1">
        <f t="shared" si="3"/>
        <v>8.3333333000000009E-2</v>
      </c>
    </row>
    <row r="120" spans="1:16" x14ac:dyDescent="0.25">
      <c r="A120" t="s">
        <v>47</v>
      </c>
      <c r="B120" s="1">
        <v>0.26041666699999999</v>
      </c>
      <c r="C120" t="s">
        <v>17</v>
      </c>
      <c r="D120" t="s">
        <v>21</v>
      </c>
      <c r="E120" t="s">
        <v>19</v>
      </c>
      <c r="F120" s="1">
        <v>0.42708333300000001</v>
      </c>
      <c r="G120" t="s">
        <v>48</v>
      </c>
      <c r="H120" s="1">
        <v>0.81944444400000005</v>
      </c>
      <c r="I120" t="s">
        <v>48</v>
      </c>
      <c r="J120" t="s">
        <v>21</v>
      </c>
      <c r="K120" t="s">
        <v>19</v>
      </c>
      <c r="L120" s="1">
        <v>0.98263888899999996</v>
      </c>
      <c r="M120" t="s">
        <v>17</v>
      </c>
      <c r="N120" s="6">
        <v>95170</v>
      </c>
      <c r="O120" s="1">
        <f t="shared" si="2"/>
        <v>0.16666666600000002</v>
      </c>
      <c r="P120" s="1">
        <f t="shared" si="3"/>
        <v>0.16319444499999991</v>
      </c>
    </row>
    <row r="121" spans="1:16" x14ac:dyDescent="0.25">
      <c r="A121" t="s">
        <v>37</v>
      </c>
      <c r="B121" s="1">
        <v>0.25694444399999999</v>
      </c>
      <c r="C121" t="s">
        <v>17</v>
      </c>
      <c r="D121" t="s">
        <v>18</v>
      </c>
      <c r="F121" s="1">
        <v>0.32986111099999998</v>
      </c>
      <c r="G121" t="s">
        <v>38</v>
      </c>
      <c r="H121" s="1">
        <v>0.625</v>
      </c>
      <c r="I121" t="s">
        <v>38</v>
      </c>
      <c r="J121" t="s">
        <v>18</v>
      </c>
      <c r="L121" s="1">
        <v>0.69444444400000005</v>
      </c>
      <c r="M121" t="s">
        <v>17</v>
      </c>
      <c r="N121" s="6">
        <v>50148</v>
      </c>
      <c r="O121" s="1">
        <f t="shared" si="2"/>
        <v>7.2916666999999991E-2</v>
      </c>
      <c r="P121" s="1">
        <f t="shared" si="3"/>
        <v>6.944444400000005E-2</v>
      </c>
    </row>
    <row r="122" spans="1:16" x14ac:dyDescent="0.25">
      <c r="A122" t="s">
        <v>69</v>
      </c>
      <c r="B122" s="1">
        <v>0.35069444399999999</v>
      </c>
      <c r="C122" t="s">
        <v>17</v>
      </c>
      <c r="D122" t="s">
        <v>25</v>
      </c>
      <c r="E122" t="s">
        <v>59</v>
      </c>
      <c r="F122" s="1">
        <v>0.73263888899999996</v>
      </c>
      <c r="G122" t="s">
        <v>70</v>
      </c>
      <c r="H122" s="1">
        <v>0.76041666699999999</v>
      </c>
      <c r="I122" t="s">
        <v>70</v>
      </c>
      <c r="J122" t="s">
        <v>21</v>
      </c>
      <c r="K122" t="s">
        <v>61</v>
      </c>
      <c r="L122" s="1">
        <v>0.99305555599999995</v>
      </c>
      <c r="M122" t="s">
        <v>17</v>
      </c>
      <c r="N122" s="6">
        <v>113921</v>
      </c>
      <c r="O122" s="1">
        <f t="shared" si="2"/>
        <v>0.38194444499999997</v>
      </c>
      <c r="P122" s="1">
        <f t="shared" si="3"/>
        <v>0.23263888899999996</v>
      </c>
    </row>
    <row r="123" spans="1:16" x14ac:dyDescent="0.25">
      <c r="A123" t="s">
        <v>24</v>
      </c>
      <c r="B123" s="1">
        <v>0.46527777799999998</v>
      </c>
      <c r="C123" t="s">
        <v>17</v>
      </c>
      <c r="D123" t="s">
        <v>21</v>
      </c>
      <c r="E123" t="s">
        <v>39</v>
      </c>
      <c r="F123" s="1">
        <v>0.69791666699999999</v>
      </c>
      <c r="G123" t="s">
        <v>27</v>
      </c>
      <c r="H123" s="1">
        <v>0.73958333300000001</v>
      </c>
      <c r="I123" t="s">
        <v>27</v>
      </c>
      <c r="J123" t="s">
        <v>21</v>
      </c>
      <c r="K123" t="s">
        <v>39</v>
      </c>
      <c r="L123" s="1">
        <v>0.97916666699999999</v>
      </c>
      <c r="M123" t="s">
        <v>17</v>
      </c>
      <c r="N123" s="6">
        <v>114427</v>
      </c>
      <c r="O123" s="1">
        <f t="shared" si="2"/>
        <v>0.23263888900000002</v>
      </c>
      <c r="P123" s="1">
        <f t="shared" si="3"/>
        <v>0.23958333399999998</v>
      </c>
    </row>
    <row r="124" spans="1:16" x14ac:dyDescent="0.25">
      <c r="A124" t="s">
        <v>47</v>
      </c>
      <c r="B124" s="1">
        <v>0.46875</v>
      </c>
      <c r="C124" t="s">
        <v>17</v>
      </c>
      <c r="D124" t="s">
        <v>21</v>
      </c>
      <c r="E124" t="s">
        <v>49</v>
      </c>
      <c r="F124" s="1">
        <v>0.78819444400000005</v>
      </c>
      <c r="G124" t="s">
        <v>48</v>
      </c>
      <c r="H124" s="1">
        <v>0.81597222199999997</v>
      </c>
      <c r="I124" t="s">
        <v>48</v>
      </c>
      <c r="J124" t="s">
        <v>21</v>
      </c>
      <c r="K124" t="s">
        <v>49</v>
      </c>
      <c r="L124" s="1">
        <v>0.93402777800000003</v>
      </c>
      <c r="M124" t="s">
        <v>17</v>
      </c>
      <c r="N124" s="6">
        <v>76000</v>
      </c>
      <c r="O124" s="1">
        <f t="shared" si="2"/>
        <v>0.31944444400000005</v>
      </c>
      <c r="P124" s="1">
        <f t="shared" si="3"/>
        <v>0.11805555600000006</v>
      </c>
    </row>
    <row r="125" spans="1:16" x14ac:dyDescent="0.25">
      <c r="A125" t="s">
        <v>28</v>
      </c>
      <c r="B125" s="1">
        <v>0.78472222199999997</v>
      </c>
      <c r="C125" t="s">
        <v>17</v>
      </c>
      <c r="D125" t="s">
        <v>18</v>
      </c>
      <c r="F125" s="1">
        <v>0.875</v>
      </c>
      <c r="G125" t="s">
        <v>29</v>
      </c>
      <c r="H125" s="1">
        <v>0.60763888899999996</v>
      </c>
      <c r="I125" t="s">
        <v>29</v>
      </c>
      <c r="J125" t="s">
        <v>21</v>
      </c>
      <c r="K125" t="s">
        <v>33</v>
      </c>
      <c r="L125" s="1">
        <v>0.79861111100000004</v>
      </c>
      <c r="M125" t="s">
        <v>17</v>
      </c>
      <c r="N125" s="6">
        <v>65537</v>
      </c>
      <c r="O125" s="1">
        <f t="shared" si="2"/>
        <v>9.0277778000000031E-2</v>
      </c>
      <c r="P125" s="1">
        <f t="shared" si="3"/>
        <v>0.19097222200000008</v>
      </c>
    </row>
    <row r="126" spans="1:16" x14ac:dyDescent="0.25">
      <c r="A126" t="s">
        <v>58</v>
      </c>
      <c r="B126" s="1">
        <v>0.26041666699999999</v>
      </c>
      <c r="C126" t="s">
        <v>17</v>
      </c>
      <c r="D126" t="s">
        <v>21</v>
      </c>
      <c r="E126" t="s">
        <v>19</v>
      </c>
      <c r="F126" s="1">
        <v>0.43402777799999998</v>
      </c>
      <c r="G126" t="s">
        <v>60</v>
      </c>
      <c r="H126" s="1">
        <v>0.90625</v>
      </c>
      <c r="I126" t="s">
        <v>60</v>
      </c>
      <c r="J126" t="s">
        <v>18</v>
      </c>
      <c r="L126" s="1">
        <v>0.95138888899999996</v>
      </c>
      <c r="M126" t="s">
        <v>17</v>
      </c>
      <c r="N126" s="6">
        <v>75617</v>
      </c>
      <c r="O126" s="1">
        <f t="shared" si="2"/>
        <v>0.17361111099999998</v>
      </c>
      <c r="P126" s="1">
        <f t="shared" si="3"/>
        <v>4.513888899999996E-2</v>
      </c>
    </row>
    <row r="127" spans="1:16" x14ac:dyDescent="0.25">
      <c r="A127" t="s">
        <v>35</v>
      </c>
      <c r="B127" s="1">
        <v>0.35069444399999999</v>
      </c>
      <c r="C127" t="s">
        <v>17</v>
      </c>
      <c r="D127" t="s">
        <v>21</v>
      </c>
      <c r="E127" t="s">
        <v>31</v>
      </c>
      <c r="F127" s="1">
        <v>0.52430555599999995</v>
      </c>
      <c r="G127" t="s">
        <v>36</v>
      </c>
      <c r="H127" s="1">
        <v>0.55208333300000001</v>
      </c>
      <c r="I127" t="s">
        <v>36</v>
      </c>
      <c r="J127" t="s">
        <v>21</v>
      </c>
      <c r="K127" t="s">
        <v>31</v>
      </c>
      <c r="L127" s="1">
        <v>0.70138888899999996</v>
      </c>
      <c r="M127" t="s">
        <v>17</v>
      </c>
      <c r="N127" s="6">
        <v>187663</v>
      </c>
      <c r="O127" s="1">
        <f t="shared" si="2"/>
        <v>0.17361111199999996</v>
      </c>
      <c r="P127" s="1">
        <f t="shared" si="3"/>
        <v>0.14930555599999995</v>
      </c>
    </row>
    <row r="128" spans="1:16" x14ac:dyDescent="0.25">
      <c r="A128" t="s">
        <v>37</v>
      </c>
      <c r="B128" s="1">
        <v>0.44791666699999999</v>
      </c>
      <c r="C128" t="s">
        <v>17</v>
      </c>
      <c r="D128" t="s">
        <v>18</v>
      </c>
      <c r="F128" s="1">
        <v>0.52083333300000001</v>
      </c>
      <c r="G128" t="s">
        <v>38</v>
      </c>
      <c r="H128" s="1">
        <v>0.625</v>
      </c>
      <c r="I128" t="s">
        <v>38</v>
      </c>
      <c r="J128" t="s">
        <v>18</v>
      </c>
      <c r="L128" s="1">
        <v>0.69444444400000005</v>
      </c>
      <c r="M128" t="s">
        <v>17</v>
      </c>
      <c r="N128" s="6">
        <v>54650</v>
      </c>
      <c r="O128" s="1">
        <f t="shared" si="2"/>
        <v>7.2916666000000019E-2</v>
      </c>
      <c r="P128" s="1">
        <f t="shared" si="3"/>
        <v>6.944444400000005E-2</v>
      </c>
    </row>
    <row r="129" spans="1:16" x14ac:dyDescent="0.25">
      <c r="A129" t="s">
        <v>58</v>
      </c>
      <c r="B129" s="1">
        <v>0.26041666699999999</v>
      </c>
      <c r="C129" t="s">
        <v>17</v>
      </c>
      <c r="D129" t="s">
        <v>21</v>
      </c>
      <c r="E129" t="s">
        <v>19</v>
      </c>
      <c r="F129" s="1">
        <v>0.43402777799999998</v>
      </c>
      <c r="G129" t="s">
        <v>60</v>
      </c>
      <c r="H129" s="1">
        <v>0.80902777800000003</v>
      </c>
      <c r="I129" t="s">
        <v>60</v>
      </c>
      <c r="J129" t="s">
        <v>21</v>
      </c>
      <c r="K129" t="s">
        <v>19</v>
      </c>
      <c r="L129" s="1">
        <v>0.98263888899999996</v>
      </c>
      <c r="M129" t="s">
        <v>17</v>
      </c>
      <c r="N129" s="6">
        <v>100579</v>
      </c>
      <c r="O129" s="1">
        <f t="shared" si="2"/>
        <v>0.17361111099999998</v>
      </c>
      <c r="P129" s="1">
        <f t="shared" si="3"/>
        <v>0.17361111099999993</v>
      </c>
    </row>
    <row r="130" spans="1:16" x14ac:dyDescent="0.25">
      <c r="A130" t="s">
        <v>35</v>
      </c>
      <c r="B130" s="1">
        <v>0.46527777799999998</v>
      </c>
      <c r="C130" t="s">
        <v>17</v>
      </c>
      <c r="D130" t="s">
        <v>18</v>
      </c>
      <c r="F130" s="1">
        <v>0.54166666699999999</v>
      </c>
      <c r="G130" t="s">
        <v>36</v>
      </c>
      <c r="H130" s="1">
        <v>0.80902777800000003</v>
      </c>
      <c r="I130" t="s">
        <v>36</v>
      </c>
      <c r="J130" t="s">
        <v>21</v>
      </c>
      <c r="K130" t="s">
        <v>19</v>
      </c>
      <c r="L130" s="1">
        <v>0.98263888899999996</v>
      </c>
      <c r="M130" t="s">
        <v>17</v>
      </c>
      <c r="N130" s="6">
        <v>70177</v>
      </c>
      <c r="O130" s="1">
        <f t="shared" si="2"/>
        <v>7.6388889000000015E-2</v>
      </c>
      <c r="P130" s="1">
        <f t="shared" si="3"/>
        <v>0.17361111099999993</v>
      </c>
    </row>
    <row r="131" spans="1:16" x14ac:dyDescent="0.25">
      <c r="A131" t="s">
        <v>40</v>
      </c>
      <c r="B131" s="1">
        <v>0.42013888900000002</v>
      </c>
      <c r="C131" t="s">
        <v>17</v>
      </c>
      <c r="D131" t="s">
        <v>18</v>
      </c>
      <c r="F131" s="1">
        <v>0.48263888900000002</v>
      </c>
      <c r="G131" t="s">
        <v>42</v>
      </c>
      <c r="H131" s="1">
        <v>0.75</v>
      </c>
      <c r="I131" t="s">
        <v>42</v>
      </c>
      <c r="J131" t="s">
        <v>21</v>
      </c>
      <c r="K131" t="s">
        <v>31</v>
      </c>
      <c r="L131" s="1">
        <v>0.98263888899999996</v>
      </c>
      <c r="M131" t="s">
        <v>17</v>
      </c>
      <c r="N131" s="6">
        <v>152138</v>
      </c>
      <c r="O131" s="1">
        <f t="shared" ref="O131:O139" si="4">IF(F131-B131&gt;=0,F131-B131,1-ABS(F131-B131))</f>
        <v>6.25E-2</v>
      </c>
      <c r="P131" s="1">
        <f t="shared" ref="P131:P139" si="5">IF(L131-H131&gt;=0,L131-H131,1-ABS(L131-H131))</f>
        <v>0.23263888899999996</v>
      </c>
    </row>
    <row r="132" spans="1:16" x14ac:dyDescent="0.25">
      <c r="A132" t="s">
        <v>16</v>
      </c>
      <c r="B132" s="1">
        <v>0.26041666699999999</v>
      </c>
      <c r="C132" t="s">
        <v>17</v>
      </c>
      <c r="D132" t="s">
        <v>18</v>
      </c>
      <c r="F132" s="1">
        <v>0.33680555600000001</v>
      </c>
      <c r="G132" t="s">
        <v>19</v>
      </c>
      <c r="H132" s="1">
        <v>0.82638888899999996</v>
      </c>
      <c r="I132" t="s">
        <v>32</v>
      </c>
      <c r="J132" t="s">
        <v>18</v>
      </c>
      <c r="L132" s="1">
        <v>0.89583333300000001</v>
      </c>
      <c r="M132" t="s">
        <v>17</v>
      </c>
      <c r="N132" s="6">
        <v>41396</v>
      </c>
      <c r="O132" s="1">
        <f t="shared" si="4"/>
        <v>7.6388889000000015E-2</v>
      </c>
      <c r="P132" s="1">
        <f t="shared" si="5"/>
        <v>6.944444400000005E-2</v>
      </c>
    </row>
    <row r="133" spans="1:16" x14ac:dyDescent="0.25">
      <c r="A133" t="s">
        <v>28</v>
      </c>
      <c r="B133" s="1">
        <v>0.25347222200000002</v>
      </c>
      <c r="C133" t="s">
        <v>17</v>
      </c>
      <c r="D133" t="s">
        <v>21</v>
      </c>
      <c r="E133" t="s">
        <v>31</v>
      </c>
      <c r="F133" s="1">
        <v>0.45833333300000001</v>
      </c>
      <c r="G133" t="s">
        <v>29</v>
      </c>
      <c r="H133" s="1">
        <v>0.875</v>
      </c>
      <c r="I133" t="s">
        <v>29</v>
      </c>
      <c r="J133" t="s">
        <v>18</v>
      </c>
      <c r="L133" s="1">
        <v>0.96527777800000003</v>
      </c>
      <c r="M133" t="s">
        <v>17</v>
      </c>
      <c r="N133" s="6">
        <v>108167</v>
      </c>
      <c r="O133" s="1">
        <f t="shared" si="4"/>
        <v>0.20486111099999998</v>
      </c>
      <c r="P133" s="1">
        <f t="shared" si="5"/>
        <v>9.0277778000000031E-2</v>
      </c>
    </row>
    <row r="134" spans="1:16" x14ac:dyDescent="0.25">
      <c r="A134" t="s">
        <v>47</v>
      </c>
      <c r="B134" s="1">
        <v>0.35069444399999999</v>
      </c>
      <c r="C134" t="s">
        <v>17</v>
      </c>
      <c r="D134" t="s">
        <v>21</v>
      </c>
      <c r="E134" t="s">
        <v>31</v>
      </c>
      <c r="F134" s="1">
        <v>0.53125</v>
      </c>
      <c r="G134" t="s">
        <v>48</v>
      </c>
      <c r="H134" s="1">
        <v>0.81597222199999997</v>
      </c>
      <c r="I134" t="s">
        <v>48</v>
      </c>
      <c r="J134" t="s">
        <v>21</v>
      </c>
      <c r="K134" t="s">
        <v>49</v>
      </c>
      <c r="L134" s="1">
        <v>0.93402777800000003</v>
      </c>
      <c r="M134" t="s">
        <v>17</v>
      </c>
      <c r="N134" s="6">
        <v>85000</v>
      </c>
      <c r="O134" s="1">
        <f t="shared" si="4"/>
        <v>0.18055555600000001</v>
      </c>
      <c r="P134" s="1">
        <f t="shared" si="5"/>
        <v>0.11805555600000006</v>
      </c>
    </row>
    <row r="135" spans="1:16" x14ac:dyDescent="0.25">
      <c r="A135" t="s">
        <v>54</v>
      </c>
      <c r="B135" s="1">
        <v>0.25694444399999999</v>
      </c>
      <c r="C135" t="s">
        <v>17</v>
      </c>
      <c r="D135" t="s">
        <v>21</v>
      </c>
      <c r="E135" t="s">
        <v>38</v>
      </c>
      <c r="F135" s="1">
        <v>0.5</v>
      </c>
      <c r="G135" t="s">
        <v>34</v>
      </c>
      <c r="H135" s="1">
        <v>0.76041666699999999</v>
      </c>
      <c r="I135" t="s">
        <v>34</v>
      </c>
      <c r="J135" t="s">
        <v>18</v>
      </c>
      <c r="L135" s="1">
        <v>0.82986111100000004</v>
      </c>
      <c r="M135" t="s">
        <v>17</v>
      </c>
      <c r="N135" s="6">
        <v>69775</v>
      </c>
      <c r="O135" s="1">
        <f t="shared" si="4"/>
        <v>0.24305555600000001</v>
      </c>
      <c r="P135" s="1">
        <f t="shared" si="5"/>
        <v>6.944444400000005E-2</v>
      </c>
    </row>
    <row r="136" spans="1:16" x14ac:dyDescent="0.25">
      <c r="A136" t="s">
        <v>69</v>
      </c>
      <c r="B136" s="1">
        <v>0.41319444399999999</v>
      </c>
      <c r="C136" t="s">
        <v>17</v>
      </c>
      <c r="D136" t="s">
        <v>18</v>
      </c>
      <c r="F136" s="1">
        <v>0.48611111099999998</v>
      </c>
      <c r="G136" t="s">
        <v>70</v>
      </c>
      <c r="H136" s="1">
        <v>0.39583333300000001</v>
      </c>
      <c r="I136" t="s">
        <v>70</v>
      </c>
      <c r="J136" t="s">
        <v>21</v>
      </c>
      <c r="K136" t="s">
        <v>76</v>
      </c>
      <c r="L136" s="1">
        <v>0.61805555599999995</v>
      </c>
      <c r="M136" t="s">
        <v>17</v>
      </c>
      <c r="N136" s="6">
        <v>105339</v>
      </c>
      <c r="O136" s="1">
        <f t="shared" si="4"/>
        <v>7.2916666999999991E-2</v>
      </c>
      <c r="P136" s="1">
        <f t="shared" si="5"/>
        <v>0.22222222299999994</v>
      </c>
    </row>
    <row r="137" spans="1:16" x14ac:dyDescent="0.25">
      <c r="A137" t="s">
        <v>20</v>
      </c>
      <c r="B137" s="1">
        <v>0.39583333300000001</v>
      </c>
      <c r="C137" t="s">
        <v>17</v>
      </c>
      <c r="D137" t="s">
        <v>21</v>
      </c>
      <c r="E137" t="s">
        <v>30</v>
      </c>
      <c r="F137" s="1">
        <v>0.58333333300000001</v>
      </c>
      <c r="G137" t="s">
        <v>23</v>
      </c>
      <c r="H137" s="1">
        <v>0.61805555599999995</v>
      </c>
      <c r="I137" t="s">
        <v>23</v>
      </c>
      <c r="J137" t="s">
        <v>21</v>
      </c>
      <c r="K137" t="s">
        <v>30</v>
      </c>
      <c r="L137" s="1">
        <v>0.80208333300000001</v>
      </c>
      <c r="M137" t="s">
        <v>17</v>
      </c>
      <c r="N137" s="6">
        <v>251177</v>
      </c>
      <c r="O137" s="1">
        <f t="shared" si="4"/>
        <v>0.1875</v>
      </c>
      <c r="P137" s="1">
        <f t="shared" si="5"/>
        <v>0.18402777700000006</v>
      </c>
    </row>
    <row r="138" spans="1:16" x14ac:dyDescent="0.25">
      <c r="A138" t="s">
        <v>50</v>
      </c>
      <c r="B138" s="1">
        <v>0.246527778</v>
      </c>
      <c r="C138" t="s">
        <v>17</v>
      </c>
      <c r="D138" t="s">
        <v>21</v>
      </c>
      <c r="E138" t="s">
        <v>34</v>
      </c>
      <c r="F138" s="1">
        <v>0.73611111100000004</v>
      </c>
      <c r="G138" t="s">
        <v>52</v>
      </c>
      <c r="H138" s="1">
        <v>0.34375</v>
      </c>
      <c r="I138" t="s">
        <v>52</v>
      </c>
      <c r="J138" t="s">
        <v>18</v>
      </c>
      <c r="L138" s="1">
        <v>0.42708333300000001</v>
      </c>
      <c r="M138" t="s">
        <v>17</v>
      </c>
      <c r="N138" s="6">
        <v>110183</v>
      </c>
      <c r="O138" s="1">
        <f t="shared" si="4"/>
        <v>0.48958333300000001</v>
      </c>
      <c r="P138" s="1">
        <f t="shared" si="5"/>
        <v>8.3333333000000009E-2</v>
      </c>
    </row>
    <row r="139" spans="1:16" x14ac:dyDescent="0.25">
      <c r="A139" t="s">
        <v>69</v>
      </c>
      <c r="B139" s="1">
        <v>0.41319444399999999</v>
      </c>
      <c r="C139" t="s">
        <v>17</v>
      </c>
      <c r="D139" t="s">
        <v>18</v>
      </c>
      <c r="F139" s="1">
        <v>0.48611111099999998</v>
      </c>
      <c r="G139" t="s">
        <v>70</v>
      </c>
      <c r="H139" s="1">
        <v>0.60069444400000005</v>
      </c>
      <c r="I139" t="s">
        <v>70</v>
      </c>
      <c r="J139" t="s">
        <v>21</v>
      </c>
      <c r="K139" t="s">
        <v>77</v>
      </c>
      <c r="L139" s="1">
        <v>0.80208333300000001</v>
      </c>
      <c r="M139" t="s">
        <v>17</v>
      </c>
      <c r="N139" s="6">
        <v>153276</v>
      </c>
      <c r="O139" s="1">
        <f t="shared" si="4"/>
        <v>7.2916666999999991E-2</v>
      </c>
      <c r="P139" s="1">
        <f t="shared" si="5"/>
        <v>0.20138888899999996</v>
      </c>
    </row>
  </sheetData>
  <conditionalFormatting sqref="A2:P139">
    <cfRule type="expression" dxfId="0" priority="1">
      <formula>$G2&lt;&gt;$I2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3C86-A94D-4852-AE3D-D45799694D5A}">
  <dimension ref="A1:N50"/>
  <sheetViews>
    <sheetView tabSelected="1" workbookViewId="0">
      <selection activeCell="N3" sqref="N3"/>
    </sheetView>
  </sheetViews>
  <sheetFormatPr defaultRowHeight="15" x14ac:dyDescent="0.25"/>
  <cols>
    <col min="1" max="1" width="25.7109375" bestFit="1" customWidth="1"/>
    <col min="2" max="2" width="18" bestFit="1" customWidth="1"/>
    <col min="3" max="3" width="10.5703125" bestFit="1" customWidth="1"/>
    <col min="4" max="4" width="8.85546875" bestFit="1" customWidth="1"/>
    <col min="5" max="5" width="9.28515625" bestFit="1" customWidth="1"/>
    <col min="6" max="6" width="9.42578125" bestFit="1" customWidth="1"/>
    <col min="7" max="7" width="20.42578125" bestFit="1" customWidth="1"/>
    <col min="9" max="9" width="4.5703125" bestFit="1" customWidth="1"/>
    <col min="10" max="10" width="12.7109375" bestFit="1" customWidth="1"/>
  </cols>
  <sheetData>
    <row r="1" spans="1:14" ht="60" x14ac:dyDescent="0.25">
      <c r="A1" s="12" t="s">
        <v>82</v>
      </c>
      <c r="B1" s="12" t="s">
        <v>83</v>
      </c>
      <c r="C1" s="13" t="s">
        <v>84</v>
      </c>
      <c r="D1" s="13" t="s">
        <v>85</v>
      </c>
      <c r="E1" s="13" t="s">
        <v>86</v>
      </c>
      <c r="F1" s="13" t="s">
        <v>87</v>
      </c>
      <c r="G1" s="12" t="s">
        <v>88</v>
      </c>
      <c r="L1" s="13" t="s">
        <v>87</v>
      </c>
      <c r="M1" s="13" t="s">
        <v>86</v>
      </c>
      <c r="N1" s="13" t="s">
        <v>84</v>
      </c>
    </row>
    <row r="2" spans="1:14" x14ac:dyDescent="0.25">
      <c r="A2" s="14" t="s">
        <v>89</v>
      </c>
      <c r="B2" s="14" t="s">
        <v>37</v>
      </c>
      <c r="C2" s="14">
        <v>1.7</v>
      </c>
      <c r="D2" s="14">
        <v>4</v>
      </c>
      <c r="E2" s="14">
        <v>3.7</v>
      </c>
      <c r="F2" s="14">
        <v>6</v>
      </c>
      <c r="G2" s="14" t="s">
        <v>90</v>
      </c>
      <c r="I2" s="8">
        <f>IFERROR(DAVERAGE(kutya,"értékelés",J3:J5),"Nincs ilyen szállás")</f>
        <v>3.9972972972972975</v>
      </c>
      <c r="L2" s="14" t="s">
        <v>160</v>
      </c>
      <c r="M2" s="14" t="s">
        <v>161</v>
      </c>
      <c r="N2" s="14" t="s">
        <v>162</v>
      </c>
    </row>
    <row r="3" spans="1:14" x14ac:dyDescent="0.25">
      <c r="A3" s="14" t="s">
        <v>91</v>
      </c>
      <c r="B3" s="14" t="s">
        <v>37</v>
      </c>
      <c r="C3" s="14">
        <v>2.2999999999999998</v>
      </c>
      <c r="D3" s="14">
        <v>3</v>
      </c>
      <c r="E3" s="14">
        <v>3.7</v>
      </c>
      <c r="F3" s="14">
        <v>53</v>
      </c>
      <c r="G3" s="14" t="s">
        <v>90</v>
      </c>
      <c r="J3" t="s">
        <v>88</v>
      </c>
    </row>
    <row r="4" spans="1:14" x14ac:dyDescent="0.25">
      <c r="A4" s="14" t="s">
        <v>92</v>
      </c>
      <c r="B4" s="14" t="s">
        <v>37</v>
      </c>
      <c r="C4" s="14">
        <v>1.6</v>
      </c>
      <c r="D4" s="14">
        <v>4</v>
      </c>
      <c r="E4" s="14">
        <v>4.4000000000000004</v>
      </c>
      <c r="F4" s="14">
        <v>128</v>
      </c>
      <c r="G4" s="14" t="s">
        <v>90</v>
      </c>
      <c r="J4" t="s">
        <v>90</v>
      </c>
    </row>
    <row r="5" spans="1:14" x14ac:dyDescent="0.25">
      <c r="A5" s="14" t="s">
        <v>93</v>
      </c>
      <c r="B5" s="14" t="s">
        <v>37</v>
      </c>
      <c r="C5" s="14">
        <v>0.4</v>
      </c>
      <c r="D5" s="14">
        <v>4</v>
      </c>
      <c r="E5" s="14">
        <v>4.5</v>
      </c>
      <c r="F5" s="14">
        <v>174</v>
      </c>
      <c r="G5" s="14" t="s">
        <v>90</v>
      </c>
      <c r="J5" t="s">
        <v>110</v>
      </c>
    </row>
    <row r="6" spans="1:14" x14ac:dyDescent="0.25">
      <c r="A6" s="14" t="s">
        <v>94</v>
      </c>
      <c r="B6" s="14" t="s">
        <v>37</v>
      </c>
      <c r="C6" s="14">
        <v>3.3</v>
      </c>
      <c r="D6" s="14">
        <v>4</v>
      </c>
      <c r="E6" s="14">
        <v>4</v>
      </c>
      <c r="F6" s="14">
        <v>22</v>
      </c>
      <c r="G6" s="14" t="s">
        <v>90</v>
      </c>
    </row>
    <row r="7" spans="1:14" x14ac:dyDescent="0.25">
      <c r="A7" s="14" t="s">
        <v>95</v>
      </c>
      <c r="B7" s="14" t="s">
        <v>96</v>
      </c>
      <c r="C7" s="14">
        <v>8</v>
      </c>
      <c r="D7" s="14">
        <v>3</v>
      </c>
      <c r="E7" s="14">
        <v>4.0999999999999996</v>
      </c>
      <c r="F7" s="14">
        <v>131</v>
      </c>
      <c r="G7" s="14" t="s">
        <v>90</v>
      </c>
    </row>
    <row r="8" spans="1:14" x14ac:dyDescent="0.25">
      <c r="A8" s="14" t="s">
        <v>97</v>
      </c>
      <c r="B8" s="14" t="s">
        <v>98</v>
      </c>
      <c r="C8" s="14">
        <v>5.6</v>
      </c>
      <c r="D8" s="14">
        <v>3</v>
      </c>
      <c r="E8" s="14">
        <v>4.5</v>
      </c>
      <c r="F8" s="14">
        <v>6</v>
      </c>
      <c r="G8" s="14" t="s">
        <v>90</v>
      </c>
    </row>
    <row r="9" spans="1:14" x14ac:dyDescent="0.25">
      <c r="A9" s="14" t="s">
        <v>99</v>
      </c>
      <c r="B9" s="14" t="s">
        <v>37</v>
      </c>
      <c r="C9" s="14">
        <v>1.5</v>
      </c>
      <c r="D9" s="14">
        <v>3</v>
      </c>
      <c r="E9" s="14">
        <v>4</v>
      </c>
      <c r="F9" s="14">
        <v>73</v>
      </c>
      <c r="G9" s="14" t="s">
        <v>90</v>
      </c>
    </row>
    <row r="10" spans="1:14" x14ac:dyDescent="0.25">
      <c r="A10" s="14" t="s">
        <v>100</v>
      </c>
      <c r="B10" s="14" t="s">
        <v>37</v>
      </c>
      <c r="C10" s="14">
        <v>1.2</v>
      </c>
      <c r="D10" s="14">
        <v>4</v>
      </c>
      <c r="E10" s="14">
        <v>3.4</v>
      </c>
      <c r="F10" s="14">
        <v>150</v>
      </c>
      <c r="G10" s="14" t="s">
        <v>90</v>
      </c>
    </row>
    <row r="11" spans="1:14" x14ac:dyDescent="0.25">
      <c r="A11" s="14" t="s">
        <v>101</v>
      </c>
      <c r="B11" s="14" t="s">
        <v>37</v>
      </c>
      <c r="C11" s="14">
        <v>3.2</v>
      </c>
      <c r="D11" s="14">
        <v>4</v>
      </c>
      <c r="E11" s="14">
        <v>4</v>
      </c>
      <c r="F11" s="14">
        <v>41</v>
      </c>
      <c r="G11" s="14" t="s">
        <v>90</v>
      </c>
    </row>
    <row r="12" spans="1:14" x14ac:dyDescent="0.25">
      <c r="A12" s="14" t="s">
        <v>102</v>
      </c>
      <c r="B12" s="14" t="s">
        <v>37</v>
      </c>
      <c r="C12" s="14">
        <v>2.6</v>
      </c>
      <c r="D12" s="14">
        <v>4</v>
      </c>
      <c r="E12" s="14">
        <v>3.7</v>
      </c>
      <c r="F12" s="14">
        <v>36</v>
      </c>
      <c r="G12" s="14" t="s">
        <v>90</v>
      </c>
    </row>
    <row r="13" spans="1:14" x14ac:dyDescent="0.25">
      <c r="A13" s="14" t="s">
        <v>103</v>
      </c>
      <c r="B13" s="14" t="s">
        <v>37</v>
      </c>
      <c r="C13" s="14">
        <v>5.0999999999999996</v>
      </c>
      <c r="D13" s="14">
        <v>4</v>
      </c>
      <c r="E13" s="14">
        <v>2.7</v>
      </c>
      <c r="F13" s="14">
        <v>7</v>
      </c>
      <c r="G13" s="14" t="s">
        <v>104</v>
      </c>
      <c r="I13" t="s">
        <v>82</v>
      </c>
    </row>
    <row r="14" spans="1:14" x14ac:dyDescent="0.25">
      <c r="A14" s="14" t="s">
        <v>105</v>
      </c>
      <c r="B14" s="14" t="s">
        <v>37</v>
      </c>
      <c r="C14" s="14">
        <v>5</v>
      </c>
      <c r="D14" s="14">
        <v>4</v>
      </c>
      <c r="E14" s="14">
        <v>3.2</v>
      </c>
      <c r="F14" s="14">
        <v>8</v>
      </c>
      <c r="G14" s="14" t="s">
        <v>104</v>
      </c>
    </row>
    <row r="15" spans="1:14" x14ac:dyDescent="0.25">
      <c r="A15" s="14" t="s">
        <v>106</v>
      </c>
      <c r="B15" s="14" t="s">
        <v>107</v>
      </c>
      <c r="C15" s="14">
        <v>20</v>
      </c>
      <c r="D15" s="14">
        <v>3</v>
      </c>
      <c r="E15" s="14">
        <v>3.7</v>
      </c>
      <c r="F15" s="14">
        <v>4</v>
      </c>
      <c r="G15" s="14" t="s">
        <v>90</v>
      </c>
    </row>
    <row r="16" spans="1:14" x14ac:dyDescent="0.25">
      <c r="A16" s="14" t="s">
        <v>108</v>
      </c>
      <c r="B16" s="14" t="s">
        <v>37</v>
      </c>
      <c r="C16" s="14">
        <v>2.7</v>
      </c>
      <c r="D16" s="14">
        <v>3</v>
      </c>
      <c r="E16" s="14">
        <v>5</v>
      </c>
      <c r="F16" s="14">
        <v>1</v>
      </c>
      <c r="G16" s="14" t="s">
        <v>90</v>
      </c>
    </row>
    <row r="17" spans="1:7" x14ac:dyDescent="0.25">
      <c r="A17" s="14" t="s">
        <v>109</v>
      </c>
      <c r="B17" s="14" t="s">
        <v>37</v>
      </c>
      <c r="C17" s="14">
        <v>2.2999999999999998</v>
      </c>
      <c r="D17" s="14">
        <v>3</v>
      </c>
      <c r="E17" s="14">
        <v>4</v>
      </c>
      <c r="F17" s="14">
        <v>14</v>
      </c>
      <c r="G17" s="14" t="s">
        <v>110</v>
      </c>
    </row>
    <row r="18" spans="1:7" x14ac:dyDescent="0.25">
      <c r="A18" s="14" t="s">
        <v>111</v>
      </c>
      <c r="B18" s="14" t="s">
        <v>37</v>
      </c>
      <c r="C18" s="14">
        <v>2.6</v>
      </c>
      <c r="D18" s="14">
        <v>4</v>
      </c>
      <c r="E18" s="14">
        <v>4</v>
      </c>
      <c r="F18" s="14">
        <v>119</v>
      </c>
      <c r="G18" s="14" t="s">
        <v>90</v>
      </c>
    </row>
    <row r="19" spans="1:7" x14ac:dyDescent="0.25">
      <c r="A19" s="14" t="s">
        <v>112</v>
      </c>
      <c r="B19" s="14" t="s">
        <v>113</v>
      </c>
      <c r="C19" s="14">
        <v>14</v>
      </c>
      <c r="D19" s="14">
        <v>4</v>
      </c>
      <c r="E19" s="14">
        <v>4.5</v>
      </c>
      <c r="F19" s="14">
        <v>90</v>
      </c>
      <c r="G19" s="14" t="s">
        <v>110</v>
      </c>
    </row>
    <row r="20" spans="1:7" x14ac:dyDescent="0.25">
      <c r="A20" s="14" t="s">
        <v>114</v>
      </c>
      <c r="B20" s="14" t="s">
        <v>115</v>
      </c>
      <c r="C20" s="14">
        <v>5.6</v>
      </c>
      <c r="D20" s="14">
        <v>3</v>
      </c>
      <c r="E20" s="14">
        <v>4</v>
      </c>
      <c r="F20" s="14">
        <v>18</v>
      </c>
      <c r="G20" s="14" t="s">
        <v>116</v>
      </c>
    </row>
    <row r="21" spans="1:7" x14ac:dyDescent="0.25">
      <c r="A21" s="14" t="s">
        <v>117</v>
      </c>
      <c r="B21" s="14" t="s">
        <v>54</v>
      </c>
      <c r="C21" s="14">
        <v>0.2</v>
      </c>
      <c r="D21" s="14">
        <v>3</v>
      </c>
      <c r="E21" s="14">
        <v>3.7</v>
      </c>
      <c r="F21" s="14">
        <v>26</v>
      </c>
      <c r="G21" s="14" t="s">
        <v>116</v>
      </c>
    </row>
    <row r="22" spans="1:7" x14ac:dyDescent="0.25">
      <c r="A22" s="14" t="s">
        <v>118</v>
      </c>
      <c r="B22" s="14" t="s">
        <v>54</v>
      </c>
      <c r="C22" s="14">
        <v>0.4</v>
      </c>
      <c r="D22" s="14">
        <v>3</v>
      </c>
      <c r="E22" s="14">
        <v>4.5</v>
      </c>
      <c r="F22" s="14">
        <v>32</v>
      </c>
      <c r="G22" s="14" t="s">
        <v>116</v>
      </c>
    </row>
    <row r="23" spans="1:7" x14ac:dyDescent="0.25">
      <c r="A23" s="14" t="s">
        <v>119</v>
      </c>
      <c r="B23" s="14" t="s">
        <v>54</v>
      </c>
      <c r="C23" s="14">
        <v>0.6</v>
      </c>
      <c r="D23" s="14">
        <v>3</v>
      </c>
      <c r="E23" s="14">
        <v>3.5</v>
      </c>
      <c r="F23" s="14">
        <v>11</v>
      </c>
      <c r="G23" s="14" t="s">
        <v>90</v>
      </c>
    </row>
    <row r="24" spans="1:7" x14ac:dyDescent="0.25">
      <c r="A24" s="14" t="s">
        <v>120</v>
      </c>
      <c r="B24" s="14" t="s">
        <v>16</v>
      </c>
      <c r="C24" s="14">
        <v>3</v>
      </c>
      <c r="D24" s="14">
        <v>4</v>
      </c>
      <c r="E24" s="14">
        <v>3.7</v>
      </c>
      <c r="F24" s="14">
        <v>15</v>
      </c>
      <c r="G24" s="14" t="s">
        <v>90</v>
      </c>
    </row>
    <row r="25" spans="1:7" x14ac:dyDescent="0.25">
      <c r="A25" s="14" t="s">
        <v>121</v>
      </c>
      <c r="B25" s="14" t="s">
        <v>16</v>
      </c>
      <c r="C25" s="14">
        <v>3</v>
      </c>
      <c r="D25" s="14">
        <v>4</v>
      </c>
      <c r="E25" s="14">
        <v>3.7</v>
      </c>
      <c r="F25" s="14">
        <v>15</v>
      </c>
      <c r="G25" s="14" t="s">
        <v>90</v>
      </c>
    </row>
    <row r="26" spans="1:7" x14ac:dyDescent="0.25">
      <c r="A26" s="14" t="s">
        <v>122</v>
      </c>
      <c r="B26" s="14" t="s">
        <v>16</v>
      </c>
      <c r="C26" s="14">
        <v>1</v>
      </c>
      <c r="D26" s="14">
        <v>4</v>
      </c>
      <c r="E26" s="14">
        <v>4.4000000000000004</v>
      </c>
      <c r="F26" s="14">
        <v>111</v>
      </c>
      <c r="G26" s="14" t="s">
        <v>90</v>
      </c>
    </row>
    <row r="27" spans="1:7" x14ac:dyDescent="0.25">
      <c r="A27" s="14" t="s">
        <v>123</v>
      </c>
      <c r="B27" s="14" t="s">
        <v>16</v>
      </c>
      <c r="C27" s="14">
        <v>1</v>
      </c>
      <c r="D27" s="14">
        <v>4</v>
      </c>
      <c r="E27" s="14">
        <v>4.4000000000000004</v>
      </c>
      <c r="F27" s="14">
        <v>111</v>
      </c>
      <c r="G27" s="14" t="s">
        <v>90</v>
      </c>
    </row>
    <row r="28" spans="1:7" x14ac:dyDescent="0.25">
      <c r="A28" s="14" t="s">
        <v>124</v>
      </c>
      <c r="B28" s="14" t="s">
        <v>16</v>
      </c>
      <c r="C28" s="14">
        <v>0.8</v>
      </c>
      <c r="D28" s="14">
        <v>3</v>
      </c>
      <c r="E28" s="14">
        <v>4</v>
      </c>
      <c r="F28" s="14">
        <v>9</v>
      </c>
      <c r="G28" s="14" t="s">
        <v>125</v>
      </c>
    </row>
    <row r="29" spans="1:7" x14ac:dyDescent="0.25">
      <c r="A29" s="14" t="s">
        <v>126</v>
      </c>
      <c r="B29" s="14" t="s">
        <v>127</v>
      </c>
      <c r="C29" s="14">
        <v>15</v>
      </c>
      <c r="D29" s="14">
        <v>3</v>
      </c>
      <c r="E29" s="14">
        <v>3.5</v>
      </c>
      <c r="F29" s="14">
        <v>209</v>
      </c>
      <c r="G29" s="14" t="s">
        <v>90</v>
      </c>
    </row>
    <row r="30" spans="1:7" x14ac:dyDescent="0.25">
      <c r="A30" s="14" t="s">
        <v>128</v>
      </c>
      <c r="B30" s="14" t="s">
        <v>127</v>
      </c>
      <c r="C30" s="14">
        <v>15</v>
      </c>
      <c r="D30" s="14">
        <v>3</v>
      </c>
      <c r="E30" s="14">
        <v>3.5</v>
      </c>
      <c r="F30" s="14">
        <v>209</v>
      </c>
      <c r="G30" s="14" t="s">
        <v>90</v>
      </c>
    </row>
    <row r="31" spans="1:7" x14ac:dyDescent="0.25">
      <c r="A31" s="14" t="s">
        <v>129</v>
      </c>
      <c r="B31" s="14" t="s">
        <v>16</v>
      </c>
      <c r="C31" s="14">
        <v>2.5</v>
      </c>
      <c r="D31" s="14">
        <v>4</v>
      </c>
      <c r="E31" s="14">
        <v>4</v>
      </c>
      <c r="F31" s="14">
        <v>114</v>
      </c>
      <c r="G31" s="14" t="s">
        <v>90</v>
      </c>
    </row>
    <row r="32" spans="1:7" x14ac:dyDescent="0.25">
      <c r="A32" s="14" t="s">
        <v>130</v>
      </c>
      <c r="B32" s="14" t="s">
        <v>16</v>
      </c>
      <c r="C32" s="14">
        <v>2.5</v>
      </c>
      <c r="D32" s="14">
        <v>4</v>
      </c>
      <c r="E32" s="14">
        <v>4</v>
      </c>
      <c r="F32" s="14">
        <v>114</v>
      </c>
      <c r="G32" s="14" t="s">
        <v>90</v>
      </c>
    </row>
    <row r="33" spans="1:7" x14ac:dyDescent="0.25">
      <c r="A33" s="14" t="s">
        <v>131</v>
      </c>
      <c r="B33" s="14" t="s">
        <v>16</v>
      </c>
      <c r="C33" s="14">
        <v>0.4</v>
      </c>
      <c r="D33" s="14">
        <v>3</v>
      </c>
      <c r="E33" s="14">
        <v>4.4000000000000004</v>
      </c>
      <c r="F33" s="14">
        <v>23</v>
      </c>
      <c r="G33" s="14" t="s">
        <v>125</v>
      </c>
    </row>
    <row r="34" spans="1:7" x14ac:dyDescent="0.25">
      <c r="A34" s="14" t="s">
        <v>132</v>
      </c>
      <c r="B34" s="14" t="s">
        <v>16</v>
      </c>
      <c r="C34" s="14">
        <v>0.4</v>
      </c>
      <c r="D34" s="14">
        <v>3</v>
      </c>
      <c r="E34" s="14">
        <v>4.4000000000000004</v>
      </c>
      <c r="F34" s="14">
        <v>23</v>
      </c>
      <c r="G34" s="14" t="s">
        <v>125</v>
      </c>
    </row>
    <row r="35" spans="1:7" x14ac:dyDescent="0.25">
      <c r="A35" s="14" t="s">
        <v>133</v>
      </c>
      <c r="B35" s="14" t="s">
        <v>16</v>
      </c>
      <c r="C35" s="14">
        <v>1.8</v>
      </c>
      <c r="D35" s="14">
        <v>3</v>
      </c>
      <c r="E35" s="14">
        <v>3.2</v>
      </c>
      <c r="F35" s="14">
        <v>54</v>
      </c>
      <c r="G35" s="14" t="s">
        <v>116</v>
      </c>
    </row>
    <row r="36" spans="1:7" x14ac:dyDescent="0.25">
      <c r="A36" s="14" t="s">
        <v>134</v>
      </c>
      <c r="B36" s="14" t="s">
        <v>16</v>
      </c>
      <c r="C36" s="14">
        <v>1.8</v>
      </c>
      <c r="D36" s="14">
        <v>3</v>
      </c>
      <c r="E36" s="14">
        <v>3.2</v>
      </c>
      <c r="F36" s="14">
        <v>54</v>
      </c>
      <c r="G36" s="14" t="s">
        <v>116</v>
      </c>
    </row>
    <row r="37" spans="1:7" x14ac:dyDescent="0.25">
      <c r="A37" s="14" t="s">
        <v>135</v>
      </c>
      <c r="B37" s="14" t="s">
        <v>16</v>
      </c>
      <c r="C37" s="14">
        <v>0.2</v>
      </c>
      <c r="D37" s="14">
        <v>3</v>
      </c>
      <c r="E37" s="14">
        <v>4.5</v>
      </c>
      <c r="F37" s="14">
        <v>25</v>
      </c>
      <c r="G37" s="14" t="s">
        <v>125</v>
      </c>
    </row>
    <row r="38" spans="1:7" x14ac:dyDescent="0.25">
      <c r="A38" s="14" t="s">
        <v>136</v>
      </c>
      <c r="B38" s="14" t="s">
        <v>16</v>
      </c>
      <c r="C38" s="14">
        <v>0.2</v>
      </c>
      <c r="D38" s="14">
        <v>3</v>
      </c>
      <c r="E38" s="14">
        <v>4.5</v>
      </c>
      <c r="F38" s="14">
        <v>25</v>
      </c>
      <c r="G38" s="14" t="s">
        <v>125</v>
      </c>
    </row>
    <row r="39" spans="1:7" x14ac:dyDescent="0.25">
      <c r="A39" s="14" t="s">
        <v>137</v>
      </c>
      <c r="B39" s="14" t="s">
        <v>16</v>
      </c>
      <c r="C39" s="14">
        <v>0.3</v>
      </c>
      <c r="D39" s="14">
        <v>3</v>
      </c>
      <c r="E39" s="14">
        <v>4.3</v>
      </c>
      <c r="F39" s="14">
        <v>60</v>
      </c>
      <c r="G39" s="14" t="s">
        <v>110</v>
      </c>
    </row>
    <row r="40" spans="1:7" x14ac:dyDescent="0.25">
      <c r="A40" s="14" t="s">
        <v>138</v>
      </c>
      <c r="B40" s="14" t="s">
        <v>16</v>
      </c>
      <c r="C40" s="14">
        <v>0.3</v>
      </c>
      <c r="D40" s="14">
        <v>3</v>
      </c>
      <c r="E40" s="14">
        <v>4.3</v>
      </c>
      <c r="F40" s="14">
        <v>60</v>
      </c>
      <c r="G40" s="14" t="s">
        <v>110</v>
      </c>
    </row>
    <row r="41" spans="1:7" x14ac:dyDescent="0.25">
      <c r="A41" s="14" t="s">
        <v>139</v>
      </c>
      <c r="B41" s="14" t="s">
        <v>16</v>
      </c>
      <c r="C41" s="14">
        <v>0.5</v>
      </c>
      <c r="D41" s="14">
        <v>1</v>
      </c>
      <c r="E41" s="14">
        <v>4</v>
      </c>
      <c r="F41" s="14">
        <v>161</v>
      </c>
      <c r="G41" s="14" t="s">
        <v>90</v>
      </c>
    </row>
    <row r="42" spans="1:7" x14ac:dyDescent="0.25">
      <c r="A42" s="14" t="s">
        <v>140</v>
      </c>
      <c r="B42" s="14" t="s">
        <v>16</v>
      </c>
      <c r="C42" s="14">
        <v>0.5</v>
      </c>
      <c r="D42" s="14">
        <v>1</v>
      </c>
      <c r="E42" s="14">
        <v>4</v>
      </c>
      <c r="F42" s="14">
        <v>161</v>
      </c>
      <c r="G42" s="14" t="s">
        <v>90</v>
      </c>
    </row>
    <row r="43" spans="1:7" x14ac:dyDescent="0.25">
      <c r="A43" s="14" t="s">
        <v>141</v>
      </c>
      <c r="B43" s="14" t="s">
        <v>16</v>
      </c>
      <c r="C43" s="14">
        <v>1.6</v>
      </c>
      <c r="D43" s="14">
        <v>4</v>
      </c>
      <c r="E43" s="14">
        <v>4.3</v>
      </c>
      <c r="F43" s="14">
        <v>137</v>
      </c>
      <c r="G43" s="14" t="s">
        <v>90</v>
      </c>
    </row>
    <row r="44" spans="1:7" x14ac:dyDescent="0.25">
      <c r="A44" s="14" t="s">
        <v>142</v>
      </c>
      <c r="B44" s="14" t="s">
        <v>16</v>
      </c>
      <c r="C44" s="14">
        <v>1.6</v>
      </c>
      <c r="D44" s="14">
        <v>4</v>
      </c>
      <c r="E44" s="14">
        <v>4.3</v>
      </c>
      <c r="F44" s="14">
        <v>137</v>
      </c>
      <c r="G44" s="14" t="s">
        <v>90</v>
      </c>
    </row>
    <row r="45" spans="1:7" x14ac:dyDescent="0.25">
      <c r="A45" s="14" t="s">
        <v>143</v>
      </c>
      <c r="B45" s="14" t="s">
        <v>16</v>
      </c>
      <c r="C45" s="14">
        <v>1.1000000000000001</v>
      </c>
      <c r="D45" s="14">
        <v>2</v>
      </c>
      <c r="E45" s="14">
        <v>4.3</v>
      </c>
      <c r="F45" s="14">
        <v>43</v>
      </c>
      <c r="G45" s="14" t="s">
        <v>90</v>
      </c>
    </row>
    <row r="46" spans="1:7" x14ac:dyDescent="0.25">
      <c r="A46" s="14" t="s">
        <v>144</v>
      </c>
      <c r="B46" s="14" t="s">
        <v>16</v>
      </c>
      <c r="C46" s="14">
        <v>1.1000000000000001</v>
      </c>
      <c r="D46" s="14">
        <v>2</v>
      </c>
      <c r="E46" s="14">
        <v>4.3</v>
      </c>
      <c r="F46" s="14">
        <v>43</v>
      </c>
      <c r="G46" s="14" t="s">
        <v>90</v>
      </c>
    </row>
    <row r="47" spans="1:7" x14ac:dyDescent="0.25">
      <c r="A47" s="14" t="s">
        <v>145</v>
      </c>
      <c r="B47" s="14" t="s">
        <v>16</v>
      </c>
      <c r="C47" s="14">
        <v>1.6</v>
      </c>
      <c r="D47" s="14">
        <v>3</v>
      </c>
      <c r="E47" s="14">
        <v>3.7</v>
      </c>
      <c r="F47" s="14">
        <v>208</v>
      </c>
      <c r="G47" s="14" t="s">
        <v>90</v>
      </c>
    </row>
    <row r="48" spans="1:7" x14ac:dyDescent="0.25">
      <c r="A48" s="14" t="s">
        <v>146</v>
      </c>
      <c r="B48" s="14" t="s">
        <v>16</v>
      </c>
      <c r="C48" s="14">
        <v>1.6</v>
      </c>
      <c r="D48" s="14">
        <v>3</v>
      </c>
      <c r="E48" s="14">
        <v>3.7</v>
      </c>
      <c r="F48" s="14">
        <v>208</v>
      </c>
      <c r="G48" s="14" t="s">
        <v>90</v>
      </c>
    </row>
    <row r="49" spans="1:7" x14ac:dyDescent="0.25">
      <c r="A49" s="14" t="s">
        <v>147</v>
      </c>
      <c r="B49" s="14" t="s">
        <v>16</v>
      </c>
      <c r="C49" s="14">
        <v>2</v>
      </c>
      <c r="D49" s="14">
        <v>3</v>
      </c>
      <c r="E49" s="14">
        <v>3.4</v>
      </c>
      <c r="F49" s="14">
        <v>204</v>
      </c>
      <c r="G49" s="14" t="s">
        <v>90</v>
      </c>
    </row>
    <row r="50" spans="1:7" x14ac:dyDescent="0.25">
      <c r="A50" s="14" t="s">
        <v>148</v>
      </c>
      <c r="B50" s="14" t="s">
        <v>16</v>
      </c>
      <c r="C50" s="14">
        <v>2</v>
      </c>
      <c r="D50" s="14">
        <v>3</v>
      </c>
      <c r="E50" s="14">
        <v>3.4</v>
      </c>
      <c r="F50" s="14">
        <v>204</v>
      </c>
      <c r="G50" s="1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34D1-E855-4AA0-8541-832DE525B4A7}">
  <dimension ref="A3:E18"/>
  <sheetViews>
    <sheetView workbookViewId="0">
      <selection activeCell="H8" sqref="H8"/>
    </sheetView>
  </sheetViews>
  <sheetFormatPr defaultRowHeight="15" x14ac:dyDescent="0.25"/>
  <cols>
    <col min="1" max="1" width="15.7109375" bestFit="1" customWidth="1"/>
    <col min="2" max="2" width="16" bestFit="1" customWidth="1"/>
    <col min="3" max="3" width="12.42578125" bestFit="1" customWidth="1"/>
    <col min="4" max="4" width="14.7109375" bestFit="1" customWidth="1"/>
    <col min="5" max="5" width="12.5703125" bestFit="1" customWidth="1"/>
  </cols>
  <sheetData>
    <row r="3" spans="1:5" x14ac:dyDescent="0.25">
      <c r="A3" s="2" t="s">
        <v>81</v>
      </c>
      <c r="B3" s="2" t="s">
        <v>78</v>
      </c>
      <c r="C3" s="3"/>
      <c r="D3" s="3"/>
      <c r="E3" s="3"/>
    </row>
    <row r="4" spans="1:5" x14ac:dyDescent="0.25">
      <c r="A4" s="2" t="s">
        <v>80</v>
      </c>
      <c r="B4" s="3" t="s">
        <v>21</v>
      </c>
      <c r="C4" s="3" t="s">
        <v>25</v>
      </c>
      <c r="D4" s="3" t="s">
        <v>18</v>
      </c>
      <c r="E4" s="3" t="s">
        <v>79</v>
      </c>
    </row>
    <row r="5" spans="1:5" x14ac:dyDescent="0.25">
      <c r="A5" s="4" t="s">
        <v>50</v>
      </c>
      <c r="B5" s="5">
        <v>106122.5</v>
      </c>
      <c r="C5" s="5">
        <v>109236.11111111111</v>
      </c>
      <c r="D5" s="5"/>
      <c r="E5" s="5">
        <v>108670</v>
      </c>
    </row>
    <row r="6" spans="1:5" x14ac:dyDescent="0.25">
      <c r="A6" s="4" t="s">
        <v>40</v>
      </c>
      <c r="B6" s="5">
        <v>128081</v>
      </c>
      <c r="C6" s="5"/>
      <c r="D6" s="5">
        <v>74307</v>
      </c>
      <c r="E6" s="5">
        <v>88972.636363636368</v>
      </c>
    </row>
    <row r="7" spans="1:5" x14ac:dyDescent="0.25">
      <c r="A7" s="4" t="s">
        <v>47</v>
      </c>
      <c r="B7" s="5">
        <v>80889.5</v>
      </c>
      <c r="C7" s="5"/>
      <c r="D7" s="5">
        <v>114286</v>
      </c>
      <c r="E7" s="5">
        <v>83925.545454545456</v>
      </c>
    </row>
    <row r="8" spans="1:5" x14ac:dyDescent="0.25">
      <c r="A8" s="4" t="s">
        <v>24</v>
      </c>
      <c r="B8" s="5">
        <v>94282</v>
      </c>
      <c r="C8" s="5">
        <v>604024.25</v>
      </c>
      <c r="D8" s="5"/>
      <c r="E8" s="5">
        <v>298178.90000000002</v>
      </c>
    </row>
    <row r="9" spans="1:5" x14ac:dyDescent="0.25">
      <c r="A9" s="4" t="s">
        <v>28</v>
      </c>
      <c r="B9" s="5">
        <v>73696.625</v>
      </c>
      <c r="C9" s="5"/>
      <c r="D9" s="5">
        <v>75289</v>
      </c>
      <c r="E9" s="5">
        <v>74130.909090909088</v>
      </c>
    </row>
    <row r="10" spans="1:5" x14ac:dyDescent="0.25">
      <c r="A10" s="4" t="s">
        <v>35</v>
      </c>
      <c r="B10" s="5">
        <v>118365.8</v>
      </c>
      <c r="C10" s="5"/>
      <c r="D10" s="5">
        <v>107557.8</v>
      </c>
      <c r="E10" s="5">
        <v>112961.8</v>
      </c>
    </row>
    <row r="11" spans="1:5" x14ac:dyDescent="0.25">
      <c r="A11" s="4" t="s">
        <v>37</v>
      </c>
      <c r="B11" s="5"/>
      <c r="C11" s="5"/>
      <c r="D11" s="5">
        <v>53067.545454545456</v>
      </c>
      <c r="E11" s="5">
        <v>53067.545454545456</v>
      </c>
    </row>
    <row r="12" spans="1:5" x14ac:dyDescent="0.25">
      <c r="A12" s="4" t="s">
        <v>54</v>
      </c>
      <c r="B12" s="5">
        <v>51822.2</v>
      </c>
      <c r="C12" s="5"/>
      <c r="D12" s="5">
        <v>57970.666666666664</v>
      </c>
      <c r="E12" s="5">
        <v>55175.909090909088</v>
      </c>
    </row>
    <row r="13" spans="1:5" x14ac:dyDescent="0.25">
      <c r="A13" s="4" t="s">
        <v>20</v>
      </c>
      <c r="B13" s="5">
        <v>102889.60000000001</v>
      </c>
      <c r="C13" s="5"/>
      <c r="D13" s="5"/>
      <c r="E13" s="5">
        <v>102889.60000000001</v>
      </c>
    </row>
    <row r="14" spans="1:5" x14ac:dyDescent="0.25">
      <c r="A14" s="4" t="s">
        <v>69</v>
      </c>
      <c r="B14" s="5">
        <v>94574.5</v>
      </c>
      <c r="C14" s="5">
        <v>109360.5</v>
      </c>
      <c r="D14" s="5">
        <v>111691</v>
      </c>
      <c r="E14" s="5">
        <v>107801.60000000001</v>
      </c>
    </row>
    <row r="15" spans="1:5" x14ac:dyDescent="0.25">
      <c r="A15" s="4" t="s">
        <v>43</v>
      </c>
      <c r="B15" s="5"/>
      <c r="C15" s="5">
        <v>124045.625</v>
      </c>
      <c r="D15" s="5">
        <v>128810.66666666667</v>
      </c>
      <c r="E15" s="5">
        <v>125345.18181818182</v>
      </c>
    </row>
    <row r="16" spans="1:5" x14ac:dyDescent="0.25">
      <c r="A16" s="4" t="s">
        <v>16</v>
      </c>
      <c r="B16" s="5"/>
      <c r="C16" s="5"/>
      <c r="D16" s="5">
        <v>42529</v>
      </c>
      <c r="E16" s="5">
        <v>42529</v>
      </c>
    </row>
    <row r="17" spans="1:5" x14ac:dyDescent="0.25">
      <c r="A17" s="4" t="s">
        <v>58</v>
      </c>
      <c r="B17" s="5">
        <v>85858.71428571429</v>
      </c>
      <c r="C17" s="5">
        <v>94219.666666666672</v>
      </c>
      <c r="D17" s="5"/>
      <c r="E17" s="5">
        <v>88367</v>
      </c>
    </row>
    <row r="18" spans="1:5" x14ac:dyDescent="0.25">
      <c r="A18" s="4" t="s">
        <v>79</v>
      </c>
      <c r="B18" s="5">
        <v>90183.517241379304</v>
      </c>
      <c r="C18" s="5">
        <v>188191.03846153847</v>
      </c>
      <c r="D18" s="5">
        <v>72747.444444444438</v>
      </c>
      <c r="E18" s="5">
        <v>101825.89130434782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3</vt:i4>
      </vt:variant>
    </vt:vector>
  </HeadingPairs>
  <TitlesOfParts>
    <vt:vector size="6" baseType="lpstr">
      <vt:lpstr>Repülőjáratok</vt:lpstr>
      <vt:lpstr>Szállások</vt:lpstr>
      <vt:lpstr>Átlagos árak</vt:lpstr>
      <vt:lpstr>fogkő</vt:lpstr>
      <vt:lpstr>kutya</vt:lpstr>
      <vt:lpstr>macska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europa04@server</dc:creator>
  <cp:lastModifiedBy>europa04@server</cp:lastModifiedBy>
  <dcterms:created xsi:type="dcterms:W3CDTF">2026-03-17T12:14:42Z</dcterms:created>
  <dcterms:modified xsi:type="dcterms:W3CDTF">2026-03-18T08:48:47Z</dcterms:modified>
</cp:coreProperties>
</file>