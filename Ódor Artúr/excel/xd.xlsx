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H:\Artúr\fakt2025\Ódor Artúr\excel\"/>
    </mc:Choice>
  </mc:AlternateContent>
  <xr:revisionPtr revIDLastSave="0" documentId="13_ncr:1_{F34C0B6A-E22F-40F9-BCBB-2BECBDA6F69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abelle1" sheetId="1" r:id="rId1"/>
  </sheets>
  <definedNames>
    <definedName name="Adatbázis">Tabelle1!$A$1:$T$16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9" i="1" l="1"/>
  <c r="V6" i="1"/>
  <c r="V3" i="1"/>
</calcChain>
</file>

<file path=xl/sharedStrings.xml><?xml version="1.0" encoding="utf-8"?>
<sst xmlns="http://schemas.openxmlformats.org/spreadsheetml/2006/main" count="73" uniqueCount="53">
  <si>
    <t>osztály</t>
  </si>
  <si>
    <t>évfolyam</t>
  </si>
  <si>
    <t>típus</t>
  </si>
  <si>
    <t>létszám</t>
  </si>
  <si>
    <t>matematika</t>
  </si>
  <si>
    <t>magyar irodalom</t>
  </si>
  <si>
    <t>magyar nyelvtan</t>
  </si>
  <si>
    <t>történelem</t>
  </si>
  <si>
    <t>angol nyelv</t>
  </si>
  <si>
    <t>német nyelv</t>
  </si>
  <si>
    <t>francia nyelv</t>
  </si>
  <si>
    <t>orosz nyelv</t>
  </si>
  <si>
    <t>biológia</t>
  </si>
  <si>
    <t>fizika</t>
  </si>
  <si>
    <t>földrajz</t>
  </si>
  <si>
    <t>kémia</t>
  </si>
  <si>
    <t>digitális kultúra</t>
  </si>
  <si>
    <t>ének</t>
  </si>
  <si>
    <t>testnevelés</t>
  </si>
  <si>
    <t>összesen</t>
  </si>
  <si>
    <t>Kérdések, feladatok</t>
  </si>
  <si>
    <t>7.A</t>
  </si>
  <si>
    <t>6. oszt</t>
  </si>
  <si>
    <t>Mennyi a 30 főnél nagyobb reál osztályok matematika átlaga?</t>
  </si>
  <si>
    <t>8.A</t>
  </si>
  <si>
    <t>9.A</t>
  </si>
  <si>
    <t>9.B</t>
  </si>
  <si>
    <t>humán</t>
  </si>
  <si>
    <t>Hány olyan osztály van, ahol a biológia 3,5-nél, a fizika pedig 3,0-nél jobb?</t>
  </si>
  <si>
    <t>9.C</t>
  </si>
  <si>
    <t>reál</t>
  </si>
  <si>
    <t>10.A</t>
  </si>
  <si>
    <t>10.B</t>
  </si>
  <si>
    <t>Mennyi a legjobb matek átlag azoknál a humán osztályoknál, akik magyarból vagy töriből 4 alattiak?</t>
  </si>
  <si>
    <t>10.C</t>
  </si>
  <si>
    <t>11.A</t>
  </si>
  <si>
    <t>11.B</t>
  </si>
  <si>
    <t>11.C</t>
  </si>
  <si>
    <t>12.A</t>
  </si>
  <si>
    <t>Jelöld</t>
  </si>
  <si>
    <t>12.B</t>
  </si>
  <si>
    <t xml:space="preserve">  - zöld betűszínnel a 4,7 fölötti értékeket</t>
  </si>
  <si>
    <t>12.C</t>
  </si>
  <si>
    <t xml:space="preserve">  - piros betűszínnel a 3,2 alatti értékeket</t>
  </si>
  <si>
    <t>iskola</t>
  </si>
  <si>
    <t xml:space="preserve">  - világoszöld háttérrel az egész sort, ha az osztályátlag 4 fölötti</t>
  </si>
  <si>
    <t xml:space="preserve">  - piros félkövér betűszínnel a leggyengébb átlagú tantárgy nevét</t>
  </si>
  <si>
    <t xml:space="preserve">  - piros szegéllyel az osztály legjobb eredményét</t>
  </si>
  <si>
    <t xml:space="preserve">  - narancs szegéllyel az osztály további 2 legjobb eredményét</t>
  </si>
  <si>
    <t>&gt;30</t>
  </si>
  <si>
    <t>&gt;3,5</t>
  </si>
  <si>
    <t>&gt;3</t>
  </si>
  <si>
    <t>&lt;4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</si>
</sst>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7"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499984740745262"/>
      </font>
    </dxf>
    <dxf>
      <font>
        <color theme="9" tint="-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"/>
  <sheetViews>
    <sheetView tabSelected="1" topLeftCell="K1" zoomScale="85" zoomScaleNormal="85" workbookViewId="0">
      <selection activeCell="P9" sqref="P9"/>
    </sheetView>
  </sheetViews>
  <sheetFormatPr defaultRowHeight="15" x14ac:dyDescent="0.25"/>
  <cols>
    <col min="1" max="1" width="7.5703125" bestFit="1" customWidth="1"/>
    <col min="2" max="2" width="9.42578125" bestFit="1" customWidth="1"/>
    <col min="3" max="3" width="7.5703125" bestFit="1" customWidth="1"/>
    <col min="4" max="4" width="8.42578125" bestFit="1" customWidth="1"/>
    <col min="5" max="5" width="12.28515625" bestFit="1" customWidth="1"/>
    <col min="6" max="6" width="16.7109375" bestFit="1" customWidth="1"/>
    <col min="7" max="7" width="16.140625" bestFit="1" customWidth="1"/>
    <col min="8" max="8" width="11.42578125" bestFit="1" customWidth="1"/>
    <col min="9" max="9" width="11.5703125" bestFit="1" customWidth="1"/>
    <col min="10" max="10" width="12.28515625" bestFit="1" customWidth="1"/>
    <col min="11" max="11" width="12.7109375" bestFit="1" customWidth="1"/>
    <col min="12" max="12" width="11.28515625" bestFit="1" customWidth="1"/>
    <col min="13" max="13" width="8.85546875" bestFit="1" customWidth="1"/>
    <col min="14" max="14" width="6.140625" bestFit="1" customWidth="1"/>
    <col min="15" max="15" width="8" bestFit="1" customWidth="1"/>
    <col min="16" max="16" width="6.85546875" bestFit="1" customWidth="1"/>
    <col min="17" max="17" width="16.140625" bestFit="1" customWidth="1"/>
    <col min="18" max="18" width="5.7109375" bestFit="1" customWidth="1"/>
    <col min="19" max="19" width="11.85546875" bestFit="1" customWidth="1"/>
    <col min="20" max="20" width="9.7109375" bestFit="1" customWidth="1"/>
    <col min="22" max="22" width="96.42578125" bestFit="1" customWidth="1"/>
    <col min="24" max="24" width="12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V1" t="s">
        <v>20</v>
      </c>
    </row>
    <row r="2" spans="1:25" x14ac:dyDescent="0.25">
      <c r="A2" t="s">
        <v>21</v>
      </c>
      <c r="B2">
        <v>7</v>
      </c>
      <c r="C2" t="s">
        <v>22</v>
      </c>
      <c r="D2">
        <v>29</v>
      </c>
      <c r="E2">
        <v>4.9000000000000004</v>
      </c>
      <c r="F2">
        <v>3.4</v>
      </c>
      <c r="G2">
        <v>3.4</v>
      </c>
      <c r="H2">
        <v>4.7</v>
      </c>
      <c r="I2">
        <v>3.1</v>
      </c>
      <c r="J2">
        <v>3.2</v>
      </c>
      <c r="K2">
        <v>4.5</v>
      </c>
      <c r="L2">
        <v>3.6</v>
      </c>
      <c r="M2">
        <v>3.3</v>
      </c>
      <c r="N2">
        <v>3.2</v>
      </c>
      <c r="O2">
        <v>3.6</v>
      </c>
      <c r="P2">
        <v>3.2</v>
      </c>
      <c r="Q2">
        <v>4.2</v>
      </c>
      <c r="R2">
        <v>3.1</v>
      </c>
      <c r="S2">
        <v>4.0999999999999996</v>
      </c>
      <c r="V2" t="s">
        <v>23</v>
      </c>
      <c r="W2" t="s">
        <v>3</v>
      </c>
    </row>
    <row r="3" spans="1:25" x14ac:dyDescent="0.25">
      <c r="A3" t="s">
        <v>24</v>
      </c>
      <c r="B3">
        <v>8</v>
      </c>
      <c r="C3" t="s">
        <v>22</v>
      </c>
      <c r="D3">
        <v>32</v>
      </c>
      <c r="E3">
        <v>3.4</v>
      </c>
      <c r="F3">
        <v>4</v>
      </c>
      <c r="G3">
        <v>3.8</v>
      </c>
      <c r="H3">
        <v>4.3</v>
      </c>
      <c r="I3">
        <v>3.6</v>
      </c>
      <c r="J3">
        <v>3.8</v>
      </c>
      <c r="K3">
        <v>3.1</v>
      </c>
      <c r="L3">
        <v>4.5999999999999996</v>
      </c>
      <c r="M3">
        <v>4</v>
      </c>
      <c r="N3">
        <v>4.0999999999999996</v>
      </c>
      <c r="O3">
        <v>3.4</v>
      </c>
      <c r="P3">
        <v>3.6</v>
      </c>
      <c r="Q3">
        <v>4.2</v>
      </c>
      <c r="R3">
        <v>3.8</v>
      </c>
      <c r="S3">
        <v>3.2</v>
      </c>
      <c r="V3">
        <f>DAVERAGE(Adatbázis,E1,W2:W3)</f>
        <v>3.6625000000000001</v>
      </c>
      <c r="W3" t="s">
        <v>49</v>
      </c>
    </row>
    <row r="4" spans="1:25" x14ac:dyDescent="0.25">
      <c r="A4" t="s">
        <v>25</v>
      </c>
      <c r="B4">
        <v>9</v>
      </c>
      <c r="C4" t="s">
        <v>22</v>
      </c>
      <c r="D4">
        <v>32</v>
      </c>
      <c r="E4">
        <v>3.5</v>
      </c>
      <c r="F4">
        <v>4.5999999999999996</v>
      </c>
      <c r="G4">
        <v>3.3</v>
      </c>
      <c r="H4">
        <v>3.1</v>
      </c>
      <c r="I4">
        <v>3</v>
      </c>
      <c r="J4">
        <v>3.7</v>
      </c>
      <c r="K4">
        <v>3</v>
      </c>
      <c r="L4">
        <v>4.5</v>
      </c>
      <c r="M4">
        <v>3.1</v>
      </c>
      <c r="N4">
        <v>4.4000000000000004</v>
      </c>
      <c r="O4">
        <v>4.8</v>
      </c>
      <c r="P4">
        <v>3.1</v>
      </c>
      <c r="Q4">
        <v>4.5999999999999996</v>
      </c>
      <c r="R4">
        <v>3.4</v>
      </c>
      <c r="S4">
        <v>4</v>
      </c>
    </row>
    <row r="5" spans="1:25" x14ac:dyDescent="0.25">
      <c r="A5" t="s">
        <v>26</v>
      </c>
      <c r="B5">
        <v>9</v>
      </c>
      <c r="C5" t="s">
        <v>27</v>
      </c>
      <c r="D5">
        <v>29</v>
      </c>
      <c r="E5">
        <v>3.8</v>
      </c>
      <c r="F5">
        <v>3.4</v>
      </c>
      <c r="G5">
        <v>4.2</v>
      </c>
      <c r="H5">
        <v>4.3</v>
      </c>
      <c r="I5">
        <v>4.3</v>
      </c>
      <c r="J5">
        <v>3.6</v>
      </c>
      <c r="K5">
        <v>3.9</v>
      </c>
      <c r="L5">
        <v>4.8</v>
      </c>
      <c r="M5">
        <v>3.2</v>
      </c>
      <c r="N5">
        <v>3.4</v>
      </c>
      <c r="O5">
        <v>3</v>
      </c>
      <c r="P5">
        <v>4</v>
      </c>
      <c r="Q5">
        <v>3</v>
      </c>
      <c r="R5">
        <v>4.7</v>
      </c>
      <c r="S5">
        <v>3.2</v>
      </c>
      <c r="V5" t="s">
        <v>28</v>
      </c>
      <c r="W5" t="s">
        <v>12</v>
      </c>
      <c r="X5" t="s">
        <v>13</v>
      </c>
    </row>
    <row r="6" spans="1:25" x14ac:dyDescent="0.25">
      <c r="A6" t="s">
        <v>29</v>
      </c>
      <c r="B6">
        <v>9</v>
      </c>
      <c r="C6" t="s">
        <v>30</v>
      </c>
      <c r="D6">
        <v>31</v>
      </c>
      <c r="E6">
        <v>3.1</v>
      </c>
      <c r="F6">
        <v>4.3</v>
      </c>
      <c r="G6">
        <v>3.2</v>
      </c>
      <c r="H6">
        <v>4.5</v>
      </c>
      <c r="I6">
        <v>3.9</v>
      </c>
      <c r="J6">
        <v>3.2</v>
      </c>
      <c r="K6">
        <v>4.0999999999999996</v>
      </c>
      <c r="L6">
        <v>4.5999999999999996</v>
      </c>
      <c r="M6">
        <v>3.2</v>
      </c>
      <c r="N6">
        <v>3.5</v>
      </c>
      <c r="O6">
        <v>4.5999999999999996</v>
      </c>
      <c r="P6">
        <v>4.9000000000000004</v>
      </c>
      <c r="Q6">
        <v>4.4000000000000004</v>
      </c>
      <c r="R6">
        <v>3.9</v>
      </c>
      <c r="S6">
        <v>4.8</v>
      </c>
      <c r="V6">
        <f>DCOUNT(Adatbázis,B1,W5:X6)</f>
        <v>5</v>
      </c>
      <c r="W6" t="s">
        <v>50</v>
      </c>
      <c r="X6" t="s">
        <v>51</v>
      </c>
    </row>
    <row r="7" spans="1:25" x14ac:dyDescent="0.25">
      <c r="A7" t="s">
        <v>31</v>
      </c>
      <c r="B7">
        <v>10</v>
      </c>
      <c r="C7" t="s">
        <v>22</v>
      </c>
      <c r="D7">
        <v>32</v>
      </c>
      <c r="E7">
        <v>3.4</v>
      </c>
      <c r="F7">
        <v>3.9</v>
      </c>
      <c r="G7">
        <v>3.3</v>
      </c>
      <c r="H7">
        <v>4.4000000000000004</v>
      </c>
      <c r="I7">
        <v>3.7</v>
      </c>
      <c r="J7">
        <v>4.7</v>
      </c>
      <c r="K7">
        <v>3.4</v>
      </c>
      <c r="L7">
        <v>4</v>
      </c>
      <c r="M7">
        <v>3.7</v>
      </c>
      <c r="N7">
        <v>3</v>
      </c>
      <c r="O7">
        <v>3.9</v>
      </c>
      <c r="P7">
        <v>4.5999999999999996</v>
      </c>
      <c r="Q7">
        <v>4.9000000000000004</v>
      </c>
      <c r="R7">
        <v>3.6</v>
      </c>
      <c r="S7">
        <v>3.6</v>
      </c>
    </row>
    <row r="8" spans="1:25" x14ac:dyDescent="0.25">
      <c r="A8" t="s">
        <v>32</v>
      </c>
      <c r="B8">
        <v>10</v>
      </c>
      <c r="C8" t="s">
        <v>27</v>
      </c>
      <c r="D8">
        <v>32</v>
      </c>
      <c r="E8">
        <v>4.9000000000000004</v>
      </c>
      <c r="F8">
        <v>3.7</v>
      </c>
      <c r="G8">
        <v>4.5999999999999996</v>
      </c>
      <c r="H8">
        <v>3.2</v>
      </c>
      <c r="I8">
        <v>5</v>
      </c>
      <c r="J8">
        <v>4.8</v>
      </c>
      <c r="K8">
        <v>3.6</v>
      </c>
      <c r="L8">
        <v>4.4000000000000004</v>
      </c>
      <c r="M8">
        <v>3.4</v>
      </c>
      <c r="N8">
        <v>3.4</v>
      </c>
      <c r="O8">
        <v>4.3</v>
      </c>
      <c r="P8">
        <v>3.2</v>
      </c>
      <c r="Q8">
        <v>4.0999999999999996</v>
      </c>
      <c r="R8">
        <v>3.4</v>
      </c>
      <c r="S8">
        <v>3.5</v>
      </c>
      <c r="V8" t="s">
        <v>33</v>
      </c>
      <c r="W8" t="s">
        <v>2</v>
      </c>
      <c r="X8" t="s">
        <v>5</v>
      </c>
      <c r="Y8" t="s">
        <v>7</v>
      </c>
    </row>
    <row r="9" spans="1:25" x14ac:dyDescent="0.25">
      <c r="A9" t="s">
        <v>34</v>
      </c>
      <c r="B9">
        <v>10</v>
      </c>
      <c r="C9" t="s">
        <v>30</v>
      </c>
      <c r="D9">
        <v>31</v>
      </c>
      <c r="E9">
        <v>3.7</v>
      </c>
      <c r="F9">
        <v>3.5</v>
      </c>
      <c r="G9">
        <v>3.9</v>
      </c>
      <c r="H9">
        <v>3.2</v>
      </c>
      <c r="I9">
        <v>3.4</v>
      </c>
      <c r="J9">
        <v>4.9000000000000004</v>
      </c>
      <c r="K9">
        <v>4.5</v>
      </c>
      <c r="L9">
        <v>3.9</v>
      </c>
      <c r="M9">
        <v>3.7</v>
      </c>
      <c r="N9">
        <v>3.2</v>
      </c>
      <c r="O9">
        <v>4.0999999999999996</v>
      </c>
      <c r="P9">
        <v>3.3</v>
      </c>
      <c r="Q9">
        <v>4.5</v>
      </c>
      <c r="R9">
        <v>3.8</v>
      </c>
      <c r="S9">
        <v>4.2</v>
      </c>
      <c r="V9">
        <f>DMAX(Adatbázis,E1,W8:Y10)</f>
        <v>4.9000000000000004</v>
      </c>
      <c r="W9" t="s">
        <v>27</v>
      </c>
      <c r="X9" t="s">
        <v>52</v>
      </c>
    </row>
    <row r="10" spans="1:25" x14ac:dyDescent="0.25">
      <c r="A10" t="s">
        <v>35</v>
      </c>
      <c r="B10">
        <v>11</v>
      </c>
      <c r="C10" t="s">
        <v>22</v>
      </c>
      <c r="D10">
        <v>29</v>
      </c>
      <c r="E10">
        <v>3.9</v>
      </c>
      <c r="F10">
        <v>3.9</v>
      </c>
      <c r="G10">
        <v>5</v>
      </c>
      <c r="H10">
        <v>4.3</v>
      </c>
      <c r="I10">
        <v>4.5999999999999996</v>
      </c>
      <c r="J10">
        <v>3.6</v>
      </c>
      <c r="K10">
        <v>3.6</v>
      </c>
      <c r="L10">
        <v>3</v>
      </c>
      <c r="M10">
        <v>3.4</v>
      </c>
      <c r="N10">
        <v>3.1</v>
      </c>
      <c r="O10">
        <v>4.0999999999999996</v>
      </c>
      <c r="P10">
        <v>4.7</v>
      </c>
      <c r="Q10">
        <v>4.5999999999999996</v>
      </c>
      <c r="R10">
        <v>3.1</v>
      </c>
      <c r="S10">
        <v>3.1</v>
      </c>
      <c r="W10" t="s">
        <v>27</v>
      </c>
      <c r="Y10" t="s">
        <v>52</v>
      </c>
    </row>
    <row r="11" spans="1:25" x14ac:dyDescent="0.25">
      <c r="A11" t="s">
        <v>36</v>
      </c>
      <c r="B11">
        <v>11</v>
      </c>
      <c r="C11" t="s">
        <v>27</v>
      </c>
      <c r="D11">
        <v>32</v>
      </c>
      <c r="E11">
        <v>3.8</v>
      </c>
      <c r="F11">
        <v>4.0999999999999996</v>
      </c>
      <c r="G11">
        <v>4.2</v>
      </c>
      <c r="H11">
        <v>3.6</v>
      </c>
      <c r="I11">
        <v>3.9</v>
      </c>
      <c r="J11">
        <v>5</v>
      </c>
      <c r="K11">
        <v>4.9000000000000004</v>
      </c>
      <c r="L11">
        <v>3.2</v>
      </c>
      <c r="M11">
        <v>3.1</v>
      </c>
      <c r="N11">
        <v>4.0999999999999996</v>
      </c>
      <c r="O11">
        <v>4.4000000000000004</v>
      </c>
      <c r="P11">
        <v>4.7</v>
      </c>
      <c r="Q11">
        <v>4.3</v>
      </c>
      <c r="R11">
        <v>3.2</v>
      </c>
      <c r="S11">
        <v>3.2</v>
      </c>
    </row>
    <row r="12" spans="1:25" x14ac:dyDescent="0.25">
      <c r="A12" t="s">
        <v>37</v>
      </c>
      <c r="B12">
        <v>11</v>
      </c>
      <c r="C12" t="s">
        <v>30</v>
      </c>
      <c r="D12">
        <v>29</v>
      </c>
      <c r="E12">
        <v>4.8</v>
      </c>
      <c r="F12">
        <v>4.5999999999999996</v>
      </c>
      <c r="G12">
        <v>3.4</v>
      </c>
      <c r="H12">
        <v>4.5</v>
      </c>
      <c r="I12">
        <v>3.3</v>
      </c>
      <c r="J12">
        <v>3.6</v>
      </c>
      <c r="K12">
        <v>3.9</v>
      </c>
      <c r="L12">
        <v>4.0999999999999996</v>
      </c>
      <c r="M12">
        <v>4.5999999999999996</v>
      </c>
      <c r="N12">
        <v>3.7</v>
      </c>
      <c r="O12">
        <v>4.4000000000000004</v>
      </c>
      <c r="P12">
        <v>3.9</v>
      </c>
      <c r="Q12">
        <v>3.9</v>
      </c>
      <c r="R12">
        <v>3.5</v>
      </c>
      <c r="S12">
        <v>3</v>
      </c>
    </row>
    <row r="13" spans="1:25" x14ac:dyDescent="0.25">
      <c r="A13" t="s">
        <v>38</v>
      </c>
      <c r="B13">
        <v>12</v>
      </c>
      <c r="C13" t="s">
        <v>22</v>
      </c>
      <c r="D13">
        <v>31</v>
      </c>
      <c r="E13">
        <v>3.5</v>
      </c>
      <c r="F13">
        <v>4.4000000000000004</v>
      </c>
      <c r="G13">
        <v>4.7</v>
      </c>
      <c r="H13">
        <v>3.1</v>
      </c>
      <c r="I13">
        <v>3</v>
      </c>
      <c r="J13">
        <v>4.5</v>
      </c>
      <c r="K13">
        <v>3.9</v>
      </c>
      <c r="L13">
        <v>4.9000000000000004</v>
      </c>
      <c r="M13">
        <v>4.8</v>
      </c>
      <c r="N13">
        <v>3.3</v>
      </c>
      <c r="O13">
        <v>4.0999999999999996</v>
      </c>
      <c r="P13">
        <v>4.8</v>
      </c>
      <c r="Q13">
        <v>3.9</v>
      </c>
      <c r="R13">
        <v>3</v>
      </c>
      <c r="S13">
        <v>4.0999999999999996</v>
      </c>
      <c r="V13" t="s">
        <v>39</v>
      </c>
    </row>
    <row r="14" spans="1:25" x14ac:dyDescent="0.25">
      <c r="A14" t="s">
        <v>40</v>
      </c>
      <c r="B14">
        <v>12</v>
      </c>
      <c r="C14" t="s">
        <v>27</v>
      </c>
      <c r="D14">
        <v>30</v>
      </c>
      <c r="E14">
        <v>4.5</v>
      </c>
      <c r="F14">
        <v>4.5999999999999996</v>
      </c>
      <c r="G14">
        <v>4.2</v>
      </c>
      <c r="H14">
        <v>4.5999999999999996</v>
      </c>
      <c r="I14">
        <v>3.7</v>
      </c>
      <c r="J14">
        <v>3.4</v>
      </c>
      <c r="K14">
        <v>3.4</v>
      </c>
      <c r="L14">
        <v>3.7</v>
      </c>
      <c r="M14">
        <v>4.5999999999999996</v>
      </c>
      <c r="N14">
        <v>4.9000000000000004</v>
      </c>
      <c r="O14">
        <v>3.1</v>
      </c>
      <c r="P14">
        <v>3.8</v>
      </c>
      <c r="Q14">
        <v>3.5</v>
      </c>
      <c r="R14">
        <v>4.2</v>
      </c>
      <c r="S14">
        <v>3.2</v>
      </c>
      <c r="V14" t="s">
        <v>41</v>
      </c>
    </row>
    <row r="15" spans="1:25" x14ac:dyDescent="0.25">
      <c r="A15" t="s">
        <v>42</v>
      </c>
      <c r="B15">
        <v>12</v>
      </c>
      <c r="C15" t="s">
        <v>30</v>
      </c>
      <c r="D15">
        <v>28</v>
      </c>
      <c r="E15">
        <v>4.8</v>
      </c>
      <c r="F15">
        <v>4.7</v>
      </c>
      <c r="G15">
        <v>4</v>
      </c>
      <c r="H15">
        <v>3.8</v>
      </c>
      <c r="I15">
        <v>4.3</v>
      </c>
      <c r="J15">
        <v>4.9000000000000004</v>
      </c>
      <c r="K15">
        <v>3.7</v>
      </c>
      <c r="L15">
        <v>4.7</v>
      </c>
      <c r="M15">
        <v>3.4</v>
      </c>
      <c r="N15">
        <v>4.7</v>
      </c>
      <c r="O15">
        <v>4.2</v>
      </c>
      <c r="P15">
        <v>3.1</v>
      </c>
      <c r="Q15">
        <v>3.2</v>
      </c>
      <c r="R15">
        <v>3.2</v>
      </c>
      <c r="S15">
        <v>3.9</v>
      </c>
      <c r="V15" t="s">
        <v>43</v>
      </c>
    </row>
    <row r="16" spans="1:25" x14ac:dyDescent="0.25">
      <c r="A16" t="s">
        <v>44</v>
      </c>
      <c r="V16" t="s">
        <v>45</v>
      </c>
    </row>
    <row r="17" spans="22:22" x14ac:dyDescent="0.25">
      <c r="V17" t="s">
        <v>46</v>
      </c>
    </row>
    <row r="18" spans="22:22" x14ac:dyDescent="0.25">
      <c r="V18" t="s">
        <v>47</v>
      </c>
    </row>
    <row r="19" spans="22:22" x14ac:dyDescent="0.25">
      <c r="V19" t="s">
        <v>48</v>
      </c>
    </row>
  </sheetData>
  <conditionalFormatting sqref="E2:S15">
    <cfRule type="expression" dxfId="0" priority="1">
      <formula>A1&gt;4.7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Tabelle1</vt:lpstr>
      <vt:lpstr>Adatbázis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europa04</dc:creator>
  <cp:lastModifiedBy>europa04@server</cp:lastModifiedBy>
  <dcterms:created xsi:type="dcterms:W3CDTF">2015-06-05T18:19:34Z</dcterms:created>
  <dcterms:modified xsi:type="dcterms:W3CDTF">2026-03-04T08:50:04Z</dcterms:modified>
</cp:coreProperties>
</file>