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hidePivotFieldList="1"/>
  <xr:revisionPtr revIDLastSave="0" documentId="13_ncr:1_{35703261-2F7F-4412-BAFC-74EAFD672074}" xr6:coauthVersionLast="36" xr6:coauthVersionMax="47" xr10:uidLastSave="{00000000-0000-0000-0000-000000000000}"/>
  <bookViews>
    <workbookView xWindow="0" yWindow="0" windowWidth="25200" windowHeight="11655" xr2:uid="{A26C1162-A47A-4367-B7E4-0E0DC76AF6FB}"/>
  </bookViews>
  <sheets>
    <sheet name="Repülőjáratok" sheetId="1" r:id="rId1"/>
    <sheet name="Szállások" sheetId="15" r:id="rId2"/>
    <sheet name="Munka1" sheetId="16" r:id="rId3"/>
  </sheets>
  <definedNames>
    <definedName name="_xlnm._FilterDatabase" localSheetId="0" hidden="1">Repülőjáratok!$A$1:$P$139</definedName>
    <definedName name="_xlnm._FilterDatabase" localSheetId="1" hidden="1">Szállások!$A$1:$G$50</definedName>
    <definedName name="_xlnm.Criteria" localSheetId="0">Repülőjáratok!$T$9:$X$10</definedName>
    <definedName name="_xlnm.Criteria" localSheetId="1">Szállások!$J$9:$N$11</definedName>
    <definedName name="_xlnm.Extract" localSheetId="0">Repülőjáratok!$C$142:$P$142</definedName>
    <definedName name="_xlnm.Extract" localSheetId="1">Szállások!$I$13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5" l="1"/>
  <c r="H2" i="15"/>
  <c r="Q2" i="1"/>
  <c r="O2" i="1" l="1"/>
  <c r="O56" i="1" l="1"/>
  <c r="P56" i="1"/>
  <c r="O132" i="1"/>
  <c r="P132" i="1"/>
  <c r="O23" i="1"/>
  <c r="P23" i="1"/>
  <c r="O32" i="1"/>
  <c r="P32" i="1"/>
  <c r="O34" i="1"/>
  <c r="P34" i="1"/>
  <c r="O48" i="1"/>
  <c r="P48" i="1"/>
  <c r="O77" i="1"/>
  <c r="P77" i="1"/>
  <c r="O29" i="1"/>
  <c r="P29" i="1"/>
  <c r="O112" i="1"/>
  <c r="P112" i="1"/>
  <c r="O109" i="1"/>
  <c r="P109" i="1"/>
  <c r="O14" i="1"/>
  <c r="P14" i="1"/>
  <c r="O72" i="1"/>
  <c r="P72" i="1"/>
  <c r="O62" i="1"/>
  <c r="P62" i="1"/>
  <c r="O68" i="1"/>
  <c r="P68" i="1"/>
  <c r="O5" i="1"/>
  <c r="P5" i="1"/>
  <c r="O92" i="1"/>
  <c r="P92" i="1"/>
  <c r="O41" i="1"/>
  <c r="P41" i="1"/>
  <c r="O46" i="1"/>
  <c r="P46" i="1"/>
  <c r="O15" i="1"/>
  <c r="P15" i="1"/>
  <c r="O78" i="1"/>
  <c r="P78" i="1"/>
  <c r="O67" i="1"/>
  <c r="P67" i="1"/>
  <c r="O80" i="1"/>
  <c r="P80" i="1"/>
  <c r="O63" i="1"/>
  <c r="P63" i="1"/>
  <c r="O51" i="1"/>
  <c r="P51" i="1"/>
  <c r="O99" i="1"/>
  <c r="P99" i="1"/>
  <c r="O69" i="1"/>
  <c r="P69" i="1"/>
  <c r="O105" i="1"/>
  <c r="P105" i="1"/>
  <c r="O81" i="1"/>
  <c r="P81" i="1"/>
  <c r="O10" i="1"/>
  <c r="P10" i="1"/>
  <c r="O130" i="1"/>
  <c r="P130" i="1"/>
  <c r="O37" i="1"/>
  <c r="P37" i="1"/>
  <c r="O118" i="1"/>
  <c r="P118" i="1"/>
  <c r="O8" i="1"/>
  <c r="P8" i="1"/>
  <c r="O75" i="1"/>
  <c r="P75" i="1"/>
  <c r="O6" i="1"/>
  <c r="P6" i="1"/>
  <c r="O96" i="1"/>
  <c r="P96" i="1"/>
  <c r="O91" i="1"/>
  <c r="P91" i="1"/>
  <c r="O124" i="1"/>
  <c r="P124" i="1"/>
  <c r="O108" i="1"/>
  <c r="P108" i="1"/>
  <c r="O113" i="1"/>
  <c r="P113" i="1"/>
  <c r="O126" i="1"/>
  <c r="P126" i="1"/>
  <c r="O79" i="1"/>
  <c r="P79" i="1"/>
  <c r="O71" i="1"/>
  <c r="P71" i="1"/>
  <c r="O93" i="1"/>
  <c r="P93" i="1"/>
  <c r="O66" i="1"/>
  <c r="P66" i="1"/>
  <c r="O42" i="1"/>
  <c r="P42" i="1"/>
  <c r="O107" i="1"/>
  <c r="P107" i="1"/>
  <c r="O70" i="1"/>
  <c r="P70" i="1"/>
  <c r="O28" i="1"/>
  <c r="P28" i="1"/>
  <c r="O19" i="1"/>
  <c r="P19" i="1"/>
  <c r="O74" i="1"/>
  <c r="P74" i="1"/>
  <c r="O97" i="1"/>
  <c r="P97" i="1"/>
  <c r="O7" i="1"/>
  <c r="P7" i="1"/>
  <c r="O20" i="1"/>
  <c r="P20" i="1"/>
  <c r="O13" i="1"/>
  <c r="P13" i="1"/>
  <c r="O76" i="1"/>
  <c r="P76" i="1"/>
  <c r="O138" i="1"/>
  <c r="P138" i="1"/>
  <c r="O39" i="1"/>
  <c r="P39" i="1"/>
  <c r="O38" i="1"/>
  <c r="P38" i="1"/>
  <c r="O131" i="1"/>
  <c r="P131" i="1"/>
  <c r="O21" i="1"/>
  <c r="P21" i="1"/>
  <c r="O137" i="1"/>
  <c r="P137" i="1"/>
  <c r="O87" i="1"/>
  <c r="P87" i="1"/>
  <c r="O12" i="1"/>
  <c r="P12" i="1"/>
  <c r="O18" i="1"/>
  <c r="P18" i="1"/>
  <c r="O88" i="1"/>
  <c r="P88" i="1"/>
  <c r="O83" i="1"/>
  <c r="P83" i="1"/>
  <c r="O85" i="1"/>
  <c r="P85" i="1"/>
  <c r="O43" i="1"/>
  <c r="P43" i="1"/>
  <c r="O95" i="1"/>
  <c r="P95" i="1"/>
  <c r="O82" i="1"/>
  <c r="P82" i="1"/>
  <c r="O64" i="1"/>
  <c r="P64" i="1"/>
  <c r="O139" i="1"/>
  <c r="P139" i="1"/>
  <c r="O90" i="1"/>
  <c r="P90" i="1"/>
  <c r="O116" i="1"/>
  <c r="P116" i="1"/>
  <c r="O57" i="1"/>
  <c r="P57" i="1"/>
  <c r="O122" i="1"/>
  <c r="P122" i="1"/>
  <c r="O24" i="1"/>
  <c r="P24" i="1"/>
  <c r="O104" i="1"/>
  <c r="P104" i="1"/>
  <c r="O125" i="1"/>
  <c r="P125" i="1"/>
  <c r="O27" i="1"/>
  <c r="P27" i="1"/>
  <c r="O119" i="1"/>
  <c r="P119" i="1"/>
  <c r="O121" i="1"/>
  <c r="P121" i="1"/>
  <c r="O59" i="1"/>
  <c r="P59" i="1"/>
  <c r="O3" i="1"/>
  <c r="P3" i="1"/>
  <c r="O102" i="1"/>
  <c r="P102" i="1"/>
  <c r="O133" i="1"/>
  <c r="P133" i="1"/>
  <c r="O84" i="1"/>
  <c r="P84" i="1"/>
  <c r="O25" i="1"/>
  <c r="P25" i="1"/>
  <c r="O22" i="1"/>
  <c r="P22" i="1"/>
  <c r="O120" i="1"/>
  <c r="P120" i="1"/>
  <c r="O40" i="1"/>
  <c r="P40" i="1"/>
  <c r="O36" i="1"/>
  <c r="P36" i="1"/>
  <c r="O52" i="1"/>
  <c r="P52" i="1"/>
  <c r="O55" i="1"/>
  <c r="P55" i="1"/>
  <c r="O123" i="1"/>
  <c r="P123" i="1"/>
  <c r="O35" i="1"/>
  <c r="P35" i="1"/>
  <c r="O17" i="1"/>
  <c r="P17" i="1"/>
  <c r="O58" i="1"/>
  <c r="P58" i="1"/>
  <c r="O60" i="1"/>
  <c r="P60" i="1"/>
  <c r="O30" i="1"/>
  <c r="P30" i="1"/>
  <c r="O103" i="1"/>
  <c r="P103" i="1"/>
  <c r="O4" i="1"/>
  <c r="P4" i="1"/>
  <c r="O135" i="1"/>
  <c r="P135" i="1"/>
  <c r="O33" i="1"/>
  <c r="P33" i="1"/>
  <c r="O86" i="1"/>
  <c r="P86" i="1"/>
  <c r="O11" i="1"/>
  <c r="P11" i="1"/>
  <c r="O94" i="1"/>
  <c r="P94" i="1"/>
  <c r="O49" i="1"/>
  <c r="P49" i="1"/>
  <c r="O114" i="1"/>
  <c r="P114" i="1"/>
  <c r="O31" i="1"/>
  <c r="P31" i="1"/>
  <c r="O44" i="1"/>
  <c r="P44" i="1"/>
  <c r="O101" i="1"/>
  <c r="P101" i="1"/>
  <c r="O127" i="1"/>
  <c r="P127" i="1"/>
  <c r="O100" i="1"/>
  <c r="P100" i="1"/>
  <c r="O89" i="1"/>
  <c r="P89" i="1"/>
  <c r="O16" i="1"/>
  <c r="P16" i="1"/>
  <c r="O115" i="1"/>
  <c r="P115" i="1"/>
  <c r="O117" i="1"/>
  <c r="P117" i="1"/>
  <c r="O65" i="1"/>
  <c r="P65" i="1"/>
  <c r="O45" i="1"/>
  <c r="P45" i="1"/>
  <c r="O61" i="1"/>
  <c r="P61" i="1"/>
  <c r="O134" i="1"/>
  <c r="P134" i="1"/>
  <c r="O26" i="1"/>
  <c r="P26" i="1"/>
  <c r="O98" i="1"/>
  <c r="P98" i="1"/>
  <c r="O54" i="1"/>
  <c r="P54" i="1"/>
  <c r="O128" i="1"/>
  <c r="P128" i="1"/>
  <c r="O9" i="1"/>
  <c r="P9" i="1"/>
  <c r="O110" i="1"/>
  <c r="P110" i="1"/>
  <c r="O73" i="1"/>
  <c r="P73" i="1"/>
  <c r="O53" i="1"/>
  <c r="P53" i="1"/>
  <c r="O106" i="1"/>
  <c r="P106" i="1"/>
  <c r="O136" i="1"/>
  <c r="P136" i="1"/>
  <c r="O111" i="1"/>
  <c r="P111" i="1"/>
  <c r="O129" i="1"/>
  <c r="P129" i="1"/>
  <c r="O47" i="1"/>
  <c r="P47" i="1"/>
  <c r="O50" i="1"/>
  <c r="P50" i="1"/>
  <c r="P2" i="1"/>
</calcChain>
</file>

<file path=xl/sharedStrings.xml><?xml version="1.0" encoding="utf-8"?>
<sst xmlns="http://schemas.openxmlformats.org/spreadsheetml/2006/main" count="1440" uniqueCount="152">
  <si>
    <t>Milánó</t>
  </si>
  <si>
    <t>Róma</t>
  </si>
  <si>
    <t>Bari</t>
  </si>
  <si>
    <t>Nápoly</t>
  </si>
  <si>
    <t>Catania</t>
  </si>
  <si>
    <t>Bologna</t>
  </si>
  <si>
    <t>Pisa</t>
  </si>
  <si>
    <t>Palermo</t>
  </si>
  <si>
    <t>Trieszt</t>
  </si>
  <si>
    <t>Genova</t>
  </si>
  <si>
    <t>Calgiari</t>
  </si>
  <si>
    <t>Alghero Sardinia</t>
  </si>
  <si>
    <t>Rimini</t>
  </si>
  <si>
    <t>BUD</t>
  </si>
  <si>
    <t>MXP</t>
  </si>
  <si>
    <t>BGY</t>
  </si>
  <si>
    <t>FCO</t>
  </si>
  <si>
    <t>CIA</t>
  </si>
  <si>
    <t>BRI</t>
  </si>
  <si>
    <t>TRS</t>
  </si>
  <si>
    <t>VIE</t>
  </si>
  <si>
    <t>AMS</t>
  </si>
  <si>
    <t>MUC</t>
  </si>
  <si>
    <t>NAP</t>
  </si>
  <si>
    <t>VCE</t>
  </si>
  <si>
    <t>BEG</t>
  </si>
  <si>
    <t>CTA</t>
  </si>
  <si>
    <t>BLQ</t>
  </si>
  <si>
    <t>ZRH</t>
  </si>
  <si>
    <t>PSA</t>
  </si>
  <si>
    <t>BVA</t>
  </si>
  <si>
    <t>FRA</t>
  </si>
  <si>
    <t>EIN</t>
  </si>
  <si>
    <t>CRL</t>
  </si>
  <si>
    <t>TIA</t>
  </si>
  <si>
    <t>PRG</t>
  </si>
  <si>
    <t>PMO</t>
  </si>
  <si>
    <t>GOA</t>
  </si>
  <si>
    <t>CAG</t>
  </si>
  <si>
    <t>BCN</t>
  </si>
  <si>
    <t>DUS</t>
  </si>
  <si>
    <t>AHO</t>
  </si>
  <si>
    <t>RMI</t>
  </si>
  <si>
    <t>MUC FRA</t>
  </si>
  <si>
    <t>FRA MUC</t>
  </si>
  <si>
    <t>BGY BDS</t>
  </si>
  <si>
    <t>VCE CTA</t>
  </si>
  <si>
    <t>DOH BCN</t>
  </si>
  <si>
    <t>VCE PMO</t>
  </si>
  <si>
    <t>TRN FCO</t>
  </si>
  <si>
    <t>FCO PMO</t>
  </si>
  <si>
    <t>ZRH BLQ</t>
  </si>
  <si>
    <t>VIE BLQ</t>
  </si>
  <si>
    <t>2 átszállás</t>
  </si>
  <si>
    <t>1 átszállás</t>
  </si>
  <si>
    <t>FCO TIA</t>
  </si>
  <si>
    <t>MXP TIA</t>
  </si>
  <si>
    <t>BCN TIA</t>
  </si>
  <si>
    <t>TIA FCO</t>
  </si>
  <si>
    <t>TIA NAP</t>
  </si>
  <si>
    <t>Közvetlen járat</t>
  </si>
  <si>
    <t>1 átszállá</t>
  </si>
  <si>
    <t>Célállomás</t>
  </si>
  <si>
    <t>Indulási reptér oda</t>
  </si>
  <si>
    <t>Átszállás oda</t>
  </si>
  <si>
    <t>Átszállás repterek oda</t>
  </si>
  <si>
    <t>Érkezési reptér oda</t>
  </si>
  <si>
    <t>Indulási idő oda</t>
  </si>
  <si>
    <t>Érkezési idő oda</t>
  </si>
  <si>
    <t>Indulási idő vissza</t>
  </si>
  <si>
    <t>Indulási reptér vissza</t>
  </si>
  <si>
    <t>Átszállás vissza</t>
  </si>
  <si>
    <t>Átszállás repterek vissza</t>
  </si>
  <si>
    <t>Érkezési idő vissza</t>
  </si>
  <si>
    <t>Érkezési reptér vissza</t>
  </si>
  <si>
    <t>Ár</t>
  </si>
  <si>
    <t/>
  </si>
  <si>
    <t>Paderno Dugnano</t>
  </si>
  <si>
    <t>Sesto San Giovanni</t>
  </si>
  <si>
    <t>Solbiate Olona</t>
  </si>
  <si>
    <t>Vimercate</t>
  </si>
  <si>
    <t>Cercola</t>
  </si>
  <si>
    <t>Fiumicino</t>
  </si>
  <si>
    <t>Villa Serenità</t>
  </si>
  <si>
    <t>Casa Bella Vista</t>
  </si>
  <si>
    <t>Palazzo del Cuore</t>
  </si>
  <si>
    <t>La Dolce Dimora</t>
  </si>
  <si>
    <t>Casa dei Sogni</t>
  </si>
  <si>
    <t>Villa Incantata</t>
  </si>
  <si>
    <t>Il Nido Felice</t>
  </si>
  <si>
    <t>Casa del Sole</t>
  </si>
  <si>
    <t>La Casetta Romantica</t>
  </si>
  <si>
    <t>Villa dei Fiori</t>
  </si>
  <si>
    <t>Dimora d’Amore</t>
  </si>
  <si>
    <t>Il Rifugio Tranquillo</t>
  </si>
  <si>
    <t>La Casa Affascinante</t>
  </si>
  <si>
    <t>Villa della Luna</t>
  </si>
  <si>
    <t>La Cascina Graziosa</t>
  </si>
  <si>
    <t>La Dimora dei Ricordi</t>
  </si>
  <si>
    <t>Casa del Cielo</t>
  </si>
  <si>
    <t>Villa Amore Mio</t>
  </si>
  <si>
    <t>Il Casale Felice</t>
  </si>
  <si>
    <t>La Casa di Pietra</t>
  </si>
  <si>
    <t>Casa del Buongiorno</t>
  </si>
  <si>
    <t>La Dimora Accogliente</t>
  </si>
  <si>
    <t>Villa del Vino</t>
  </si>
  <si>
    <t>La Casetta del Bosco</t>
  </si>
  <si>
    <t>Il Palazzo delle Stelle</t>
  </si>
  <si>
    <t>La Casa del Vento</t>
  </si>
  <si>
    <t>Casa delle Delizie</t>
  </si>
  <si>
    <t>Villa degli Ulivi</t>
  </si>
  <si>
    <t>La Dimora Raffinata</t>
  </si>
  <si>
    <t>Casa del Cuore Felice</t>
  </si>
  <si>
    <t>Villa Incantevole</t>
  </si>
  <si>
    <t>La Casetta Dorata</t>
  </si>
  <si>
    <t>Casa dei Sogni Blu</t>
  </si>
  <si>
    <t>Il Nido del Sole</t>
  </si>
  <si>
    <t>Villa del Mare</t>
  </si>
  <si>
    <t>La Dimora Verde</t>
  </si>
  <si>
    <t>Casa delle Querce</t>
  </si>
  <si>
    <t>Villa dei Sogni Dolci</t>
  </si>
  <si>
    <t>La Casetta del Sole</t>
  </si>
  <si>
    <t>Casa Romantica</t>
  </si>
  <si>
    <t>Villa Tranquilla</t>
  </si>
  <si>
    <t>La Dimora dei Ciliegi</t>
  </si>
  <si>
    <t>Casa Amorevole</t>
  </si>
  <si>
    <t>La Casa delle Stelle Cadenti</t>
  </si>
  <si>
    <t>Villa dei Cipressi</t>
  </si>
  <si>
    <t>La Casetta del Sorriso</t>
  </si>
  <si>
    <t>Casa del Sogno Dorato</t>
  </si>
  <si>
    <t>Il Palazzo Felice</t>
  </si>
  <si>
    <t>La Dimora del Vino</t>
  </si>
  <si>
    <t>Név</t>
  </si>
  <si>
    <t>Távolság a központtól</t>
  </si>
  <si>
    <t>Csillagok száma</t>
  </si>
  <si>
    <t>Értékelés</t>
  </si>
  <si>
    <t>Város</t>
  </si>
  <si>
    <t>Értékelők száma</t>
  </si>
  <si>
    <t>Szállás típusa</t>
  </si>
  <si>
    <t>Nyaraló</t>
  </si>
  <si>
    <t>Lakóautó kemping</t>
  </si>
  <si>
    <t>Apartmanház</t>
  </si>
  <si>
    <t>Vendégház</t>
  </si>
  <si>
    <t>Vendégház reggelivel</t>
  </si>
  <si>
    <t>Utazási idő oda</t>
  </si>
  <si>
    <t>Utazási idő vissza</t>
  </si>
  <si>
    <t>Sorcímkék</t>
  </si>
  <si>
    <t>Végösszeg</t>
  </si>
  <si>
    <t>Átlagos ár</t>
  </si>
  <si>
    <t>Oszlopcímkék</t>
  </si>
  <si>
    <t>Legolcsóbb</t>
  </si>
  <si>
    <t>Átlag százalék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</si>
</sst>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Ft&quot;_-;\-* #,##0.00\ &quot;Ft&quot;_-;_-* &quot;-&quot;??\ &quot;Ft&quot;_-;_-@_-"/>
    <numFmt numFmtId="164" formatCode="h:mm;@"/>
    <numFmt numFmtId="165" formatCode="_-* #,##0\ &quot;Ft&quot;_-;\-* #,##0\ &quot;Ft&quot;_-;_-* &quot;-&quot;??\ &quot;Ft&quot;_-;_-@_-"/>
    <numFmt numFmtId="166" formatCode="h&quot; óra &quot;mm&quot; perc&quot;;@"/>
    <numFmt numFmtId="167" formatCode="General&quot; db&quot;"/>
    <numFmt numFmtId="168" formatCode="General&quot; km&quot;"/>
  </numFmts>
  <fonts count="5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theme="1"/>
      <name val="Aptos Narrow"/>
      <charset val="238"/>
      <scheme val="minor"/>
    </font>
    <font>
      <sz val="11"/>
      <name val="Aptos Narrow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1" applyNumberFormat="1" applyFont="1" applyBorder="1"/>
    <xf numFmtId="166" fontId="3" fillId="0" borderId="1" xfId="0" applyNumberFormat="1" applyFont="1" applyBorder="1"/>
    <xf numFmtId="44" fontId="3" fillId="0" borderId="0" xfId="1" applyFont="1" applyFill="1"/>
    <xf numFmtId="167" fontId="3" fillId="0" borderId="0" xfId="0" applyNumberFormat="1" applyFont="1"/>
    <xf numFmtId="165" fontId="3" fillId="0" borderId="0" xfId="1" applyNumberFormat="1" applyFont="1"/>
    <xf numFmtId="164" fontId="3" fillId="0" borderId="0" xfId="0" applyNumberFormat="1" applyFont="1"/>
    <xf numFmtId="166" fontId="3" fillId="0" borderId="0" xfId="0" applyNumberFormat="1" applyFont="1"/>
    <xf numFmtId="0" fontId="4" fillId="0" borderId="0" xfId="0" applyFont="1" applyFill="1"/>
    <xf numFmtId="0" fontId="4" fillId="0" borderId="1" xfId="0" applyFont="1" applyFill="1" applyBorder="1"/>
    <xf numFmtId="168" fontId="4" fillId="0" borderId="1" xfId="0" applyNumberFormat="1" applyFont="1" applyFill="1" applyBorder="1"/>
    <xf numFmtId="2" fontId="4" fillId="0" borderId="0" xfId="0" applyNumberFormat="1" applyFont="1" applyFill="1"/>
    <xf numFmtId="0" fontId="2" fillId="3" borderId="1" xfId="3" applyBorder="1" applyAlignment="1">
      <alignment horizontal="center" vertical="center" wrapText="1"/>
    </xf>
    <xf numFmtId="0" fontId="2" fillId="2" borderId="1" xfId="2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3" fontId="0" fillId="4" borderId="0" xfId="0" applyNumberFormat="1" applyFill="1"/>
    <xf numFmtId="0" fontId="0" fillId="5" borderId="0" xfId="0" applyFill="1"/>
    <xf numFmtId="10" fontId="0" fillId="5" borderId="0" xfId="0" applyNumberFormat="1" applyFill="1"/>
    <xf numFmtId="0" fontId="0" fillId="6" borderId="0" xfId="0" applyFill="1"/>
    <xf numFmtId="3" fontId="0" fillId="6" borderId="0" xfId="0" applyNumberFormat="1" applyFill="1"/>
  </cellXfs>
  <cellStyles count="4">
    <cellStyle name="Jelölőszín 1" xfId="2" builtinId="29"/>
    <cellStyle name="Jelölőszín 2" xfId="3" builtinId="33"/>
    <cellStyle name="Normál" xfId="0" builtinId="0"/>
    <cellStyle name="Pénznem" xfId="1" builtinId="4"/>
  </cellStyles>
  <dxfs count="44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rgb="FFFF66FF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8" tint="0.59999389629810485"/>
        </patternFill>
      </fill>
    </dxf>
  </dxfs>
  <tableStyles count="0" defaultTableStyle="TableStyleMedium2" defaultPivotStyle="PivotStyleLight16"/>
  <colors>
    <mruColors>
      <color rgb="FFFF66FF"/>
      <color rgb="FF52D6C6"/>
      <color rgb="FFD65284"/>
      <color rgb="FFFFCC00"/>
      <color rgb="FF80350E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zerző" refreshedDate="46078.409147453705" createdVersion="6" refreshedVersion="6" minRefreshableVersion="3" recordCount="138" xr:uid="{C3E13840-5207-43F6-8903-A17C242309A2}">
  <cacheSource type="worksheet">
    <worksheetSource ref="A1:P139" sheet="Repülőjáratok"/>
  </cacheSource>
  <cacheFields count="17">
    <cacheField name="Célállomás" numFmtId="0">
      <sharedItems count="13">
        <s v="Róma"/>
        <s v="Palermo"/>
        <s v="Calgiari"/>
        <s v="Catania"/>
        <s v="Genova"/>
        <s v="Milánó"/>
        <s v="Bari"/>
        <s v="Rimini"/>
        <s v="Bologna"/>
        <s v="Alghero Sardinia"/>
        <s v="Nápoly"/>
        <s v="Trieszt"/>
        <s v="Pisa"/>
      </sharedItems>
    </cacheField>
    <cacheField name="Indulási idő oda" numFmtId="164">
      <sharedItems containsSemiMixedTypes="0" containsNonDate="0" containsDate="1" containsString="0" minDate="1899-12-30T05:55:00" maxDate="1899-12-30T20:00:00" count="32">
        <d v="1899-12-30T19:15:00"/>
        <d v="1899-12-30T07:40:00"/>
        <d v="1899-12-30T18:50:00"/>
        <d v="1899-12-30T09:30:00"/>
        <d v="1899-12-30T13:20:00"/>
        <d v="1899-12-30T06:15:00"/>
        <d v="1899-12-30T14:35:00"/>
        <d v="1899-12-30T14:10:00"/>
        <d v="1899-12-30T14:45:00"/>
        <d v="1899-12-30T11:40:00"/>
        <d v="1899-12-30T06:10:00"/>
        <d v="1899-12-30T06:05:00"/>
        <d v="1899-12-30T14:55:00"/>
        <d v="1899-12-30T07:00:00"/>
        <d v="1899-12-30T11:10:00"/>
        <d v="1899-12-30T13:25:00"/>
        <d v="1899-12-30T09:25:00"/>
        <d v="1899-12-30T14:20:00"/>
        <d v="1899-12-30T05:55:00"/>
        <d v="1899-12-30T10:05:00"/>
        <d v="1899-12-30T16:05:00"/>
        <d v="1899-12-30T15:10:00"/>
        <d v="1899-12-30T08:25:00"/>
        <d v="1899-12-30T19:25:00"/>
        <d v="1899-12-30T11:35:00"/>
        <d v="1899-12-30T09:55:00"/>
        <d v="1899-12-30T19:05:00"/>
        <d v="1899-12-30T08:45:00"/>
        <d v="1899-12-30T11:15:00"/>
        <d v="1899-12-30T10:45:00"/>
        <d v="1899-12-30T16:30:00"/>
        <d v="1899-12-30T20:00:00"/>
      </sharedItems>
      <fieldGroup par="16" base="1">
        <rangePr groupBy="minutes" startDate="1899-12-30T05:55:00" endDate="1899-12-30T20:00:00"/>
        <groupItems count="62">
          <s v="&lt;1900.01.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.01.00"/>
        </groupItems>
      </fieldGroup>
    </cacheField>
    <cacheField name="Indulási reptér oda" numFmtId="0">
      <sharedItems/>
    </cacheField>
    <cacheField name="Átszállás oda" numFmtId="0">
      <sharedItems count="3">
        <s v="Közvetlen járat"/>
        <s v="1 átszállás"/>
        <s v="2 átszállás"/>
      </sharedItems>
    </cacheField>
    <cacheField name="Átszállás repterek oda" numFmtId="0">
      <sharedItems/>
    </cacheField>
    <cacheField name="Érkezési idő oda" numFmtId="164">
      <sharedItems containsSemiMixedTypes="0" containsNonDate="0" containsDate="1" containsString="0" minDate="1899-12-30T07:20:00" maxDate="1899-12-30T23:35:00"/>
    </cacheField>
    <cacheField name="Érkezési reptér oda" numFmtId="0">
      <sharedItems/>
    </cacheField>
    <cacheField name="Indulási idő vissza" numFmtId="164">
      <sharedItems containsSemiMixedTypes="0" containsNonDate="0" containsDate="1" containsString="0" minDate="1899-12-30T06:00:00" maxDate="1899-12-30T22:45:00"/>
    </cacheField>
    <cacheField name="Indulási reptér vissza" numFmtId="0">
      <sharedItems/>
    </cacheField>
    <cacheField name="Átszállás vissza" numFmtId="0">
      <sharedItems/>
    </cacheField>
    <cacheField name="Átszállás repterek vissza" numFmtId="0">
      <sharedItems/>
    </cacheField>
    <cacheField name="Érkezési idő vissza" numFmtId="164">
      <sharedItems containsSemiMixedTypes="0" containsNonDate="0" containsDate="1" containsString="0" minDate="1899-12-30T07:25:00" maxDate="1899-12-30T23:50:00"/>
    </cacheField>
    <cacheField name="Érkezési reptér vissza" numFmtId="0">
      <sharedItems/>
    </cacheField>
    <cacheField name="Ár" numFmtId="165">
      <sharedItems containsSemiMixedTypes="0" containsString="0" containsNumber="1" containsInteger="1" minValue="5" maxValue="803016"/>
    </cacheField>
    <cacheField name="Utazási idő oda" numFmtId="166">
      <sharedItems containsSemiMixedTypes="0" containsNonDate="0" containsDate="1" containsString="0" minDate="1899-12-30T01:30:00" maxDate="1899-12-30T23:40:00"/>
    </cacheField>
    <cacheField name="Utazási idő vissza" numFmtId="166">
      <sharedItems containsSemiMixedTypes="0" containsNonDate="0" containsDate="1" containsString="0" minDate="1899-12-30T00:45:00" maxDate="1899-12-30T21:45:00"/>
    </cacheField>
    <cacheField name="Órák" numFmtId="0" databaseField="0">
      <fieldGroup base="1">
        <rangePr groupBy="hours" startDate="1899-12-30T05:55:00" endDate="1899-12-30T20:00:00"/>
        <groupItems count="26">
          <s v="&lt;1900.01.00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00.01.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x v="0"/>
    <s v="BUD"/>
    <x v="0"/>
    <s v=""/>
    <d v="1899-12-30T21:05:00"/>
    <s v="FCO"/>
    <d v="1899-12-30T21:45:00"/>
    <s v="FCO"/>
    <s v="Közvetlen járat"/>
    <s v=""/>
    <d v="1899-12-30T23:35:00"/>
    <s v="BUD"/>
    <n v="5"/>
    <d v="1899-12-30T01:50:00"/>
    <d v="1899-12-30T01:50:00"/>
  </r>
  <r>
    <x v="1"/>
    <x v="1"/>
    <s v="BUD"/>
    <x v="1"/>
    <s v="VCE"/>
    <d v="1899-12-30T12:35:00"/>
    <s v="PMO"/>
    <d v="1899-12-30T19:00:00"/>
    <s v="PMO"/>
    <s v="1 átszállás"/>
    <s v="FCO"/>
    <d v="1899-12-30T23:35:00"/>
    <s v="BUD"/>
    <n v="67253"/>
    <d v="1899-12-30T04:55:00"/>
    <d v="1899-12-30T04:35:00"/>
  </r>
  <r>
    <x v="2"/>
    <x v="1"/>
    <s v="BUD"/>
    <x v="2"/>
    <s v="VCE CTA"/>
    <d v="1899-12-30T14:40:00"/>
    <s v="CAG"/>
    <d v="1899-12-30T20:55:00"/>
    <s v="CAG"/>
    <s v="1 átszállás"/>
    <s v="VCE"/>
    <d v="1899-12-30T07:25:00"/>
    <s v="BUD"/>
    <n v="68030"/>
    <d v="1899-12-30T07:00:00"/>
    <d v="1899-12-30T10:30:00"/>
  </r>
  <r>
    <x v="3"/>
    <x v="2"/>
    <s v="BUD"/>
    <x v="0"/>
    <s v=""/>
    <d v="1899-12-30T21:00:00"/>
    <s v="CTA"/>
    <d v="1899-12-30T21:00:00"/>
    <s v="CTA"/>
    <s v="Közvetlen járat"/>
    <s v=""/>
    <d v="1899-12-30T23:10:00"/>
    <s v="BUD"/>
    <n v="71351"/>
    <d v="1899-12-30T02:10:00"/>
    <d v="1899-12-30T02:10:00"/>
  </r>
  <r>
    <x v="1"/>
    <x v="3"/>
    <s v="BUD"/>
    <x v="1"/>
    <s v="ZRH"/>
    <d v="1899-12-30T14:00:00"/>
    <s v="PMO"/>
    <d v="1899-12-30T17:55:00"/>
    <s v="PMO"/>
    <s v="1 átszállás"/>
    <s v="MUC"/>
    <d v="1899-12-30T23:35:00"/>
    <s v="BUD"/>
    <n v="160618"/>
    <d v="1899-12-30T04:30:00"/>
    <d v="1899-12-30T05:40:00"/>
  </r>
  <r>
    <x v="0"/>
    <x v="4"/>
    <s v="BUD"/>
    <x v="0"/>
    <s v=""/>
    <d v="1899-12-30T15:00:00"/>
    <s v="CIA"/>
    <d v="1899-12-30T08:15:00"/>
    <s v="CIA"/>
    <s v="Közvetlen járat"/>
    <s v=""/>
    <d v="1899-12-30T09:55:00"/>
    <s v="BUD"/>
    <n v="54354"/>
    <d v="1899-12-30T01:40:00"/>
    <d v="1899-12-30T01:40:00"/>
  </r>
  <r>
    <x v="3"/>
    <x v="1"/>
    <s v="BUD"/>
    <x v="1"/>
    <s v="VCE"/>
    <d v="1899-12-30T12:10:00"/>
    <s v="CTA"/>
    <d v="1899-12-30T14:35:00"/>
    <s v="CTA"/>
    <s v="1 átszállás"/>
    <s v="BEG"/>
    <d v="1899-12-30T19:10:00"/>
    <s v="BUD"/>
    <n v="56597"/>
    <d v="1899-12-30T04:30:00"/>
    <d v="1899-12-30T04:35:00"/>
  </r>
  <r>
    <x v="1"/>
    <x v="1"/>
    <s v="BUD"/>
    <x v="1"/>
    <s v="VCE"/>
    <d v="1899-12-30T21:25:00"/>
    <s v="PMO"/>
    <d v="1899-12-30T16:35:00"/>
    <s v="PMO"/>
    <s v="1 átszállás"/>
    <s v="NAP"/>
    <d v="1899-12-30T13:35:00"/>
    <s v="BUD"/>
    <n v="57044"/>
    <d v="1899-12-30T13:45:00"/>
    <d v="1899-12-30T21:00:00"/>
  </r>
  <r>
    <x v="1"/>
    <x v="1"/>
    <s v="BUD"/>
    <x v="1"/>
    <s v="VCE"/>
    <d v="1899-12-30T12:35:00"/>
    <s v="PMO"/>
    <d v="1899-12-30T06:10:00"/>
    <s v="PMO"/>
    <s v="1 átszállás"/>
    <s v="FCO"/>
    <d v="1899-12-30T10:35:00"/>
    <s v="BUD"/>
    <n v="67253"/>
    <d v="1899-12-30T04:55:00"/>
    <d v="1899-12-30T04:25:00"/>
  </r>
  <r>
    <x v="4"/>
    <x v="5"/>
    <s v="BUD"/>
    <x v="1"/>
    <s v="FCO"/>
    <d v="1899-12-30T10:30:00"/>
    <s v="GOA"/>
    <d v="1899-12-30T19:25:00"/>
    <s v="GOA"/>
    <s v="1 átszállás"/>
    <s v="FCO"/>
    <d v="1899-12-30T23:35:00"/>
    <s v="BUD"/>
    <n v="88234"/>
    <d v="1899-12-30T04:15:00"/>
    <d v="1899-12-30T04:10:00"/>
  </r>
  <r>
    <x v="5"/>
    <x v="6"/>
    <s v="BUD"/>
    <x v="0"/>
    <s v=""/>
    <d v="1899-12-30T16:20:00"/>
    <s v="MXP"/>
    <d v="1899-12-30T12:45:00"/>
    <s v="BGY"/>
    <s v="Közvetlen járat"/>
    <s v=""/>
    <d v="1899-12-30T14:20:00"/>
    <s v="BUD"/>
    <n v="55616"/>
    <d v="1899-12-30T01:45:00"/>
    <d v="1899-12-30T01:35:00"/>
  </r>
  <r>
    <x v="6"/>
    <x v="7"/>
    <s v="BUD"/>
    <x v="1"/>
    <s v="AMS"/>
    <d v="1899-12-30T21:35:00"/>
    <s v="BRI"/>
    <d v="1899-12-30T13:00:00"/>
    <s v="BRI"/>
    <s v="Közvetlen járat"/>
    <s v=""/>
    <d v="1899-12-30T14:30:00"/>
    <s v="BUD"/>
    <n v="112795"/>
    <d v="1899-12-30T07:25:00"/>
    <d v="1899-12-30T01:30:00"/>
  </r>
  <r>
    <x v="7"/>
    <x v="0"/>
    <s v="BUD"/>
    <x v="2"/>
    <s v="FCO TIA"/>
    <d v="1899-12-30T12:15:00"/>
    <s v="RMI"/>
    <d v="1899-12-30T12:50:00"/>
    <s v="RMI"/>
    <s v="2 átszállás"/>
    <s v="TIA FCO"/>
    <d v="1899-12-30T10:35:00"/>
    <s v="BUD"/>
    <n v="108094"/>
    <d v="1899-12-30T17:00:00"/>
    <d v="1899-12-30T21:45:00"/>
  </r>
  <r>
    <x v="0"/>
    <x v="4"/>
    <s v="BUD"/>
    <x v="0"/>
    <s v=""/>
    <d v="1899-12-30T15:00:00"/>
    <s v="CIA"/>
    <d v="1899-12-30T21:45:00"/>
    <s v="FCO"/>
    <s v="Közvetlen járat"/>
    <s v=""/>
    <d v="1899-12-30T23:35:00"/>
    <s v="BUD"/>
    <n v="48199"/>
    <d v="1899-12-30T01:40:00"/>
    <d v="1899-12-30T01:50:00"/>
  </r>
  <r>
    <x v="1"/>
    <x v="5"/>
    <s v="BUD"/>
    <x v="1"/>
    <s v="FCO"/>
    <d v="1899-12-30T10:20:00"/>
    <s v="PMO"/>
    <d v="1899-12-30T19:20:00"/>
    <s v="PMO"/>
    <s v="1 átszállás"/>
    <s v="FCO"/>
    <d v="1899-12-30T23:35:00"/>
    <s v="BUD"/>
    <n v="83874"/>
    <d v="1899-12-30T04:05:00"/>
    <d v="1899-12-30T04:15:00"/>
  </r>
  <r>
    <x v="8"/>
    <x v="8"/>
    <s v="BUD"/>
    <x v="1"/>
    <s v="ZRH"/>
    <d v="1899-12-30T18:25:00"/>
    <s v="BLQ"/>
    <d v="1899-12-30T19:35:00"/>
    <s v="BLQ"/>
    <s v="1 átszállás"/>
    <s v="VIE"/>
    <d v="1899-12-30T22:25:00"/>
    <s v="BUD"/>
    <n v="75800"/>
    <d v="1899-12-30T03:40:00"/>
    <d v="1899-12-30T02:50:00"/>
  </r>
  <r>
    <x v="1"/>
    <x v="5"/>
    <s v="BUD"/>
    <x v="1"/>
    <s v="FCO"/>
    <d v="1899-12-30T10:20:00"/>
    <s v="PMO"/>
    <d v="1899-12-30T19:00:00"/>
    <s v="PMO"/>
    <s v="1 átszállás"/>
    <s v="FCO"/>
    <d v="1899-12-30T23:35:00"/>
    <s v="BUD"/>
    <n v="77851"/>
    <d v="1899-12-30T04:05:00"/>
    <d v="1899-12-30T04:35:00"/>
  </r>
  <r>
    <x v="0"/>
    <x v="0"/>
    <s v="BUD"/>
    <x v="0"/>
    <s v=""/>
    <d v="1899-12-30T21:05:00"/>
    <s v="FCO"/>
    <d v="1899-12-30T08:45:00"/>
    <s v="FCO"/>
    <s v="Közvetlen járat"/>
    <s v=""/>
    <d v="1899-12-30T10:35:00"/>
    <s v="BUD"/>
    <n v="32449"/>
    <d v="1899-12-30T01:50:00"/>
    <d v="1899-12-30T01:50:00"/>
  </r>
  <r>
    <x v="9"/>
    <x v="1"/>
    <s v="BUD"/>
    <x v="2"/>
    <s v="VCE PMO"/>
    <d v="1899-12-30T15:40:00"/>
    <s v="AHO"/>
    <d v="1899-12-30T14:10:00"/>
    <s v="AHO"/>
    <s v="2 átszállás"/>
    <s v="TRN FCO"/>
    <d v="1899-12-30T23:35:00"/>
    <s v="BUD"/>
    <n v="96125"/>
    <d v="1899-12-30T08:00:00"/>
    <d v="1899-12-30T09:25:00"/>
  </r>
  <r>
    <x v="10"/>
    <x v="1"/>
    <s v="BUD"/>
    <x v="1"/>
    <s v="VCE"/>
    <d v="1899-12-30T11:15:00"/>
    <s v="NAP"/>
    <d v="1899-12-30T18:15:00"/>
    <s v="NAP"/>
    <s v="Közvetlen járat"/>
    <s v=""/>
    <d v="1899-12-30T19:55:00"/>
    <s v="BUD"/>
    <n v="62470"/>
    <d v="1899-12-30T03:35:00"/>
    <d v="1899-12-30T01:40:00"/>
  </r>
  <r>
    <x v="6"/>
    <x v="9"/>
    <s v="BUD"/>
    <x v="0"/>
    <s v=""/>
    <d v="1899-12-30T13:15:00"/>
    <s v="BRI"/>
    <d v="1899-12-30T13:00:00"/>
    <s v="BRI"/>
    <s v="Közvetlen járat"/>
    <s v=""/>
    <d v="1899-12-30T14:30:00"/>
    <s v="BUD"/>
    <n v="66261"/>
    <d v="1899-12-30T01:35:00"/>
    <d v="1899-12-30T01:30:00"/>
  </r>
  <r>
    <x v="5"/>
    <x v="10"/>
    <s v="BUD"/>
    <x v="0"/>
    <s v=""/>
    <d v="1899-12-30T07:55:00"/>
    <s v="MXP"/>
    <d v="1899-12-30T21:45:00"/>
    <s v="MXP"/>
    <s v="Közvetlen járat"/>
    <s v=""/>
    <d v="1899-12-30T23:25:00"/>
    <s v="BUD"/>
    <n v="50148"/>
    <d v="1899-12-30T01:45:00"/>
    <d v="1899-12-30T01:40:00"/>
  </r>
  <r>
    <x v="4"/>
    <x v="11"/>
    <s v="BUD"/>
    <x v="1"/>
    <s v="MUC"/>
    <d v="1899-12-30T12:35:00"/>
    <s v="GOA"/>
    <d v="1899-12-30T06:10:00"/>
    <s v="GOA"/>
    <s v="1 átszállás"/>
    <s v="MUC"/>
    <d v="1899-12-30T09:35:00"/>
    <s v="BUD"/>
    <n v="88600"/>
    <d v="1899-12-30T06:30:00"/>
    <d v="1899-12-30T03:25:00"/>
  </r>
  <r>
    <x v="8"/>
    <x v="12"/>
    <s v="BUD"/>
    <x v="1"/>
    <s v="ZRH"/>
    <d v="1899-12-30T18:25:00"/>
    <s v="BLQ"/>
    <d v="1899-12-30T19:35:00"/>
    <s v="BLQ"/>
    <s v="1 átszállás"/>
    <s v="VIE"/>
    <d v="1899-12-30T22:25:00"/>
    <s v="BUD"/>
    <n v="77025"/>
    <d v="1899-12-30T03:30:00"/>
    <d v="1899-12-30T02:50:00"/>
  </r>
  <r>
    <x v="8"/>
    <x v="11"/>
    <s v="BUD"/>
    <x v="1"/>
    <s v="MUC"/>
    <d v="1899-12-30T09:10:00"/>
    <s v="BLQ"/>
    <d v="1899-12-30T17:20:00"/>
    <s v="BLQ"/>
    <s v="1 átszállás"/>
    <s v="MUC"/>
    <d v="1899-12-30T23:35:00"/>
    <s v="BUD"/>
    <n v="90000"/>
    <d v="1899-12-30T03:05:00"/>
    <d v="1899-12-30T06:15:00"/>
  </r>
  <r>
    <x v="8"/>
    <x v="13"/>
    <s v="BUD"/>
    <x v="1"/>
    <s v="VIE"/>
    <d v="1899-12-30T09:50:00"/>
    <s v="BLQ"/>
    <d v="1899-12-30T19:35:00"/>
    <s v="BLQ"/>
    <s v="1 átszállás"/>
    <s v="VIE"/>
    <d v="1899-12-30T22:25:00"/>
    <s v="BUD"/>
    <n v="76000"/>
    <d v="1899-12-30T02:50:00"/>
    <d v="1899-12-30T02:50:00"/>
  </r>
  <r>
    <x v="4"/>
    <x v="14"/>
    <s v="BUD"/>
    <x v="0"/>
    <s v=""/>
    <d v="1899-12-30T13:00:00"/>
    <s v="GOA"/>
    <d v="1899-12-30T19:25:00"/>
    <s v="GOA"/>
    <s v="1 átszállás"/>
    <s v="FCO"/>
    <d v="1899-12-30T10:35:00"/>
    <s v="BUD"/>
    <n v="68946"/>
    <d v="1899-12-30T01:50:00"/>
    <d v="1899-12-30T15:10:00"/>
  </r>
  <r>
    <x v="9"/>
    <x v="5"/>
    <s v="BUD"/>
    <x v="2"/>
    <s v="FCO PMO"/>
    <d v="1899-12-30T15:40:00"/>
    <s v="AHO"/>
    <d v="1899-12-30T13:05:00"/>
    <s v="AHO"/>
    <s v="1 átszállá"/>
    <s v="BCN"/>
    <d v="1899-12-30T22:30:00"/>
    <s v="BUD"/>
    <n v="100948"/>
    <d v="1899-12-30T09:25:00"/>
    <d v="1899-12-30T09:25:00"/>
  </r>
  <r>
    <x v="8"/>
    <x v="15"/>
    <s v="BUD"/>
    <x v="1"/>
    <s v="MUC"/>
    <d v="1899-12-30T16:40:00"/>
    <s v="BLQ"/>
    <d v="1899-12-30T19:35:00"/>
    <s v="BLQ"/>
    <s v="1 átszállás"/>
    <s v="VIE"/>
    <d v="1899-12-30T22:25:00"/>
    <s v="BUD"/>
    <n v="81800"/>
    <d v="1899-12-30T03:15:00"/>
    <d v="1899-12-30T02:50:00"/>
  </r>
  <r>
    <x v="11"/>
    <x v="11"/>
    <s v="BUD"/>
    <x v="2"/>
    <s v="MUC FRA"/>
    <d v="1899-12-30T14:05:00"/>
    <s v="TRS"/>
    <d v="1899-12-30T21:45:00"/>
    <s v="TRS"/>
    <s v="Közvetlen járat"/>
    <s v=""/>
    <d v="1899-12-30T22:50:00"/>
    <s v="BUD"/>
    <n v="105011"/>
    <d v="1899-12-30T08:00:00"/>
    <d v="1899-12-30T01:05:00"/>
  </r>
  <r>
    <x v="11"/>
    <x v="16"/>
    <s v="BUD"/>
    <x v="1"/>
    <s v="FRA"/>
    <d v="1899-12-30T14:05:00"/>
    <s v="TRS"/>
    <d v="1899-12-30T14:45:00"/>
    <s v="TRS"/>
    <s v="1 átszállás"/>
    <s v="FRA"/>
    <d v="1899-12-30T23:50:00"/>
    <s v="BUD"/>
    <n v="90400"/>
    <d v="1899-12-30T04:40:00"/>
    <d v="1899-12-30T09:05:00"/>
  </r>
  <r>
    <x v="10"/>
    <x v="1"/>
    <s v="BUD"/>
    <x v="1"/>
    <s v="VCE"/>
    <d v="1899-12-30T11:15:00"/>
    <s v="NAP"/>
    <d v="1899-12-30T12:00:00"/>
    <s v="NAP"/>
    <s v="Közvetlen járat"/>
    <s v=""/>
    <d v="1899-12-30T13:35:00"/>
    <s v="BUD"/>
    <n v="42681"/>
    <d v="1899-12-30T03:35:00"/>
    <d v="1899-12-30T01:35:00"/>
  </r>
  <r>
    <x v="7"/>
    <x v="5"/>
    <s v="BUD"/>
    <x v="2"/>
    <s v="FCO PMO"/>
    <d v="1899-12-30T15:10:00"/>
    <s v="RMI"/>
    <d v="1899-12-30T12:50:00"/>
    <s v="RMI"/>
    <s v="1 átszállás"/>
    <s v="TIA"/>
    <d v="1899-12-30T23:30:00"/>
    <s v="BUD"/>
    <n v="153468"/>
    <d v="1899-12-30T08:55:00"/>
    <d v="1899-12-30T10:40:00"/>
  </r>
  <r>
    <x v="10"/>
    <x v="17"/>
    <s v="BUD"/>
    <x v="0"/>
    <s v=""/>
    <d v="1899-12-30T16:10:00"/>
    <s v="NAP"/>
    <d v="1899-12-30T18:15:00"/>
    <s v="NAP"/>
    <s v="Közvetlen járat"/>
    <s v=""/>
    <d v="1899-12-30T19:55:00"/>
    <s v="BUD"/>
    <n v="60566"/>
    <d v="1899-12-30T01:50:00"/>
    <d v="1899-12-30T01:40:00"/>
  </r>
  <r>
    <x v="11"/>
    <x v="16"/>
    <s v="BUD"/>
    <x v="1"/>
    <s v="FRA"/>
    <d v="1899-12-30T14:05:00"/>
    <s v="TRS"/>
    <d v="1899-12-30T14:45:00"/>
    <s v="TRS"/>
    <s v="2 átszállás"/>
    <s v="FRA MUC"/>
    <d v="1899-12-30T23:35:00"/>
    <s v="BUD"/>
    <n v="114700"/>
    <d v="1899-12-30T04:40:00"/>
    <d v="1899-12-30T08:50:00"/>
  </r>
  <r>
    <x v="0"/>
    <x v="5"/>
    <s v="BUD"/>
    <x v="0"/>
    <s v=""/>
    <d v="1899-12-30T08:05:00"/>
    <s v="FCO"/>
    <d v="1899-12-30T08:15:00"/>
    <s v="CIA"/>
    <s v="Közvetlen járat"/>
    <s v=""/>
    <d v="1899-12-30T09:55:00"/>
    <s v="BUD"/>
    <n v="41396"/>
    <d v="1899-12-30T01:50:00"/>
    <d v="1899-12-30T01:40:00"/>
  </r>
  <r>
    <x v="1"/>
    <x v="5"/>
    <s v="BUD"/>
    <x v="1"/>
    <s v="FCO"/>
    <d v="1899-12-30T10:30:00"/>
    <s v="PMO"/>
    <d v="1899-12-30T19:20:00"/>
    <s v="PMO"/>
    <s v="1 átszállás"/>
    <s v="FCO"/>
    <d v="1899-12-30T23:35:00"/>
    <s v="BUD"/>
    <n v="87703"/>
    <d v="1899-12-30T04:15:00"/>
    <d v="1899-12-30T04:15:00"/>
  </r>
  <r>
    <x v="10"/>
    <x v="17"/>
    <s v="BUD"/>
    <x v="0"/>
    <s v=""/>
    <d v="1899-12-30T16:10:00"/>
    <s v="NAP"/>
    <d v="1899-12-30T12:00:00"/>
    <s v="NAP"/>
    <s v="Közvetlen járat"/>
    <s v=""/>
    <d v="1899-12-30T13:35:00"/>
    <s v="BUD"/>
    <n v="38595"/>
    <d v="1899-12-30T01:50:00"/>
    <d v="1899-12-30T01:35:00"/>
  </r>
  <r>
    <x v="2"/>
    <x v="0"/>
    <s v="BUD"/>
    <x v="1"/>
    <s v="FCO"/>
    <d v="1899-12-30T23:35:00"/>
    <s v="CAG"/>
    <d v="1899-12-30T06:00:00"/>
    <s v="CAG"/>
    <s v="1 átszállás"/>
    <s v="FCO"/>
    <d v="1899-12-30T10:35:00"/>
    <s v="BUD"/>
    <n v="100075"/>
    <d v="1899-12-30T04:20:00"/>
    <d v="1899-12-30T04:35:00"/>
  </r>
  <r>
    <x v="9"/>
    <x v="5"/>
    <s v="BUD"/>
    <x v="2"/>
    <s v="FCO PMO"/>
    <d v="1899-12-30T15:40:00"/>
    <s v="AHO"/>
    <d v="1899-12-30T08:15:00"/>
    <s v="AHO"/>
    <s v="Közvetlen járat"/>
    <s v=""/>
    <d v="1899-12-30T10:15:00"/>
    <s v="BUD"/>
    <n v="95299"/>
    <d v="1899-12-30T09:25:00"/>
    <d v="1899-12-30T02:00:00"/>
  </r>
  <r>
    <x v="9"/>
    <x v="12"/>
    <s v="BUD"/>
    <x v="2"/>
    <s v="ZRH BLQ"/>
    <d v="1899-12-30T22:10:00"/>
    <s v="AHO"/>
    <d v="1899-12-30T08:15:00"/>
    <s v="AHO"/>
    <s v="Közvetlen járat"/>
    <s v=""/>
    <d v="1899-12-30T10:15:00"/>
    <s v="BUD"/>
    <n v="143778"/>
    <d v="1899-12-30T07:15:00"/>
    <d v="1899-12-30T02:00:00"/>
  </r>
  <r>
    <x v="9"/>
    <x v="5"/>
    <s v="BUD"/>
    <x v="2"/>
    <s v="FCO PMO"/>
    <d v="1899-12-30T15:40:00"/>
    <s v="AHO"/>
    <d v="1899-12-30T14:10:00"/>
    <s v="AHO"/>
    <s v="2 átszállás"/>
    <s v="TRN FCO"/>
    <d v="1899-12-30T23:35:00"/>
    <s v="BUD"/>
    <n v="106735"/>
    <d v="1899-12-30T09:25:00"/>
    <d v="1899-12-30T09:25:00"/>
  </r>
  <r>
    <x v="7"/>
    <x v="1"/>
    <s v="BUD"/>
    <x v="2"/>
    <s v="VCE PMO"/>
    <d v="1899-12-30T15:10:00"/>
    <s v="RMI"/>
    <d v="1899-12-30T12:50:00"/>
    <s v="RMI"/>
    <s v="2 átszállás"/>
    <s v="TIA FCO"/>
    <d v="1899-12-30T10:35:00"/>
    <s v="BUD"/>
    <n v="112911"/>
    <d v="1899-12-30T07:30:00"/>
    <d v="1899-12-30T21:45:00"/>
  </r>
  <r>
    <x v="7"/>
    <x v="5"/>
    <s v="BUD"/>
    <x v="2"/>
    <s v="FCO PMO"/>
    <d v="1899-12-30T15:10:00"/>
    <s v="RMI"/>
    <d v="1899-12-30T12:50:00"/>
    <s v="RMI"/>
    <s v="1 átszállás"/>
    <s v="TIA"/>
    <d v="1899-12-30T23:30:00"/>
    <s v="BUD"/>
    <n v="149926"/>
    <d v="1899-12-30T08:55:00"/>
    <d v="1899-12-30T10:40:00"/>
  </r>
  <r>
    <x v="3"/>
    <x v="2"/>
    <s v="BUD"/>
    <x v="0"/>
    <s v=""/>
    <d v="1899-12-30T21:00:00"/>
    <s v="CTA"/>
    <d v="1899-12-30T10:05:00"/>
    <s v="CTA"/>
    <s v="Közvetlen járat"/>
    <s v=""/>
    <d v="1899-12-30T12:15:00"/>
    <s v="BUD"/>
    <n v="88979"/>
    <d v="1899-12-30T02:10:00"/>
    <d v="1899-12-30T02:10:00"/>
  </r>
  <r>
    <x v="11"/>
    <x v="14"/>
    <s v="BUD"/>
    <x v="2"/>
    <s v="BGY BDS"/>
    <d v="1899-12-30T18:20:00"/>
    <s v="TRS"/>
    <d v="1899-12-30T21:45:00"/>
    <s v="TRS"/>
    <s v="Közvetlen járat"/>
    <s v=""/>
    <d v="1899-12-30T22:50:00"/>
    <s v="BUD"/>
    <n v="83003"/>
    <d v="1899-12-30T07:10:00"/>
    <d v="1899-12-30T01:05:00"/>
  </r>
  <r>
    <x v="6"/>
    <x v="5"/>
    <s v="BUD"/>
    <x v="1"/>
    <s v="FCO"/>
    <d v="1899-12-30T10:35:00"/>
    <s v="BRI"/>
    <d v="1899-12-30T19:25:00"/>
    <s v="BRI"/>
    <s v="1 átszállás"/>
    <s v="FCO"/>
    <d v="1899-12-30T23:35:00"/>
    <s v="BUD"/>
    <n v="96677"/>
    <d v="1899-12-30T04:20:00"/>
    <d v="1899-12-30T04:10:00"/>
  </r>
  <r>
    <x v="8"/>
    <x v="11"/>
    <s v="BUD"/>
    <x v="1"/>
    <s v="MUC"/>
    <d v="1899-12-30T09:10:00"/>
    <s v="BLQ"/>
    <d v="1899-12-30T19:35:00"/>
    <s v="BLQ"/>
    <s v="1 átszállás"/>
    <s v="VIE"/>
    <d v="1899-12-30T22:25:00"/>
    <s v="BUD"/>
    <n v="76100"/>
    <d v="1899-12-30T03:05:00"/>
    <d v="1899-12-30T02:50:00"/>
  </r>
  <r>
    <x v="10"/>
    <x v="18"/>
    <s v="BUD"/>
    <x v="0"/>
    <s v=""/>
    <d v="1899-12-30T07:35:00"/>
    <s v="NAP"/>
    <d v="1899-12-30T18:15:00"/>
    <s v="NAP"/>
    <s v="Közvetlen járat"/>
    <s v=""/>
    <d v="1899-12-30T19:55:00"/>
    <s v="BUD"/>
    <n v="63222"/>
    <d v="1899-12-30T01:40:00"/>
    <d v="1899-12-30T01:40:00"/>
  </r>
  <r>
    <x v="7"/>
    <x v="10"/>
    <s v="BUD"/>
    <x v="2"/>
    <s v="MXP TIA"/>
    <d v="1899-12-30T12:15:00"/>
    <s v="RMI"/>
    <d v="1899-12-30T12:50:00"/>
    <s v="RMI"/>
    <s v="2 átszállás"/>
    <s v="TIA FCO"/>
    <d v="1899-12-30T10:35:00"/>
    <s v="BUD"/>
    <n v="106570"/>
    <d v="1899-12-30T06:05:00"/>
    <d v="1899-12-30T21:45:00"/>
  </r>
  <r>
    <x v="2"/>
    <x v="5"/>
    <s v="BUD"/>
    <x v="1"/>
    <s v="FCO"/>
    <d v="1899-12-30T14:05:00"/>
    <s v="CAG"/>
    <d v="1899-12-30T16:15:00"/>
    <s v="CAG"/>
    <s v="1 átszállás"/>
    <s v="BCN"/>
    <d v="1899-12-30T22:30:00"/>
    <s v="BUD"/>
    <n v="81913"/>
    <d v="1899-12-30T07:50:00"/>
    <d v="1899-12-30T06:15:00"/>
  </r>
  <r>
    <x v="10"/>
    <x v="17"/>
    <s v="BUD"/>
    <x v="0"/>
    <s v=""/>
    <d v="1899-12-30T16:10:00"/>
    <s v="NAP"/>
    <d v="1899-12-30T14:55:00"/>
    <s v="NAP"/>
    <s v="1 átszállás"/>
    <s v="BEG"/>
    <d v="1899-12-30T19:10:00"/>
    <s v="BUD"/>
    <n v="54905"/>
    <d v="1899-12-30T01:50:00"/>
    <d v="1899-12-30T04:15:00"/>
  </r>
  <r>
    <x v="11"/>
    <x v="19"/>
    <s v="BUD"/>
    <x v="1"/>
    <s v="BRI"/>
    <d v="1899-12-30T21:50:00"/>
    <s v="TRS"/>
    <d v="1899-12-30T21:45:00"/>
    <s v="TRS"/>
    <s v="Közvetlen járat"/>
    <s v=""/>
    <d v="1899-12-30T22:50:00"/>
    <s v="BUD"/>
    <n v="51469"/>
    <d v="1899-12-30T11:45:00"/>
    <d v="1899-12-30T01:05:00"/>
  </r>
  <r>
    <x v="10"/>
    <x v="18"/>
    <s v="BUD"/>
    <x v="0"/>
    <s v=""/>
    <d v="1899-12-30T07:35:00"/>
    <s v="NAP"/>
    <d v="1899-12-30T19:45:00"/>
    <s v="NAP"/>
    <s v="1 átszállás"/>
    <s v="FCO"/>
    <d v="1899-12-30T23:35:00"/>
    <s v="BUD"/>
    <n v="85628"/>
    <d v="1899-12-30T01:40:00"/>
    <d v="1899-12-30T03:50:00"/>
  </r>
  <r>
    <x v="2"/>
    <x v="0"/>
    <s v="BUD"/>
    <x v="1"/>
    <s v="FCO"/>
    <d v="1899-12-30T23:35:00"/>
    <s v="CAG"/>
    <d v="1899-12-30T19:00:00"/>
    <s v="CAG"/>
    <s v="1 átszállás"/>
    <s v="FCO"/>
    <d v="1899-12-30T23:35:00"/>
    <s v="BUD"/>
    <n v="100075"/>
    <d v="1899-12-30T04:20:00"/>
    <d v="1899-12-30T04:35:00"/>
  </r>
  <r>
    <x v="10"/>
    <x v="1"/>
    <s v="BUD"/>
    <x v="1"/>
    <s v="VCE"/>
    <d v="1899-12-30T15:25:00"/>
    <s v="NAP"/>
    <d v="1899-12-30T12:00:00"/>
    <s v="NAP"/>
    <s v="Közvetlen járat"/>
    <s v=""/>
    <d v="1899-12-30T13:35:00"/>
    <s v="BUD"/>
    <n v="39109"/>
    <d v="1899-12-30T07:45:00"/>
    <d v="1899-12-30T01:35:00"/>
  </r>
  <r>
    <x v="5"/>
    <x v="10"/>
    <s v="BUD"/>
    <x v="0"/>
    <s v=""/>
    <d v="1899-12-30T07:55:00"/>
    <s v="MXP"/>
    <d v="1899-12-30T21:55:00"/>
    <s v="BGY"/>
    <s v="Közvetlen járat"/>
    <s v=""/>
    <d v="1899-12-30T23:30:00"/>
    <s v="BUD"/>
    <n v="51495"/>
    <d v="1899-12-30T01:45:00"/>
    <d v="1899-12-30T01:35:00"/>
  </r>
  <r>
    <x v="5"/>
    <x v="10"/>
    <s v="BUD"/>
    <x v="0"/>
    <s v=""/>
    <d v="1899-12-30T07:55:00"/>
    <s v="MXP"/>
    <d v="1899-12-30T12:45:00"/>
    <s v="BGY"/>
    <s v="Közvetlen járat"/>
    <s v=""/>
    <d v="1899-12-30T14:20:00"/>
    <s v="BUD"/>
    <n v="46587"/>
    <d v="1899-12-30T01:45:00"/>
    <d v="1899-12-30T01:35:00"/>
  </r>
  <r>
    <x v="9"/>
    <x v="1"/>
    <s v="BUD"/>
    <x v="2"/>
    <s v="VCE PMO"/>
    <d v="1899-12-30T15:40:00"/>
    <s v="AHO"/>
    <d v="1899-12-30T08:15:00"/>
    <s v="AHO"/>
    <s v="Közvetlen járat"/>
    <s v=""/>
    <d v="1899-12-30T10:15:00"/>
    <s v="BUD"/>
    <n v="87891"/>
    <d v="1899-12-30T08:00:00"/>
    <d v="1899-12-30T02:00:00"/>
  </r>
  <r>
    <x v="2"/>
    <x v="20"/>
    <s v="BUD"/>
    <x v="2"/>
    <s v="DOH BCN"/>
    <d v="1899-12-30T15:45:00"/>
    <s v="CAG"/>
    <d v="1899-12-30T10:30:00"/>
    <s v="CAG"/>
    <s v="1 átszállás"/>
    <s v="VIE"/>
    <d v="1899-12-30T14:30:00"/>
    <s v="BUD"/>
    <n v="781299"/>
    <d v="1899-12-30T23:40:00"/>
    <d v="1899-12-30T04:00:00"/>
  </r>
  <r>
    <x v="3"/>
    <x v="1"/>
    <s v="BUD"/>
    <x v="1"/>
    <s v="VCE"/>
    <d v="1899-12-30T12:10:00"/>
    <s v="CTA"/>
    <d v="1899-12-30T21:00:00"/>
    <s v="CTA"/>
    <s v="Közvetlen járat"/>
    <s v=""/>
    <d v="1899-12-30T23:10:00"/>
    <s v="BUD"/>
    <n v="61779"/>
    <d v="1899-12-30T04:30:00"/>
    <d v="1899-12-30T02:10:00"/>
  </r>
  <r>
    <x v="6"/>
    <x v="19"/>
    <s v="BUD"/>
    <x v="0"/>
    <s v=""/>
    <d v="1899-12-30T11:35:00"/>
    <s v="BRI"/>
    <d v="1899-12-30T17:35:00"/>
    <s v="BRI"/>
    <s v="1 átszállás"/>
    <s v="TRS"/>
    <d v="1899-12-30T22:50:00"/>
    <s v="BUD"/>
    <n v="61022"/>
    <d v="1899-12-30T01:30:00"/>
    <d v="1899-12-30T05:15:00"/>
  </r>
  <r>
    <x v="9"/>
    <x v="21"/>
    <s v="BUD"/>
    <x v="2"/>
    <s v="VIE BLQ"/>
    <d v="1899-12-30T22:10:00"/>
    <s v="AHO"/>
    <d v="1899-12-30T08:15:00"/>
    <s v="AHO"/>
    <s v="Közvetlen járat"/>
    <s v=""/>
    <d v="1899-12-30T10:15:00"/>
    <s v="BUD"/>
    <n v="159768"/>
    <d v="1899-12-30T07:00:00"/>
    <d v="1899-12-30T02:00:00"/>
  </r>
  <r>
    <x v="5"/>
    <x v="14"/>
    <s v="BUD"/>
    <x v="0"/>
    <s v=""/>
    <d v="1899-12-30T12:50:00"/>
    <s v="BGY"/>
    <d v="1899-12-30T12:45:00"/>
    <s v="BGY"/>
    <s v="Közvetlen járat"/>
    <s v=""/>
    <d v="1899-12-30T14:20:00"/>
    <s v="BUD"/>
    <n v="51704"/>
    <d v="1899-12-30T01:40:00"/>
    <d v="1899-12-30T01:35:00"/>
  </r>
  <r>
    <x v="2"/>
    <x v="20"/>
    <s v="BUD"/>
    <x v="2"/>
    <s v="DOH BCN"/>
    <d v="1899-12-30T15:45:00"/>
    <s v="CAG"/>
    <d v="1899-12-30T18:25:00"/>
    <s v="CAG"/>
    <s v="1 átszállás"/>
    <s v="MUC"/>
    <d v="1899-12-30T23:35:00"/>
    <s v="BUD"/>
    <n v="763752"/>
    <d v="1899-12-30T23:40:00"/>
    <d v="1899-12-30T05:10:00"/>
  </r>
  <r>
    <x v="4"/>
    <x v="22"/>
    <s v="BUD"/>
    <x v="1"/>
    <s v="MUC"/>
    <d v="1899-12-30T12:35:00"/>
    <s v="GOA"/>
    <d v="1899-12-30T06:10:00"/>
    <s v="GOA"/>
    <s v="1 átszállás"/>
    <s v="MUC"/>
    <d v="1899-12-30T09:35:00"/>
    <s v="BUD"/>
    <n v="94600"/>
    <d v="1899-12-30T04:10:00"/>
    <d v="1899-12-30T03:25:00"/>
  </r>
  <r>
    <x v="10"/>
    <x v="10"/>
    <s v="BUD"/>
    <x v="1"/>
    <s v="MXP"/>
    <d v="1899-12-30T12:00:00"/>
    <s v="NAP"/>
    <d v="1899-12-30T12:00:00"/>
    <s v="NAP"/>
    <s v="Közvetlen járat"/>
    <s v=""/>
    <d v="1899-12-30T13:35:00"/>
    <s v="BUD"/>
    <n v="45076"/>
    <d v="1899-12-30T05:50:00"/>
    <d v="1899-12-30T01:35:00"/>
  </r>
  <r>
    <x v="0"/>
    <x v="23"/>
    <s v="BUD"/>
    <x v="0"/>
    <s v=""/>
    <d v="1899-12-30T21:05:00"/>
    <s v="CIA"/>
    <d v="1899-12-30T19:50:00"/>
    <s v="CIA"/>
    <s v="Közvetlen járat"/>
    <s v=""/>
    <d v="1899-12-30T21:30:00"/>
    <s v="BUD"/>
    <n v="50432"/>
    <d v="1899-12-30T01:40:00"/>
    <d v="1899-12-30T01:40:00"/>
  </r>
  <r>
    <x v="11"/>
    <x v="11"/>
    <s v="BUD"/>
    <x v="2"/>
    <s v="MUC FRA"/>
    <d v="1899-12-30T14:05:00"/>
    <s v="TRS"/>
    <d v="1899-12-30T14:45:00"/>
    <s v="TRS"/>
    <s v="1 átszállás"/>
    <s v="FRA"/>
    <d v="1899-12-30T23:50:00"/>
    <s v="BUD"/>
    <n v="94645"/>
    <d v="1899-12-30T08:00:00"/>
    <d v="1899-12-30T09:05:00"/>
  </r>
  <r>
    <x v="12"/>
    <x v="24"/>
    <s v="BUD"/>
    <x v="1"/>
    <s v="FRA"/>
    <d v="1899-12-30T17:35:00"/>
    <s v="PSA"/>
    <d v="1899-12-30T18:15:00"/>
    <s v="PSA"/>
    <s v="1 átszállás"/>
    <s v="FRA"/>
    <d v="1899-12-30T23:50:00"/>
    <s v="BUD"/>
    <n v="91640"/>
    <d v="1899-12-30T06:00:00"/>
    <d v="1899-12-30T05:35:00"/>
  </r>
  <r>
    <x v="9"/>
    <x v="1"/>
    <s v="BUD"/>
    <x v="2"/>
    <s v="VCE PMO"/>
    <d v="1899-12-30T15:40:00"/>
    <s v="AHO"/>
    <d v="1899-12-30T13:05:00"/>
    <s v="AHO"/>
    <s v="1 átszállás"/>
    <s v="BCN"/>
    <d v="1899-12-30T22:30:00"/>
    <s v="BUD"/>
    <n v="93540"/>
    <d v="1899-12-30T08:00:00"/>
    <d v="1899-12-30T09:25:00"/>
  </r>
  <r>
    <x v="11"/>
    <x v="5"/>
    <s v="BUD"/>
    <x v="1"/>
    <s v="FCO"/>
    <d v="1899-12-30T18:35:00"/>
    <s v="TRS"/>
    <d v="1899-12-30T21:45:00"/>
    <s v="TRS"/>
    <s v="Közvetlen járat"/>
    <s v=""/>
    <d v="1899-12-30T22:50:00"/>
    <s v="BUD"/>
    <n v="63292"/>
    <d v="1899-12-30T12:20:00"/>
    <d v="1899-12-30T01:05:00"/>
  </r>
  <r>
    <x v="9"/>
    <x v="5"/>
    <s v="BUD"/>
    <x v="2"/>
    <s v="FCO PMO"/>
    <d v="1899-12-30T15:40:00"/>
    <s v="AHO"/>
    <d v="1899-12-30T08:15:00"/>
    <s v="AHO"/>
    <s v="Közvetlen járat"/>
    <s v=""/>
    <d v="1899-12-30T10:15:00"/>
    <s v="BUD"/>
    <n v="99041"/>
    <d v="1899-12-30T09:25:00"/>
    <d v="1899-12-30T02:00:00"/>
  </r>
  <r>
    <x v="12"/>
    <x v="25"/>
    <s v="BUD"/>
    <x v="0"/>
    <s v=""/>
    <d v="1899-12-30T11:40:00"/>
    <s v="PSA"/>
    <d v="1899-12-30T10:25:00"/>
    <s v="PSA"/>
    <s v="1 átszállás"/>
    <s v="PRG"/>
    <d v="1899-12-30T17:30:00"/>
    <s v="BUD"/>
    <n v="91041"/>
    <d v="1899-12-30T01:45:00"/>
    <d v="1899-12-30T07:05:00"/>
  </r>
  <r>
    <x v="8"/>
    <x v="21"/>
    <s v="BUD"/>
    <x v="1"/>
    <s v="VIE"/>
    <d v="1899-12-30T18:55:00"/>
    <s v="BLQ"/>
    <d v="1899-12-30T19:35:00"/>
    <s v="BLQ"/>
    <s v="1 átszállás"/>
    <s v="VIE"/>
    <d v="1899-12-30T22:25:00"/>
    <s v="BUD"/>
    <n v="76000"/>
    <d v="1899-12-30T03:45:00"/>
    <d v="1899-12-30T02:50:00"/>
  </r>
  <r>
    <x v="2"/>
    <x v="20"/>
    <s v="BUD"/>
    <x v="2"/>
    <s v="DOH BCN"/>
    <d v="1899-12-30T15:45:00"/>
    <s v="CAG"/>
    <d v="1899-12-30T14:10:00"/>
    <s v="CAG"/>
    <s v="1 átszállás"/>
    <s v="DUS"/>
    <d v="1899-12-30T19:30:00"/>
    <s v="BUD"/>
    <n v="803016"/>
    <d v="1899-12-30T23:40:00"/>
    <d v="1899-12-30T05:20:00"/>
  </r>
  <r>
    <x v="12"/>
    <x v="25"/>
    <s v="BUD"/>
    <x v="0"/>
    <s v=""/>
    <d v="1899-12-30T11:40:00"/>
    <s v="PSA"/>
    <d v="1899-12-30T15:50:00"/>
    <s v="PSA"/>
    <s v="1 átszállás"/>
    <s v="CRL"/>
    <d v="1899-12-30T22:55:00"/>
    <s v="BUD"/>
    <n v="95296"/>
    <d v="1899-12-30T01:45:00"/>
    <d v="1899-12-30T07:05:00"/>
  </r>
  <r>
    <x v="8"/>
    <x v="26"/>
    <s v="BUD"/>
    <x v="0"/>
    <s v=""/>
    <d v="1899-12-30T20:35:00"/>
    <s v="BLQ"/>
    <d v="1899-12-30T19:35:00"/>
    <s v="BLQ"/>
    <s v="1 átszállás"/>
    <s v="VIE"/>
    <d v="1899-12-30T22:25:00"/>
    <s v="BUD"/>
    <n v="114286"/>
    <d v="1899-12-30T01:30:00"/>
    <d v="1899-12-30T02:50:00"/>
  </r>
  <r>
    <x v="3"/>
    <x v="5"/>
    <s v="BUD"/>
    <x v="1"/>
    <s v="FCO"/>
    <d v="1899-12-30T10:50:00"/>
    <s v="CTA"/>
    <d v="1899-12-30T21:00:00"/>
    <s v="CTA"/>
    <s v="Közvetlen járat"/>
    <s v=""/>
    <d v="1899-12-30T23:10:00"/>
    <s v="BUD"/>
    <n v="71856"/>
    <d v="1899-12-30T04:35:00"/>
    <d v="1899-12-30T02:10:00"/>
  </r>
  <r>
    <x v="4"/>
    <x v="27"/>
    <s v="BUD"/>
    <x v="1"/>
    <s v="MUC"/>
    <d v="1899-12-30T12:35:00"/>
    <s v="GOA"/>
    <d v="1899-12-30T06:10:00"/>
    <s v="GOA"/>
    <s v="1 átszállás"/>
    <s v="MUC"/>
    <d v="1899-12-30T09:35:00"/>
    <s v="BUD"/>
    <n v="132732"/>
    <d v="1899-12-30T03:50:00"/>
    <d v="1899-12-30T03:25:00"/>
  </r>
  <r>
    <x v="0"/>
    <x v="4"/>
    <s v="BUD"/>
    <x v="0"/>
    <s v=""/>
    <d v="1899-12-30T15:00:00"/>
    <s v="CIA"/>
    <d v="1899-12-30T19:50:00"/>
    <s v="CIA"/>
    <s v="Közvetlen járat"/>
    <s v=""/>
    <d v="1899-12-30T21:30:00"/>
    <s v="BUD"/>
    <n v="54478"/>
    <d v="1899-12-30T01:40:00"/>
    <d v="1899-12-30T01:40:00"/>
  </r>
  <r>
    <x v="11"/>
    <x v="16"/>
    <s v="BUD"/>
    <x v="1"/>
    <s v="FRA"/>
    <d v="1899-12-30T14:05:00"/>
    <s v="TRS"/>
    <d v="1899-12-30T21:45:00"/>
    <s v="TRS"/>
    <s v="Közvetlen járat"/>
    <s v=""/>
    <d v="1899-12-30T22:50:00"/>
    <s v="BUD"/>
    <n v="104954"/>
    <d v="1899-12-30T04:40:00"/>
    <d v="1899-12-30T01:05:00"/>
  </r>
  <r>
    <x v="7"/>
    <x v="17"/>
    <s v="BUD"/>
    <x v="0"/>
    <s v=""/>
    <d v="1899-12-30T15:50:00"/>
    <s v="RMI"/>
    <d v="1899-12-30T12:50:00"/>
    <s v="RMI"/>
    <s v="1 átszállás"/>
    <s v="TIA"/>
    <d v="1899-12-30T23:30:00"/>
    <s v="BUD"/>
    <n v="145749"/>
    <d v="1899-12-30T01:30:00"/>
    <d v="1899-12-30T10:40:00"/>
  </r>
  <r>
    <x v="6"/>
    <x v="19"/>
    <s v="BUD"/>
    <x v="0"/>
    <s v=""/>
    <d v="1899-12-30T11:35:00"/>
    <s v="BRI"/>
    <d v="1899-12-30T22:45:00"/>
    <s v="BRI"/>
    <s v="1 átszállás"/>
    <s v="FCO"/>
    <d v="1899-12-30T10:35:00"/>
    <s v="BUD"/>
    <n v="54715"/>
    <d v="1899-12-30T01:30:00"/>
    <d v="1899-12-30T11:50:00"/>
  </r>
  <r>
    <x v="7"/>
    <x v="17"/>
    <s v="BUD"/>
    <x v="0"/>
    <s v=""/>
    <d v="1899-12-30T15:50:00"/>
    <s v="RMI"/>
    <d v="1899-12-30T12:50:00"/>
    <s v="RMI"/>
    <s v="2 átszállás"/>
    <s v="TIA FCO"/>
    <d v="1899-12-30T10:35:00"/>
    <s v="BUD"/>
    <n v="115763"/>
    <d v="1899-12-30T01:30:00"/>
    <d v="1899-12-30T21:45:00"/>
  </r>
  <r>
    <x v="7"/>
    <x v="17"/>
    <s v="BUD"/>
    <x v="0"/>
    <s v=""/>
    <d v="1899-12-30T15:50:00"/>
    <s v="RMI"/>
    <d v="1899-12-30T12:50:00"/>
    <s v="RMI"/>
    <s v="2 átszállás"/>
    <s v="TIA NAP"/>
    <d v="1899-12-30T13:35:00"/>
    <s v="BUD"/>
    <n v="124920"/>
    <d v="1899-12-30T01:30:00"/>
    <d v="1899-12-30T00:45:00"/>
  </r>
  <r>
    <x v="12"/>
    <x v="25"/>
    <s v="BUD"/>
    <x v="0"/>
    <s v=""/>
    <d v="1899-12-30T11:40:00"/>
    <s v="PSA"/>
    <d v="1899-12-30T06:20:00"/>
    <s v="PSA"/>
    <s v="1 átszállás"/>
    <s v="TIA"/>
    <d v="1899-12-30T16:35:00"/>
    <s v="BUD"/>
    <n v="74993"/>
    <d v="1899-12-30T01:45:00"/>
    <d v="1899-12-30T10:15:00"/>
  </r>
  <r>
    <x v="0"/>
    <x v="5"/>
    <s v="BUD"/>
    <x v="0"/>
    <s v=""/>
    <d v="1899-12-30T08:05:00"/>
    <s v="FCO"/>
    <d v="1899-12-30T08:45:00"/>
    <s v="FCO"/>
    <s v="Közvetlen járat"/>
    <s v=""/>
    <d v="1899-12-30T10:35:00"/>
    <s v="BUD"/>
    <n v="31209"/>
    <d v="1899-12-30T01:50:00"/>
    <d v="1899-12-30T01:50:00"/>
  </r>
  <r>
    <x v="7"/>
    <x v="5"/>
    <s v="BUD"/>
    <x v="2"/>
    <s v="FCO TIA"/>
    <d v="1899-12-30T12:15:00"/>
    <s v="RMI"/>
    <d v="1899-12-30T12:50:00"/>
    <s v="RMI"/>
    <s v="2 átszállás"/>
    <s v="TIA FCO"/>
    <d v="1899-12-30T10:35:00"/>
    <s v="BUD"/>
    <n v="104753"/>
    <d v="1899-12-30T06:00:00"/>
    <d v="1899-12-30T21:45:00"/>
  </r>
  <r>
    <x v="6"/>
    <x v="28"/>
    <s v="BUD"/>
    <x v="1"/>
    <s v="VIE"/>
    <d v="1899-12-30T14:15:00"/>
    <s v="BRI"/>
    <d v="1899-12-30T13:00:00"/>
    <s v="BRI"/>
    <s v="Közvetlen járat"/>
    <s v=""/>
    <d v="1899-12-30T14:30:00"/>
    <s v="BUD"/>
    <n v="174771"/>
    <d v="1899-12-30T03:00:00"/>
    <d v="1899-12-30T01:30:00"/>
  </r>
  <r>
    <x v="4"/>
    <x v="14"/>
    <s v="BUD"/>
    <x v="0"/>
    <s v=""/>
    <d v="1899-12-30T13:00:00"/>
    <s v="GOA"/>
    <d v="1899-12-30T06:10:00"/>
    <s v="GOA"/>
    <s v="1 átszállás"/>
    <s v="MUC"/>
    <d v="1899-12-30T09:35:00"/>
    <s v="BUD"/>
    <n v="93113"/>
    <d v="1899-12-30T01:50:00"/>
    <d v="1899-12-30T03:25:00"/>
  </r>
  <r>
    <x v="5"/>
    <x v="29"/>
    <s v="BUD"/>
    <x v="0"/>
    <s v=""/>
    <d v="1899-12-30T12:30:00"/>
    <s v="MXP"/>
    <d v="1899-12-30T21:45:00"/>
    <s v="MXP"/>
    <s v="Közvetlen járat"/>
    <s v=""/>
    <d v="1899-12-30T23:25:00"/>
    <s v="BUD"/>
    <n v="54650"/>
    <d v="1899-12-30T01:45:00"/>
    <d v="1899-12-30T01:40:00"/>
  </r>
  <r>
    <x v="3"/>
    <x v="1"/>
    <s v="BUD"/>
    <x v="1"/>
    <s v="VCE"/>
    <d v="1899-12-30T12:10:00"/>
    <s v="CTA"/>
    <d v="1899-12-30T07:50:00"/>
    <s v="CTA"/>
    <s v="1 átszállás"/>
    <s v="NAP"/>
    <d v="1899-12-30T13:35:00"/>
    <s v="BUD"/>
    <n v="53391"/>
    <d v="1899-12-30T04:30:00"/>
    <d v="1899-12-30T05:45:00"/>
  </r>
  <r>
    <x v="3"/>
    <x v="15"/>
    <s v="BUD"/>
    <x v="1"/>
    <s v="MUC"/>
    <d v="1899-12-30T17:45:00"/>
    <s v="CTA"/>
    <d v="1899-12-30T21:00:00"/>
    <s v="CTA"/>
    <s v="Közvetlen járat"/>
    <s v=""/>
    <d v="1899-12-30T23:10:00"/>
    <s v="BUD"/>
    <n v="117592"/>
    <d v="1899-12-30T04:20:00"/>
    <d v="1899-12-30T02:10:00"/>
  </r>
  <r>
    <x v="3"/>
    <x v="1"/>
    <s v="BUD"/>
    <x v="1"/>
    <s v="VCE"/>
    <d v="1899-12-30T12:10:00"/>
    <s v="CTA"/>
    <d v="1899-12-30T19:15:00"/>
    <s v="CTA"/>
    <s v="1 átszállás"/>
    <s v="FCO"/>
    <d v="1899-12-30T23:35:00"/>
    <s v="BUD"/>
    <n v="61879"/>
    <d v="1899-12-30T04:30:00"/>
    <d v="1899-12-30T04:20:00"/>
  </r>
  <r>
    <x v="3"/>
    <x v="1"/>
    <s v="BUD"/>
    <x v="1"/>
    <s v="VCE"/>
    <d v="1899-12-30T12:10:00"/>
    <s v="CTA"/>
    <d v="1899-12-30T09:30:00"/>
    <s v="CTA"/>
    <s v="1 átszállás"/>
    <s v="NAP"/>
    <d v="1899-12-30T13:35:00"/>
    <s v="BUD"/>
    <n v="58312"/>
    <d v="1899-12-30T04:30:00"/>
    <d v="1899-12-30T04:05:00"/>
  </r>
  <r>
    <x v="4"/>
    <x v="14"/>
    <s v="BUD"/>
    <x v="0"/>
    <s v=""/>
    <d v="1899-12-30T13:00:00"/>
    <s v="GOA"/>
    <d v="1899-12-30T15:25:00"/>
    <s v="GOA"/>
    <s v="1 átszállás"/>
    <s v="FCO"/>
    <d v="1899-12-30T23:35:00"/>
    <s v="BUD"/>
    <n v="68946"/>
    <d v="1899-12-30T01:50:00"/>
    <d v="1899-12-30T08:10:00"/>
  </r>
  <r>
    <x v="6"/>
    <x v="19"/>
    <s v="BUD"/>
    <x v="0"/>
    <s v=""/>
    <d v="1899-12-30T11:35:00"/>
    <s v="BRI"/>
    <d v="1899-12-30T17:50:00"/>
    <s v="BRI"/>
    <s v="1 átszállás"/>
    <s v="BGY"/>
    <d v="1899-12-30T23:30:00"/>
    <s v="BUD"/>
    <n v="71191"/>
    <d v="1899-12-30T01:30:00"/>
    <d v="1899-12-30T05:40:00"/>
  </r>
  <r>
    <x v="7"/>
    <x v="1"/>
    <s v="BUD"/>
    <x v="2"/>
    <s v="VCE PMO"/>
    <d v="1899-12-30T15:10:00"/>
    <s v="RMI"/>
    <d v="1899-12-30T12:50:00"/>
    <s v="RMI"/>
    <s v="1 átszállás"/>
    <s v="TIA"/>
    <d v="1899-12-30T23:30:00"/>
    <s v="BUD"/>
    <n v="142911"/>
    <d v="1899-12-30T07:30:00"/>
    <d v="1899-12-30T10:40:00"/>
  </r>
  <r>
    <x v="6"/>
    <x v="19"/>
    <s v="BUD"/>
    <x v="0"/>
    <s v=""/>
    <d v="1899-12-30T11:35:00"/>
    <s v="BRI"/>
    <d v="1899-12-30T13:00:00"/>
    <s v="BRI"/>
    <s v="Közvetlen járat"/>
    <s v=""/>
    <d v="1899-12-30T14:30:00"/>
    <s v="BUD"/>
    <n v="58201"/>
    <d v="1899-12-30T01:30:00"/>
    <d v="1899-12-30T01:30:00"/>
  </r>
  <r>
    <x v="0"/>
    <x v="23"/>
    <s v="BUD"/>
    <x v="0"/>
    <s v=""/>
    <d v="1899-12-30T21:05:00"/>
    <s v="CIA"/>
    <d v="1899-12-30T08:15:00"/>
    <s v="CIA"/>
    <s v="Közvetlen járat"/>
    <s v=""/>
    <d v="1899-12-30T09:55:00"/>
    <s v="BUD"/>
    <n v="50248"/>
    <d v="1899-12-30T01:40:00"/>
    <d v="1899-12-30T01:40:00"/>
  </r>
  <r>
    <x v="1"/>
    <x v="1"/>
    <s v="BUD"/>
    <x v="1"/>
    <s v="VCE"/>
    <d v="1899-12-30T12:35:00"/>
    <s v="PMO"/>
    <d v="1899-12-30T19:20:00"/>
    <s v="PMO"/>
    <s v="1 átszállás"/>
    <s v="FCO"/>
    <d v="1899-12-30T23:35:00"/>
    <s v="BUD"/>
    <n v="72723"/>
    <d v="1899-12-30T04:55:00"/>
    <d v="1899-12-30T04:15:00"/>
  </r>
  <r>
    <x v="2"/>
    <x v="5"/>
    <s v="BUD"/>
    <x v="1"/>
    <s v="FCO"/>
    <d v="1899-12-30T14:05:00"/>
    <s v="CAG"/>
    <d v="1899-12-30T20:55:00"/>
    <s v="CAG"/>
    <s v="1 átszállás"/>
    <s v="VCE"/>
    <d v="1899-12-30T07:25:00"/>
    <s v="BUD"/>
    <n v="75323"/>
    <d v="1899-12-30T07:50:00"/>
    <d v="1899-12-30T10:30:00"/>
  </r>
  <r>
    <x v="5"/>
    <x v="23"/>
    <s v="BUD"/>
    <x v="0"/>
    <s v=""/>
    <d v="1899-12-30T21:10:00"/>
    <s v="MXP"/>
    <d v="1899-12-30T15:00:00"/>
    <s v="MXP"/>
    <s v="Közvetlen járat"/>
    <s v=""/>
    <d v="1899-12-30T16:40:00"/>
    <s v="BUD"/>
    <n v="56053"/>
    <d v="1899-12-30T01:45:00"/>
    <d v="1899-12-30T01:40:00"/>
  </r>
  <r>
    <x v="12"/>
    <x v="11"/>
    <s v="BUD"/>
    <x v="2"/>
    <s v="MUC FRA"/>
    <d v="1899-12-30T17:35:00"/>
    <s v="PSA"/>
    <d v="1899-12-30T18:15:00"/>
    <s v="PSA"/>
    <s v="1 átszállás"/>
    <s v="FRA"/>
    <d v="1899-12-30T23:50:00"/>
    <s v="BUD"/>
    <n v="104800"/>
    <d v="1899-12-30T11:30:00"/>
    <d v="1899-12-30T05:35:00"/>
  </r>
  <r>
    <x v="0"/>
    <x v="5"/>
    <s v="BUD"/>
    <x v="0"/>
    <s v=""/>
    <d v="1899-12-30T08:05:00"/>
    <s v="FCO"/>
    <d v="1899-12-30T21:45:00"/>
    <s v="FCO"/>
    <s v="Közvetlen járat"/>
    <s v=""/>
    <d v="1899-12-30T23:35:00"/>
    <s v="BUD"/>
    <n v="31209"/>
    <d v="1899-12-30T01:50:00"/>
    <d v="1899-12-30T01:50:00"/>
  </r>
  <r>
    <x v="4"/>
    <x v="14"/>
    <s v="BUD"/>
    <x v="0"/>
    <s v=""/>
    <d v="1899-12-30T13:00:00"/>
    <s v="GOA"/>
    <d v="1899-12-30T13:15:00"/>
    <s v="GOA"/>
    <s v="1 átszállás"/>
    <s v="MUC"/>
    <d v="1899-12-30T16:50:00"/>
    <s v="BUD"/>
    <n v="236607"/>
    <d v="1899-12-30T01:50:00"/>
    <d v="1899-12-30T03:35:00"/>
  </r>
  <r>
    <x v="5"/>
    <x v="14"/>
    <s v="BUD"/>
    <x v="0"/>
    <s v=""/>
    <d v="1899-12-30T12:50:00"/>
    <s v="BGY"/>
    <d v="1899-12-30T21:55:00"/>
    <s v="BGY"/>
    <s v="Közvetlen járat"/>
    <s v=""/>
    <d v="1899-12-30T23:30:00"/>
    <s v="BUD"/>
    <n v="56639"/>
    <d v="1899-12-30T01:40:00"/>
    <d v="1899-12-30T01:35:00"/>
  </r>
  <r>
    <x v="2"/>
    <x v="5"/>
    <s v="BUD"/>
    <x v="1"/>
    <s v="FCO"/>
    <d v="1899-12-30T14:05:00"/>
    <s v="CAG"/>
    <d v="1899-12-30T19:00:00"/>
    <s v="CAG"/>
    <s v="1 átszállás"/>
    <s v="FCO"/>
    <d v="1899-12-30T23:35:00"/>
    <s v="BUD"/>
    <n v="93879"/>
    <d v="1899-12-30T07:50:00"/>
    <d v="1899-12-30T04:35:00"/>
  </r>
  <r>
    <x v="10"/>
    <x v="18"/>
    <s v="BUD"/>
    <x v="0"/>
    <s v=""/>
    <d v="1899-12-30T07:35:00"/>
    <s v="NAP"/>
    <d v="1899-12-30T12:00:00"/>
    <s v="NAP"/>
    <s v="Közvetlen járat"/>
    <s v=""/>
    <d v="1899-12-30T13:35:00"/>
    <s v="BUD"/>
    <n v="44908"/>
    <d v="1899-12-30T01:40:00"/>
    <d v="1899-12-30T01:35:00"/>
  </r>
  <r>
    <x v="12"/>
    <x v="16"/>
    <s v="BUD"/>
    <x v="1"/>
    <s v="FRA"/>
    <d v="1899-12-30T17:35:00"/>
    <s v="PSA"/>
    <d v="1899-12-30T18:15:00"/>
    <s v="PSA"/>
    <s v="1 átszállás"/>
    <s v="FRA"/>
    <d v="1899-12-30T23:50:00"/>
    <s v="BUD"/>
    <n v="97509"/>
    <d v="1899-12-30T08:10:00"/>
    <d v="1899-12-30T05:35:00"/>
  </r>
  <r>
    <x v="6"/>
    <x v="9"/>
    <s v="BUD"/>
    <x v="0"/>
    <s v=""/>
    <d v="1899-12-30T13:15:00"/>
    <s v="BRI"/>
    <d v="1899-12-30T19:25:00"/>
    <s v="BRI"/>
    <s v="1 átszállás"/>
    <s v="FCO"/>
    <d v="1899-12-30T23:35:00"/>
    <s v="BUD"/>
    <n v="67618"/>
    <d v="1899-12-30T01:35:00"/>
    <d v="1899-12-30T04:10:00"/>
  </r>
  <r>
    <x v="7"/>
    <x v="30"/>
    <s v="BUD"/>
    <x v="2"/>
    <s v="BCN TIA"/>
    <d v="1899-12-30T12:15:00"/>
    <s v="RMI"/>
    <d v="1899-12-30T12:50:00"/>
    <s v="RMI"/>
    <s v="2 átszállás"/>
    <s v="TIA FCO"/>
    <d v="1899-12-30T10:35:00"/>
    <s v="BUD"/>
    <n v="113732"/>
    <d v="1899-12-30T19:45:00"/>
    <d v="1899-12-30T21:45:00"/>
  </r>
  <r>
    <x v="5"/>
    <x v="23"/>
    <s v="BUD"/>
    <x v="0"/>
    <s v=""/>
    <d v="1899-12-30T21:10:00"/>
    <s v="MXP"/>
    <d v="1899-12-30T21:45:00"/>
    <s v="MXP"/>
    <s v="Közvetlen járat"/>
    <s v=""/>
    <d v="1899-12-30T23:25:00"/>
    <s v="BUD"/>
    <n v="56053"/>
    <d v="1899-12-30T01:45:00"/>
    <d v="1899-12-30T01:40:00"/>
  </r>
  <r>
    <x v="6"/>
    <x v="19"/>
    <s v="BUD"/>
    <x v="0"/>
    <s v=""/>
    <d v="1899-12-30T11:35:00"/>
    <s v="BRI"/>
    <d v="1899-12-30T19:25:00"/>
    <s v="BRI"/>
    <s v="1 átszállás"/>
    <s v="FCO"/>
    <d v="1899-12-30T23:35:00"/>
    <s v="BUD"/>
    <n v="63310"/>
    <d v="1899-12-30T01:30:00"/>
    <d v="1899-12-30T04:10:00"/>
  </r>
  <r>
    <x v="1"/>
    <x v="31"/>
    <s v="BUD"/>
    <x v="1"/>
    <s v="ZRH"/>
    <d v="1899-12-30T08:50:00"/>
    <s v="PMO"/>
    <d v="1899-12-30T17:55:00"/>
    <s v="PMO"/>
    <s v="1 átszállás"/>
    <s v="MUC"/>
    <d v="1899-12-30T23:35:00"/>
    <s v="BUD"/>
    <n v="103400"/>
    <d v="1899-12-30T12:50:00"/>
    <d v="1899-12-30T05:40:00"/>
  </r>
  <r>
    <x v="12"/>
    <x v="25"/>
    <s v="BUD"/>
    <x v="0"/>
    <s v=""/>
    <d v="1899-12-30T11:40:00"/>
    <s v="PSA"/>
    <d v="1899-12-30T18:15:00"/>
    <s v="PSA"/>
    <s v="1 átszállás"/>
    <s v="FRA"/>
    <d v="1899-12-30T23:50:00"/>
    <s v="BUD"/>
    <n v="150201"/>
    <d v="1899-12-30T01:45:00"/>
    <d v="1899-12-30T05:35:00"/>
  </r>
  <r>
    <x v="9"/>
    <x v="26"/>
    <s v="BUD"/>
    <x v="1"/>
    <s v="BLQ"/>
    <d v="1899-12-30T07:20:00"/>
    <s v="AHO"/>
    <d v="1899-12-30T08:15:00"/>
    <s v="AHO"/>
    <s v="Közvetlen járat"/>
    <s v=""/>
    <d v="1899-12-30T10:15:00"/>
    <s v="BUD"/>
    <n v="102062"/>
    <d v="1899-12-30T12:15:00"/>
    <d v="1899-12-30T02:00:00"/>
  </r>
  <r>
    <x v="8"/>
    <x v="5"/>
    <s v="BUD"/>
    <x v="1"/>
    <s v="FCO"/>
    <d v="1899-12-30T10:15:00"/>
    <s v="BLQ"/>
    <d v="1899-12-30T19:40:00"/>
    <s v="BLQ"/>
    <s v="1 átszállás"/>
    <s v="FCO"/>
    <d v="1899-12-30T23:35:00"/>
    <s v="BUD"/>
    <n v="95170"/>
    <d v="1899-12-30T04:00:00"/>
    <d v="1899-12-30T03:55:00"/>
  </r>
  <r>
    <x v="5"/>
    <x v="10"/>
    <s v="BUD"/>
    <x v="0"/>
    <s v=""/>
    <d v="1899-12-30T07:55:00"/>
    <s v="MXP"/>
    <d v="1899-12-30T15:00:00"/>
    <s v="MXP"/>
    <s v="Közvetlen járat"/>
    <s v=""/>
    <d v="1899-12-30T16:40:00"/>
    <s v="BUD"/>
    <n v="50148"/>
    <d v="1899-12-30T01:45:00"/>
    <d v="1899-12-30T01:40:00"/>
  </r>
  <r>
    <x v="12"/>
    <x v="22"/>
    <s v="BUD"/>
    <x v="2"/>
    <s v="MUC FRA"/>
    <d v="1899-12-30T17:35:00"/>
    <s v="PSA"/>
    <d v="1899-12-30T18:15:00"/>
    <s v="PSA"/>
    <s v="1 átszállás"/>
    <s v="FRA"/>
    <d v="1899-12-30T23:50:00"/>
    <s v="BUD"/>
    <n v="113921"/>
    <d v="1899-12-30T09:10:00"/>
    <d v="1899-12-30T05:35:00"/>
  </r>
  <r>
    <x v="2"/>
    <x v="14"/>
    <s v="BUD"/>
    <x v="1"/>
    <s v="BGY"/>
    <d v="1899-12-30T16:45:00"/>
    <s v="CAG"/>
    <d v="1899-12-30T17:45:00"/>
    <s v="CAG"/>
    <s v="1 átszállás"/>
    <s v="BGY"/>
    <d v="1899-12-30T23:30:00"/>
    <s v="BUD"/>
    <n v="114427"/>
    <d v="1899-12-30T05:35:00"/>
    <d v="1899-12-30T05:45:00"/>
  </r>
  <r>
    <x v="8"/>
    <x v="28"/>
    <s v="BUD"/>
    <x v="1"/>
    <s v="VIE"/>
    <d v="1899-12-30T18:55:00"/>
    <s v="BLQ"/>
    <d v="1899-12-30T19:35:00"/>
    <s v="BLQ"/>
    <s v="1 átszállás"/>
    <s v="VIE"/>
    <d v="1899-12-30T22:25:00"/>
    <s v="BUD"/>
    <n v="76000"/>
    <d v="1899-12-30T07:40:00"/>
    <d v="1899-12-30T02:50:00"/>
  </r>
  <r>
    <x v="3"/>
    <x v="2"/>
    <s v="BUD"/>
    <x v="0"/>
    <s v=""/>
    <d v="1899-12-30T21:00:00"/>
    <s v="CTA"/>
    <d v="1899-12-30T14:35:00"/>
    <s v="CTA"/>
    <s v="1 átszállás"/>
    <s v="BEG"/>
    <d v="1899-12-30T19:10:00"/>
    <s v="BUD"/>
    <n v="65537"/>
    <d v="1899-12-30T02:10:00"/>
    <d v="1899-12-30T04:35:00"/>
  </r>
  <r>
    <x v="11"/>
    <x v="5"/>
    <s v="BUD"/>
    <x v="1"/>
    <s v="FCO"/>
    <d v="1899-12-30T10:25:00"/>
    <s v="TRS"/>
    <d v="1899-12-30T21:45:00"/>
    <s v="TRS"/>
    <s v="Közvetlen járat"/>
    <s v=""/>
    <d v="1899-12-30T22:50:00"/>
    <s v="BUD"/>
    <n v="75617"/>
    <d v="1899-12-30T04:10:00"/>
    <d v="1899-12-30T01:05:00"/>
  </r>
  <r>
    <x v="4"/>
    <x v="22"/>
    <s v="BUD"/>
    <x v="1"/>
    <s v="MUC"/>
    <d v="1899-12-30T12:35:00"/>
    <s v="GOA"/>
    <d v="1899-12-30T13:15:00"/>
    <s v="GOA"/>
    <s v="1 átszállás"/>
    <s v="MUC"/>
    <d v="1899-12-30T16:50:00"/>
    <s v="BUD"/>
    <n v="187663"/>
    <d v="1899-12-30T04:10:00"/>
    <d v="1899-12-30T03:35:00"/>
  </r>
  <r>
    <x v="5"/>
    <x v="29"/>
    <s v="BUD"/>
    <x v="0"/>
    <s v=""/>
    <d v="1899-12-30T12:30:00"/>
    <s v="MXP"/>
    <d v="1899-12-30T15:00:00"/>
    <s v="MXP"/>
    <s v="Közvetlen járat"/>
    <s v=""/>
    <d v="1899-12-30T16:40:00"/>
    <s v="BUD"/>
    <n v="54650"/>
    <d v="1899-12-30T01:45:00"/>
    <d v="1899-12-30T01:40:00"/>
  </r>
  <r>
    <x v="11"/>
    <x v="5"/>
    <s v="BUD"/>
    <x v="1"/>
    <s v="FCO"/>
    <d v="1899-12-30T10:25:00"/>
    <s v="TRS"/>
    <d v="1899-12-30T19:25:00"/>
    <s v="TRS"/>
    <s v="1 átszállás"/>
    <s v="FCO"/>
    <d v="1899-12-30T23:35:00"/>
    <s v="BUD"/>
    <n v="100579"/>
    <d v="1899-12-30T04:10:00"/>
    <d v="1899-12-30T04:10:00"/>
  </r>
  <r>
    <x v="4"/>
    <x v="14"/>
    <s v="BUD"/>
    <x v="0"/>
    <s v=""/>
    <d v="1899-12-30T13:00:00"/>
    <s v="GOA"/>
    <d v="1899-12-30T19:25:00"/>
    <s v="GOA"/>
    <s v="1 átszállás"/>
    <s v="FCO"/>
    <d v="1899-12-30T23:35:00"/>
    <s v="BUD"/>
    <n v="70177"/>
    <d v="1899-12-30T01:50:00"/>
    <d v="1899-12-30T04:10:00"/>
  </r>
  <r>
    <x v="6"/>
    <x v="19"/>
    <s v="BUD"/>
    <x v="0"/>
    <s v=""/>
    <d v="1899-12-30T11:35:00"/>
    <s v="BRI"/>
    <d v="1899-12-30T18:00:00"/>
    <s v="BRI"/>
    <s v="1 átszállás"/>
    <s v="MUC"/>
    <d v="1899-12-30T23:35:00"/>
    <s v="BUD"/>
    <n v="152138"/>
    <d v="1899-12-30T01:30:00"/>
    <d v="1899-12-30T05:35:00"/>
  </r>
  <r>
    <x v="0"/>
    <x v="5"/>
    <s v="BUD"/>
    <x v="0"/>
    <s v=""/>
    <d v="1899-12-30T08:05:00"/>
    <s v="FCO"/>
    <d v="1899-12-30T19:50:00"/>
    <s v="CIA"/>
    <s v="Közvetlen járat"/>
    <s v=""/>
    <d v="1899-12-30T21:30:00"/>
    <s v="BUD"/>
    <n v="41396"/>
    <d v="1899-12-30T01:50:00"/>
    <d v="1899-12-30T01:40:00"/>
  </r>
  <r>
    <x v="3"/>
    <x v="11"/>
    <s v="BUD"/>
    <x v="1"/>
    <s v="MUC"/>
    <d v="1899-12-30T11:00:00"/>
    <s v="CTA"/>
    <d v="1899-12-30T21:00:00"/>
    <s v="CTA"/>
    <s v="Közvetlen járat"/>
    <s v=""/>
    <d v="1899-12-30T23:10:00"/>
    <s v="BUD"/>
    <n v="108167"/>
    <d v="1899-12-30T04:55:00"/>
    <d v="1899-12-30T02:10:00"/>
  </r>
  <r>
    <x v="8"/>
    <x v="22"/>
    <s v="BUD"/>
    <x v="1"/>
    <s v="MUC"/>
    <d v="1899-12-30T12:45:00"/>
    <s v="BLQ"/>
    <d v="1899-12-30T19:35:00"/>
    <s v="BLQ"/>
    <s v="1 átszállás"/>
    <s v="VIE"/>
    <d v="1899-12-30T22:25:00"/>
    <s v="BUD"/>
    <n v="85000"/>
    <d v="1899-12-30T04:20:00"/>
    <d v="1899-12-30T02:50:00"/>
  </r>
  <r>
    <x v="10"/>
    <x v="10"/>
    <s v="BUD"/>
    <x v="1"/>
    <s v="MXP"/>
    <d v="1899-12-30T12:00:00"/>
    <s v="NAP"/>
    <d v="1899-12-30T18:15:00"/>
    <s v="NAP"/>
    <s v="Közvetlen járat"/>
    <s v=""/>
    <d v="1899-12-30T19:55:00"/>
    <s v="BUD"/>
    <n v="69775"/>
    <d v="1899-12-30T05:50:00"/>
    <d v="1899-12-30T01:40:00"/>
  </r>
  <r>
    <x v="12"/>
    <x v="25"/>
    <s v="BUD"/>
    <x v="0"/>
    <s v=""/>
    <d v="1899-12-30T11:40:00"/>
    <s v="PSA"/>
    <d v="1899-12-30T09:30:00"/>
    <s v="PSA"/>
    <s v="1 átszállás"/>
    <s v="BVA"/>
    <d v="1899-12-30T14:50:00"/>
    <s v="BUD"/>
    <n v="105339"/>
    <d v="1899-12-30T01:45:00"/>
    <d v="1899-12-30T05:20:00"/>
  </r>
  <r>
    <x v="1"/>
    <x v="3"/>
    <s v="BUD"/>
    <x v="1"/>
    <s v="ZRH"/>
    <d v="1899-12-30T14:00:00"/>
    <s v="PMO"/>
    <d v="1899-12-30T14:50:00"/>
    <s v="PMO"/>
    <s v="1 átszállás"/>
    <s v="ZRH"/>
    <d v="1899-12-30T19:15:00"/>
    <s v="BUD"/>
    <n v="251177"/>
    <d v="1899-12-30T04:30:00"/>
    <d v="1899-12-30T04:25:00"/>
  </r>
  <r>
    <x v="9"/>
    <x v="18"/>
    <s v="BUD"/>
    <x v="1"/>
    <s v="NAP"/>
    <d v="1899-12-30T17:40:00"/>
    <s v="AHO"/>
    <d v="1899-12-30T08:15:00"/>
    <s v="AHO"/>
    <s v="Közvetlen járat"/>
    <s v=""/>
    <d v="1899-12-30T10:15:00"/>
    <s v="BUD"/>
    <n v="110183"/>
    <d v="1899-12-30T11:45:00"/>
    <d v="1899-12-30T02:00:00"/>
  </r>
  <r>
    <x v="12"/>
    <x v="25"/>
    <s v="BUD"/>
    <x v="0"/>
    <s v=""/>
    <d v="1899-12-30T11:40:00"/>
    <s v="PSA"/>
    <d v="1899-12-30T14:25:00"/>
    <s v="PSA"/>
    <s v="1 átszállás"/>
    <s v="EIN"/>
    <d v="1899-12-30T19:15:00"/>
    <s v="BUD"/>
    <n v="153276"/>
    <d v="1899-12-30T01:45:00"/>
    <d v="1899-12-30T04:5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48BDD-4246-4721-BCEB-6F1FAD564953}" name="Kimutatás1" cacheId="0" applyNumberFormats="0" applyBorderFormats="0" applyFontFormats="0" applyPatternFormats="0" applyAlignmentFormats="0" applyWidthHeightFormats="1" dataCaption="Értékek" updatedVersion="6" minRefreshableVersion="3" colGrandTotals="0" itemPrintTitles="1" createdVersion="6" indent="0" outline="1" outlineData="1" multipleFieldFilters="0">
  <location ref="A3:J19" firstHeaderRow="1" firstDataRow="3" firstDataCol="1"/>
  <pivotFields count="17">
    <pivotField axis="axisRow" showAll="0" sortType="descending">
      <items count="14">
        <item sd="0" x="9"/>
        <item sd="0" x="6"/>
        <item sd="0" x="8"/>
        <item sd="0" x="2"/>
        <item sd="0" x="3"/>
        <item sd="0" x="4"/>
        <item sd="0" x="5"/>
        <item sd="0" x="10"/>
        <item sd="0" x="1"/>
        <item sd="0" x="12"/>
        <item sd="0" x="7"/>
        <item sd="0" x="0"/>
        <item sd="0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numFmtId="16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sd="0" x="56"/>
        <item x="57"/>
        <item x="58"/>
        <item x="59"/>
        <item x="60"/>
        <item x="61"/>
        <item t="default"/>
      </items>
    </pivotField>
    <pivotField showAll="0"/>
    <pivotField axis="axisCol" showAll="0">
      <items count="4">
        <item sd="0" x="0"/>
        <item x="1"/>
        <item sd="0" x="2"/>
        <item t="default"/>
      </items>
    </pivotField>
    <pivotField showAll="0"/>
    <pivotField numFmtId="164" showAll="0"/>
    <pivotField showAll="0"/>
    <pivotField numFmtId="164" showAll="0"/>
    <pivotField showAll="0"/>
    <pivotField showAll="0"/>
    <pivotField showAll="0"/>
    <pivotField numFmtId="164" showAll="0"/>
    <pivotField showAll="0"/>
    <pivotField dataField="1" numFmtId="165" showAll="0"/>
    <pivotField numFmtId="166" showAll="0"/>
    <pivotField numFmtId="166" showAll="0"/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x="15"/>
        <item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3">
    <field x="0"/>
    <field x="16"/>
    <field x="1"/>
  </rowFields>
  <rowItems count="14">
    <i>
      <x v="3"/>
    </i>
    <i>
      <x v="10"/>
    </i>
    <i>
      <x v="5"/>
    </i>
    <i>
      <x/>
    </i>
    <i>
      <x v="9"/>
    </i>
    <i>
      <x v="8"/>
    </i>
    <i>
      <x v="1"/>
    </i>
    <i>
      <x v="12"/>
    </i>
    <i>
      <x v="2"/>
    </i>
    <i>
      <x v="4"/>
    </i>
    <i>
      <x v="7"/>
    </i>
    <i>
      <x v="6"/>
    </i>
    <i>
      <x v="11"/>
    </i>
    <i t="grand">
      <x/>
    </i>
  </rowItems>
  <colFields count="2">
    <field x="3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</colItems>
  <dataFields count="3">
    <dataField name="Átlagos ár" fld="13" subtotal="average" baseField="0" baseItem="0" numFmtId="3"/>
    <dataField name="Legolcsóbb" fld="13" subtotal="min" baseField="0" baseItem="3" numFmtId="3"/>
    <dataField name="Átlag százalék" fld="13" subtotal="average" showDataAs="percentOfCol" baseField="0" baseItem="5" numFmtId="10"/>
  </dataFields>
  <formats count="3">
    <format dxfId="43">
      <pivotArea dataOnly="0" outline="0" fieldPosition="0">
        <references count="1">
          <reference field="4294967294" count="1">
            <x v="1"/>
          </reference>
        </references>
      </pivotArea>
    </format>
    <format dxfId="42">
      <pivotArea dataOnly="0" outline="0" fieldPosition="0">
        <references count="1">
          <reference field="4294967294" count="1">
            <x v="2"/>
          </reference>
        </references>
      </pivotArea>
    </format>
    <format dxfId="41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F558-A9B8-44DB-A8F9-E6F2355A6FC7}">
  <dimension ref="A1:S152"/>
  <sheetViews>
    <sheetView tabSelected="1" zoomScale="85" zoomScaleNormal="85" workbookViewId="0">
      <pane xSplit="1" ySplit="1" topLeftCell="B2" activePane="bottomRight" state="frozen"/>
      <selection activeCell="C16" sqref="C16"/>
      <selection pane="topRight" activeCell="C16" sqref="C16"/>
      <selection pane="bottomLeft" activeCell="C16" sqref="C16"/>
      <selection pane="bottomRight" activeCell="R14" sqref="R14"/>
    </sheetView>
  </sheetViews>
  <sheetFormatPr defaultRowHeight="14.25"/>
  <cols>
    <col min="1" max="1" width="17.25" style="1" bestFit="1" customWidth="1"/>
    <col min="2" max="2" width="9.125" style="1" customWidth="1"/>
    <col min="3" max="3" width="9.25" style="1" bestFit="1" customWidth="1"/>
    <col min="4" max="4" width="13" style="1" bestFit="1" customWidth="1"/>
    <col min="5" max="5" width="9.5" style="1" bestFit="1" customWidth="1"/>
    <col min="6" max="7" width="8" style="1" bestFit="1" customWidth="1"/>
    <col min="8" max="8" width="9" style="1" bestFit="1" customWidth="1"/>
    <col min="9" max="9" width="7.5" style="1" bestFit="1" customWidth="1"/>
    <col min="10" max="10" width="14.125" style="1" bestFit="1" customWidth="1"/>
    <col min="11" max="11" width="9.125" style="1" bestFit="1" customWidth="1"/>
    <col min="12" max="12" width="9" style="1" bestFit="1" customWidth="1"/>
    <col min="13" max="13" width="8" style="1" bestFit="1" customWidth="1"/>
    <col min="14" max="14" width="10.75" style="1" bestFit="1" customWidth="1"/>
    <col min="15" max="15" width="13.75" style="1" customWidth="1"/>
    <col min="16" max="16" width="12.625" style="1" bestFit="1" customWidth="1"/>
    <col min="17" max="17" width="9.125" style="1" customWidth="1"/>
    <col min="18" max="18" width="15" style="1" customWidth="1"/>
    <col min="19" max="19" width="16.75" style="1" customWidth="1"/>
    <col min="20" max="20" width="16.25" style="1" customWidth="1"/>
    <col min="21" max="16384" width="9" style="1"/>
  </cols>
  <sheetData>
    <row r="1" spans="1:19" ht="42.75">
      <c r="A1" s="16" t="s">
        <v>62</v>
      </c>
      <c r="B1" s="16" t="s">
        <v>67</v>
      </c>
      <c r="C1" s="16" t="s">
        <v>63</v>
      </c>
      <c r="D1" s="16" t="s">
        <v>64</v>
      </c>
      <c r="E1" s="16" t="s">
        <v>65</v>
      </c>
      <c r="F1" s="16" t="s">
        <v>68</v>
      </c>
      <c r="G1" s="16" t="s">
        <v>66</v>
      </c>
      <c r="H1" s="16" t="s">
        <v>69</v>
      </c>
      <c r="I1" s="16" t="s">
        <v>70</v>
      </c>
      <c r="J1" s="16" t="s">
        <v>71</v>
      </c>
      <c r="K1" s="16" t="s">
        <v>72</v>
      </c>
      <c r="L1" s="16" t="s">
        <v>73</v>
      </c>
      <c r="M1" s="16" t="s">
        <v>74</v>
      </c>
      <c r="N1" s="16" t="s">
        <v>75</v>
      </c>
      <c r="O1" s="16" t="s">
        <v>144</v>
      </c>
      <c r="P1" s="16" t="s">
        <v>145</v>
      </c>
    </row>
    <row r="2" spans="1:19">
      <c r="A2" s="2" t="s">
        <v>1</v>
      </c>
      <c r="B2" s="3">
        <v>0.80208333333333337</v>
      </c>
      <c r="C2" s="2" t="s">
        <v>13</v>
      </c>
      <c r="D2" s="2" t="s">
        <v>60</v>
      </c>
      <c r="E2" s="2" t="s">
        <v>76</v>
      </c>
      <c r="F2" s="3">
        <v>0.87847222222222221</v>
      </c>
      <c r="G2" s="2" t="s">
        <v>16</v>
      </c>
      <c r="H2" s="3">
        <v>0.90625</v>
      </c>
      <c r="I2" s="2" t="s">
        <v>16</v>
      </c>
      <c r="J2" s="2" t="s">
        <v>60</v>
      </c>
      <c r="K2" s="2" t="s">
        <v>76</v>
      </c>
      <c r="L2" s="3">
        <v>0.98263888888888884</v>
      </c>
      <c r="M2" s="2" t="s">
        <v>13</v>
      </c>
      <c r="N2" s="4">
        <v>5</v>
      </c>
      <c r="O2" s="5">
        <f>IF(F2-B2&gt;=0,F2-B2,1-ABS(F2-B2))</f>
        <v>7.638888888888884E-2</v>
      </c>
      <c r="P2" s="5">
        <f>IF(L2-H2&gt;=0,L2-H2,1-ABS(L2-H2))</f>
        <v>7.638888888888884E-2</v>
      </c>
      <c r="Q2" s="1" t="b">
        <f>G2&lt;&gt;I2</f>
        <v>0</v>
      </c>
    </row>
    <row r="3" spans="1:19">
      <c r="A3" s="2" t="s">
        <v>1</v>
      </c>
      <c r="B3" s="3">
        <v>0.26041666666666669</v>
      </c>
      <c r="C3" s="2" t="s">
        <v>13</v>
      </c>
      <c r="D3" s="2" t="s">
        <v>60</v>
      </c>
      <c r="E3" s="2" t="s">
        <v>76</v>
      </c>
      <c r="F3" s="3">
        <v>0.33680555555555558</v>
      </c>
      <c r="G3" s="2" t="s">
        <v>16</v>
      </c>
      <c r="H3" s="3">
        <v>0.36458333333333331</v>
      </c>
      <c r="I3" s="2" t="s">
        <v>16</v>
      </c>
      <c r="J3" s="2" t="s">
        <v>60</v>
      </c>
      <c r="K3" s="2" t="s">
        <v>76</v>
      </c>
      <c r="L3" s="3">
        <v>0.44097222222222221</v>
      </c>
      <c r="M3" s="2" t="s">
        <v>13</v>
      </c>
      <c r="N3" s="4">
        <v>31209</v>
      </c>
      <c r="O3" s="5">
        <f>IF(F3-B3&gt;=0,F3-B3,1-ABS(F3-B3))</f>
        <v>7.6388888888888895E-2</v>
      </c>
      <c r="P3" s="5">
        <f>IF(L3-H3&gt;=0,L3-H3,1-ABS(L3-H3))</f>
        <v>7.6388888888888895E-2</v>
      </c>
      <c r="R3" s="6"/>
    </row>
    <row r="4" spans="1:19">
      <c r="A4" s="2" t="s">
        <v>1</v>
      </c>
      <c r="B4" s="3">
        <v>0.26041666666666669</v>
      </c>
      <c r="C4" s="2" t="s">
        <v>13</v>
      </c>
      <c r="D4" s="2" t="s">
        <v>60</v>
      </c>
      <c r="E4" s="2" t="s">
        <v>76</v>
      </c>
      <c r="F4" s="3">
        <v>0.33680555555555558</v>
      </c>
      <c r="G4" s="2" t="s">
        <v>16</v>
      </c>
      <c r="H4" s="3">
        <v>0.90625</v>
      </c>
      <c r="I4" s="2" t="s">
        <v>16</v>
      </c>
      <c r="J4" s="2" t="s">
        <v>60</v>
      </c>
      <c r="K4" s="2" t="s">
        <v>76</v>
      </c>
      <c r="L4" s="3">
        <v>0.98263888888888884</v>
      </c>
      <c r="M4" s="2" t="s">
        <v>13</v>
      </c>
      <c r="N4" s="4">
        <v>31209</v>
      </c>
      <c r="O4" s="5">
        <f>IF(F4-B4&gt;=0,F4-B4,1-ABS(F4-B4))</f>
        <v>7.6388888888888895E-2</v>
      </c>
      <c r="P4" s="5">
        <f>IF(L4-H4&gt;=0,L4-H4,1-ABS(L4-H4))</f>
        <v>7.638888888888884E-2</v>
      </c>
    </row>
    <row r="5" spans="1:19">
      <c r="A5" s="2" t="s">
        <v>1</v>
      </c>
      <c r="B5" s="3">
        <v>0.80208333333333337</v>
      </c>
      <c r="C5" s="2" t="s">
        <v>13</v>
      </c>
      <c r="D5" s="2" t="s">
        <v>60</v>
      </c>
      <c r="E5" s="2" t="s">
        <v>76</v>
      </c>
      <c r="F5" s="3">
        <v>0.87847222222222221</v>
      </c>
      <c r="G5" s="2" t="s">
        <v>16</v>
      </c>
      <c r="H5" s="3">
        <v>0.36458333333333331</v>
      </c>
      <c r="I5" s="2" t="s">
        <v>16</v>
      </c>
      <c r="J5" s="2" t="s">
        <v>60</v>
      </c>
      <c r="K5" s="2" t="s">
        <v>76</v>
      </c>
      <c r="L5" s="3">
        <v>0.44097222222222221</v>
      </c>
      <c r="M5" s="2" t="s">
        <v>13</v>
      </c>
      <c r="N5" s="4">
        <v>32449</v>
      </c>
      <c r="O5" s="5">
        <f>IF(F5-B5&gt;=0,F5-B5,1-ABS(F5-B5))</f>
        <v>7.638888888888884E-2</v>
      </c>
      <c r="P5" s="5">
        <f>IF(L5-H5&gt;=0,L5-H5,1-ABS(L5-H5))</f>
        <v>7.6388888888888895E-2</v>
      </c>
    </row>
    <row r="6" spans="1:19">
      <c r="A6" s="2" t="s">
        <v>3</v>
      </c>
      <c r="B6" s="3">
        <v>0.59722222222222221</v>
      </c>
      <c r="C6" s="2" t="s">
        <v>13</v>
      </c>
      <c r="D6" s="2" t="s">
        <v>60</v>
      </c>
      <c r="E6" s="2" t="s">
        <v>76</v>
      </c>
      <c r="F6" s="3">
        <v>0.67361111111111116</v>
      </c>
      <c r="G6" s="2" t="s">
        <v>23</v>
      </c>
      <c r="H6" s="3">
        <v>0.5</v>
      </c>
      <c r="I6" s="2" t="s">
        <v>23</v>
      </c>
      <c r="J6" s="2" t="s">
        <v>60</v>
      </c>
      <c r="K6" s="2" t="s">
        <v>76</v>
      </c>
      <c r="L6" s="3">
        <v>0.56597222222222221</v>
      </c>
      <c r="M6" s="2" t="s">
        <v>13</v>
      </c>
      <c r="N6" s="4">
        <v>38595</v>
      </c>
      <c r="O6" s="5">
        <f>IF(F6-B6&gt;=0,F6-B6,1-ABS(F6-B6))</f>
        <v>7.6388888888888951E-2</v>
      </c>
      <c r="P6" s="5">
        <f>IF(L6-H6&gt;=0,L6-H6,1-ABS(L6-H6))</f>
        <v>6.597222222222221E-2</v>
      </c>
    </row>
    <row r="7" spans="1:19">
      <c r="A7" s="2" t="s">
        <v>3</v>
      </c>
      <c r="B7" s="3">
        <v>0.31944444444444442</v>
      </c>
      <c r="C7" s="2" t="s">
        <v>13</v>
      </c>
      <c r="D7" s="2" t="s">
        <v>54</v>
      </c>
      <c r="E7" s="2" t="s">
        <v>24</v>
      </c>
      <c r="F7" s="3">
        <v>0.64236111111111116</v>
      </c>
      <c r="G7" s="2" t="s">
        <v>23</v>
      </c>
      <c r="H7" s="3">
        <v>0.5</v>
      </c>
      <c r="I7" s="2" t="s">
        <v>23</v>
      </c>
      <c r="J7" s="2" t="s">
        <v>60</v>
      </c>
      <c r="K7" s="2" t="s">
        <v>76</v>
      </c>
      <c r="L7" s="3">
        <v>0.56597222222222221</v>
      </c>
      <c r="M7" s="2" t="s">
        <v>13</v>
      </c>
      <c r="N7" s="4">
        <v>39109</v>
      </c>
      <c r="O7" s="5">
        <f>IF(F7-B7&gt;=0,F7-B7,1-ABS(F7-B7))</f>
        <v>0.32291666666666674</v>
      </c>
      <c r="P7" s="5">
        <f>IF(L7-H7&gt;=0,L7-H7,1-ABS(L7-H7))</f>
        <v>6.597222222222221E-2</v>
      </c>
      <c r="R7" s="7"/>
    </row>
    <row r="8" spans="1:19">
      <c r="A8" s="2" t="s">
        <v>1</v>
      </c>
      <c r="B8" s="3">
        <v>0.26041666666666669</v>
      </c>
      <c r="C8" s="2" t="s">
        <v>13</v>
      </c>
      <c r="D8" s="2" t="s">
        <v>60</v>
      </c>
      <c r="E8" s="2" t="s">
        <v>76</v>
      </c>
      <c r="F8" s="3">
        <v>0.33680555555555558</v>
      </c>
      <c r="G8" s="2" t="s">
        <v>16</v>
      </c>
      <c r="H8" s="3">
        <v>0.34375</v>
      </c>
      <c r="I8" s="2" t="s">
        <v>17</v>
      </c>
      <c r="J8" s="2" t="s">
        <v>60</v>
      </c>
      <c r="K8" s="2" t="s">
        <v>76</v>
      </c>
      <c r="L8" s="3">
        <v>0.41319444444444442</v>
      </c>
      <c r="M8" s="2" t="s">
        <v>13</v>
      </c>
      <c r="N8" s="4">
        <v>41396</v>
      </c>
      <c r="O8" s="5">
        <f>IF(F8-B8&gt;=0,F8-B8,1-ABS(F8-B8))</f>
        <v>7.6388888888888895E-2</v>
      </c>
      <c r="P8" s="5">
        <f>IF(L8-H8&gt;=0,L8-H8,1-ABS(L8-H8))</f>
        <v>6.944444444444442E-2</v>
      </c>
    </row>
    <row r="9" spans="1:19">
      <c r="A9" s="2" t="s">
        <v>1</v>
      </c>
      <c r="B9" s="3">
        <v>0.26041666666666669</v>
      </c>
      <c r="C9" s="2" t="s">
        <v>13</v>
      </c>
      <c r="D9" s="2" t="s">
        <v>60</v>
      </c>
      <c r="E9" s="2" t="s">
        <v>76</v>
      </c>
      <c r="F9" s="3">
        <v>0.33680555555555558</v>
      </c>
      <c r="G9" s="2" t="s">
        <v>16</v>
      </c>
      <c r="H9" s="3">
        <v>0.82638888888888884</v>
      </c>
      <c r="I9" s="2" t="s">
        <v>17</v>
      </c>
      <c r="J9" s="2" t="s">
        <v>60</v>
      </c>
      <c r="K9" s="2" t="s">
        <v>76</v>
      </c>
      <c r="L9" s="3">
        <v>0.89583333333333337</v>
      </c>
      <c r="M9" s="2" t="s">
        <v>13</v>
      </c>
      <c r="N9" s="4">
        <v>41396</v>
      </c>
      <c r="O9" s="5">
        <f>IF(F9-B9&gt;=0,F9-B9,1-ABS(F9-B9))</f>
        <v>7.6388888888888895E-2</v>
      </c>
      <c r="P9" s="5">
        <f>IF(L9-H9&gt;=0,L9-H9,1-ABS(L9-H9))</f>
        <v>6.9444444444444531E-2</v>
      </c>
    </row>
    <row r="10" spans="1:19">
      <c r="A10" s="2" t="s">
        <v>3</v>
      </c>
      <c r="B10" s="3">
        <v>0.31944444444444442</v>
      </c>
      <c r="C10" s="2" t="s">
        <v>13</v>
      </c>
      <c r="D10" s="2" t="s">
        <v>54</v>
      </c>
      <c r="E10" s="2" t="s">
        <v>24</v>
      </c>
      <c r="F10" s="3">
        <v>0.46875</v>
      </c>
      <c r="G10" s="2" t="s">
        <v>23</v>
      </c>
      <c r="H10" s="3">
        <v>0.5</v>
      </c>
      <c r="I10" s="2" t="s">
        <v>23</v>
      </c>
      <c r="J10" s="2" t="s">
        <v>60</v>
      </c>
      <c r="K10" s="2" t="s">
        <v>76</v>
      </c>
      <c r="L10" s="3">
        <v>0.56597222222222221</v>
      </c>
      <c r="M10" s="2" t="s">
        <v>13</v>
      </c>
      <c r="N10" s="4">
        <v>42681</v>
      </c>
      <c r="O10" s="5">
        <f>IF(F10-B10&gt;=0,F10-B10,1-ABS(F10-B10))</f>
        <v>0.14930555555555558</v>
      </c>
      <c r="P10" s="5">
        <f>IF(L10-H10&gt;=0,L10-H10,1-ABS(L10-H10))</f>
        <v>6.597222222222221E-2</v>
      </c>
    </row>
    <row r="11" spans="1:19">
      <c r="A11" s="2" t="s">
        <v>3</v>
      </c>
      <c r="B11" s="3">
        <v>0.24652777777777779</v>
      </c>
      <c r="C11" s="2" t="s">
        <v>13</v>
      </c>
      <c r="D11" s="2" t="s">
        <v>60</v>
      </c>
      <c r="E11" s="2" t="s">
        <v>76</v>
      </c>
      <c r="F11" s="3">
        <v>0.31597222222222221</v>
      </c>
      <c r="G11" s="2" t="s">
        <v>23</v>
      </c>
      <c r="H11" s="3">
        <v>0.5</v>
      </c>
      <c r="I11" s="2" t="s">
        <v>23</v>
      </c>
      <c r="J11" s="2" t="s">
        <v>60</v>
      </c>
      <c r="K11" s="2" t="s">
        <v>76</v>
      </c>
      <c r="L11" s="3">
        <v>0.56597222222222221</v>
      </c>
      <c r="M11" s="2" t="s">
        <v>13</v>
      </c>
      <c r="N11" s="4">
        <v>44908</v>
      </c>
      <c r="O11" s="5">
        <f>IF(F11-B11&gt;=0,F11-B11,1-ABS(F11-B11))</f>
        <v>6.944444444444442E-2</v>
      </c>
      <c r="P11" s="5">
        <f>IF(L11-H11&gt;=0,L11-H11,1-ABS(L11-H11))</f>
        <v>6.597222222222221E-2</v>
      </c>
    </row>
    <row r="12" spans="1:19">
      <c r="A12" s="2" t="s">
        <v>3</v>
      </c>
      <c r="B12" s="3">
        <v>0.25694444444444442</v>
      </c>
      <c r="C12" s="2" t="s">
        <v>13</v>
      </c>
      <c r="D12" s="2" t="s">
        <v>54</v>
      </c>
      <c r="E12" s="2" t="s">
        <v>14</v>
      </c>
      <c r="F12" s="3">
        <v>0.5</v>
      </c>
      <c r="G12" s="2" t="s">
        <v>23</v>
      </c>
      <c r="H12" s="3">
        <v>0.5</v>
      </c>
      <c r="I12" s="2" t="s">
        <v>23</v>
      </c>
      <c r="J12" s="2" t="s">
        <v>60</v>
      </c>
      <c r="K12" s="2" t="s">
        <v>76</v>
      </c>
      <c r="L12" s="3">
        <v>0.56597222222222221</v>
      </c>
      <c r="M12" s="2" t="s">
        <v>13</v>
      </c>
      <c r="N12" s="4">
        <v>45076</v>
      </c>
      <c r="O12" s="5">
        <f>IF(F12-B12&gt;=0,F12-B12,1-ABS(F12-B12))</f>
        <v>0.24305555555555558</v>
      </c>
      <c r="P12" s="5">
        <f>IF(L12-H12&gt;=0,L12-H12,1-ABS(L12-H12))</f>
        <v>6.597222222222221E-2</v>
      </c>
    </row>
    <row r="13" spans="1:19">
      <c r="A13" s="2" t="s">
        <v>0</v>
      </c>
      <c r="B13" s="3">
        <v>0.25694444444444442</v>
      </c>
      <c r="C13" s="2" t="s">
        <v>13</v>
      </c>
      <c r="D13" s="2" t="s">
        <v>60</v>
      </c>
      <c r="E13" s="2" t="s">
        <v>76</v>
      </c>
      <c r="F13" s="3">
        <v>0.3298611111111111</v>
      </c>
      <c r="G13" s="2" t="s">
        <v>14</v>
      </c>
      <c r="H13" s="3">
        <v>0.53125</v>
      </c>
      <c r="I13" s="2" t="s">
        <v>15</v>
      </c>
      <c r="J13" s="2" t="s">
        <v>60</v>
      </c>
      <c r="K13" s="2" t="s">
        <v>76</v>
      </c>
      <c r="L13" s="3">
        <v>0.59722222222222221</v>
      </c>
      <c r="M13" s="2" t="s">
        <v>13</v>
      </c>
      <c r="N13" s="4">
        <v>46587</v>
      </c>
      <c r="O13" s="5">
        <f>IF(F13-B13&gt;=0,F13-B13,1-ABS(F13-B13))</f>
        <v>7.2916666666666685E-2</v>
      </c>
      <c r="P13" s="5">
        <f>IF(L13-H13&gt;=0,L13-H13,1-ABS(L13-H13))</f>
        <v>6.597222222222221E-2</v>
      </c>
      <c r="S13" s="8"/>
    </row>
    <row r="14" spans="1:19">
      <c r="A14" s="2" t="s">
        <v>1</v>
      </c>
      <c r="B14" s="3">
        <v>0.55555555555555558</v>
      </c>
      <c r="C14" s="2" t="s">
        <v>13</v>
      </c>
      <c r="D14" s="2" t="s">
        <v>60</v>
      </c>
      <c r="E14" s="2" t="s">
        <v>76</v>
      </c>
      <c r="F14" s="3">
        <v>0.625</v>
      </c>
      <c r="G14" s="2" t="s">
        <v>17</v>
      </c>
      <c r="H14" s="3">
        <v>0.90625</v>
      </c>
      <c r="I14" s="2" t="s">
        <v>16</v>
      </c>
      <c r="J14" s="2" t="s">
        <v>60</v>
      </c>
      <c r="K14" s="2" t="s">
        <v>76</v>
      </c>
      <c r="L14" s="3">
        <v>0.98263888888888884</v>
      </c>
      <c r="M14" s="2" t="s">
        <v>13</v>
      </c>
      <c r="N14" s="4">
        <v>48199</v>
      </c>
      <c r="O14" s="5">
        <f>IF(F14-B14&gt;=0,F14-B14,1-ABS(F14-B14))</f>
        <v>6.944444444444442E-2</v>
      </c>
      <c r="P14" s="5">
        <f>IF(L14-H14&gt;=0,L14-H14,1-ABS(L14-H14))</f>
        <v>7.638888888888884E-2</v>
      </c>
    </row>
    <row r="15" spans="1:19">
      <c r="A15" s="2" t="s">
        <v>0</v>
      </c>
      <c r="B15" s="3">
        <v>0.25694444444444442</v>
      </c>
      <c r="C15" s="2" t="s">
        <v>13</v>
      </c>
      <c r="D15" s="2" t="s">
        <v>60</v>
      </c>
      <c r="E15" s="2" t="s">
        <v>76</v>
      </c>
      <c r="F15" s="3">
        <v>0.3298611111111111</v>
      </c>
      <c r="G15" s="2" t="s">
        <v>14</v>
      </c>
      <c r="H15" s="3">
        <v>0.90625</v>
      </c>
      <c r="I15" s="2" t="s">
        <v>14</v>
      </c>
      <c r="J15" s="2" t="s">
        <v>60</v>
      </c>
      <c r="K15" s="2" t="s">
        <v>76</v>
      </c>
      <c r="L15" s="3">
        <v>0.97569444444444442</v>
      </c>
      <c r="M15" s="2" t="s">
        <v>13</v>
      </c>
      <c r="N15" s="4">
        <v>50148</v>
      </c>
      <c r="O15" s="5">
        <f>IF(F15-B15&gt;=0,F15-B15,1-ABS(F15-B15))</f>
        <v>7.2916666666666685E-2</v>
      </c>
      <c r="P15" s="5">
        <f>IF(L15-H15&gt;=0,L15-H15,1-ABS(L15-H15))</f>
        <v>6.944444444444442E-2</v>
      </c>
    </row>
    <row r="16" spans="1:19">
      <c r="A16" s="2" t="s">
        <v>0</v>
      </c>
      <c r="B16" s="3">
        <v>0.25694444444444442</v>
      </c>
      <c r="C16" s="2" t="s">
        <v>13</v>
      </c>
      <c r="D16" s="2" t="s">
        <v>60</v>
      </c>
      <c r="E16" s="2" t="s">
        <v>76</v>
      </c>
      <c r="F16" s="3">
        <v>0.3298611111111111</v>
      </c>
      <c r="G16" s="2" t="s">
        <v>14</v>
      </c>
      <c r="H16" s="3">
        <v>0.625</v>
      </c>
      <c r="I16" s="2" t="s">
        <v>14</v>
      </c>
      <c r="J16" s="2" t="s">
        <v>60</v>
      </c>
      <c r="K16" s="2" t="s">
        <v>76</v>
      </c>
      <c r="L16" s="3">
        <v>0.69444444444444442</v>
      </c>
      <c r="M16" s="2" t="s">
        <v>13</v>
      </c>
      <c r="N16" s="4">
        <v>50148</v>
      </c>
      <c r="O16" s="5">
        <f>IF(F16-B16&gt;=0,F16-B16,1-ABS(F16-B16))</f>
        <v>7.2916666666666685E-2</v>
      </c>
      <c r="P16" s="5">
        <f>IF(L16-H16&gt;=0,L16-H16,1-ABS(L16-H16))</f>
        <v>6.944444444444442E-2</v>
      </c>
    </row>
    <row r="17" spans="1:16">
      <c r="A17" s="2" t="s">
        <v>1</v>
      </c>
      <c r="B17" s="3">
        <v>0.80902777777777779</v>
      </c>
      <c r="C17" s="2" t="s">
        <v>13</v>
      </c>
      <c r="D17" s="2" t="s">
        <v>60</v>
      </c>
      <c r="E17" s="2" t="s">
        <v>76</v>
      </c>
      <c r="F17" s="3">
        <v>0.87847222222222221</v>
      </c>
      <c r="G17" s="2" t="s">
        <v>17</v>
      </c>
      <c r="H17" s="3">
        <v>0.34375</v>
      </c>
      <c r="I17" s="2" t="s">
        <v>17</v>
      </c>
      <c r="J17" s="2" t="s">
        <v>60</v>
      </c>
      <c r="K17" s="2" t="s">
        <v>76</v>
      </c>
      <c r="L17" s="3">
        <v>0.41319444444444442</v>
      </c>
      <c r="M17" s="2" t="s">
        <v>13</v>
      </c>
      <c r="N17" s="4">
        <v>50248</v>
      </c>
      <c r="O17" s="5">
        <f>IF(F17-B17&gt;=0,F17-B17,1-ABS(F17-B17))</f>
        <v>6.944444444444442E-2</v>
      </c>
      <c r="P17" s="5">
        <f>IF(L17-H17&gt;=0,L17-H17,1-ABS(L17-H17))</f>
        <v>6.944444444444442E-2</v>
      </c>
    </row>
    <row r="18" spans="1:16">
      <c r="A18" s="2" t="s">
        <v>1</v>
      </c>
      <c r="B18" s="3">
        <v>0.80902777777777779</v>
      </c>
      <c r="C18" s="2" t="s">
        <v>13</v>
      </c>
      <c r="D18" s="2" t="s">
        <v>60</v>
      </c>
      <c r="E18" s="2" t="s">
        <v>76</v>
      </c>
      <c r="F18" s="3">
        <v>0.87847222222222221</v>
      </c>
      <c r="G18" s="2" t="s">
        <v>17</v>
      </c>
      <c r="H18" s="3">
        <v>0.82638888888888884</v>
      </c>
      <c r="I18" s="2" t="s">
        <v>17</v>
      </c>
      <c r="J18" s="2" t="s">
        <v>60</v>
      </c>
      <c r="K18" s="2" t="s">
        <v>76</v>
      </c>
      <c r="L18" s="3">
        <v>0.89583333333333337</v>
      </c>
      <c r="M18" s="2" t="s">
        <v>13</v>
      </c>
      <c r="N18" s="4">
        <v>50432</v>
      </c>
      <c r="O18" s="5">
        <f>IF(F18-B18&gt;=0,F18-B18,1-ABS(F18-B18))</f>
        <v>6.944444444444442E-2</v>
      </c>
      <c r="P18" s="5">
        <f>IF(L18-H18&gt;=0,L18-H18,1-ABS(L18-H18))</f>
        <v>6.9444444444444531E-2</v>
      </c>
    </row>
    <row r="19" spans="1:16">
      <c r="A19" s="2" t="s">
        <v>8</v>
      </c>
      <c r="B19" s="3">
        <v>0.4201388888888889</v>
      </c>
      <c r="C19" s="2" t="s">
        <v>13</v>
      </c>
      <c r="D19" s="2" t="s">
        <v>54</v>
      </c>
      <c r="E19" s="2" t="s">
        <v>18</v>
      </c>
      <c r="F19" s="3">
        <v>0.90972222222222221</v>
      </c>
      <c r="G19" s="2" t="s">
        <v>19</v>
      </c>
      <c r="H19" s="3">
        <v>0.90625</v>
      </c>
      <c r="I19" s="2" t="s">
        <v>19</v>
      </c>
      <c r="J19" s="2" t="s">
        <v>60</v>
      </c>
      <c r="K19" s="2" t="s">
        <v>76</v>
      </c>
      <c r="L19" s="3">
        <v>0.95138888888888884</v>
      </c>
      <c r="M19" s="2" t="s">
        <v>13</v>
      </c>
      <c r="N19" s="4">
        <v>51469</v>
      </c>
      <c r="O19" s="5">
        <f>IF(F19-B19&gt;=0,F19-B19,1-ABS(F19-B19))</f>
        <v>0.48958333333333331</v>
      </c>
      <c r="P19" s="5">
        <f>IF(L19-H19&gt;=0,L19-H19,1-ABS(L19-H19))</f>
        <v>4.513888888888884E-2</v>
      </c>
    </row>
    <row r="20" spans="1:16">
      <c r="A20" s="2" t="s">
        <v>0</v>
      </c>
      <c r="B20" s="3">
        <v>0.25694444444444442</v>
      </c>
      <c r="C20" s="2" t="s">
        <v>13</v>
      </c>
      <c r="D20" s="2" t="s">
        <v>60</v>
      </c>
      <c r="E20" s="2" t="s">
        <v>76</v>
      </c>
      <c r="F20" s="3">
        <v>0.3298611111111111</v>
      </c>
      <c r="G20" s="2" t="s">
        <v>14</v>
      </c>
      <c r="H20" s="3">
        <v>0.91319444444444442</v>
      </c>
      <c r="I20" s="2" t="s">
        <v>15</v>
      </c>
      <c r="J20" s="2" t="s">
        <v>60</v>
      </c>
      <c r="K20" s="2" t="s">
        <v>76</v>
      </c>
      <c r="L20" s="3">
        <v>0.97916666666666663</v>
      </c>
      <c r="M20" s="2" t="s">
        <v>13</v>
      </c>
      <c r="N20" s="4">
        <v>51495</v>
      </c>
      <c r="O20" s="5">
        <f>IF(F20-B20&gt;=0,F20-B20,1-ABS(F20-B20))</f>
        <v>7.2916666666666685E-2</v>
      </c>
      <c r="P20" s="5">
        <f>IF(L20-H20&gt;=0,L20-H20,1-ABS(L20-H20))</f>
        <v>6.597222222222221E-2</v>
      </c>
    </row>
    <row r="21" spans="1:16">
      <c r="A21" s="2" t="s">
        <v>0</v>
      </c>
      <c r="B21" s="3">
        <v>0.46527777777777779</v>
      </c>
      <c r="C21" s="2" t="s">
        <v>13</v>
      </c>
      <c r="D21" s="2" t="s">
        <v>60</v>
      </c>
      <c r="E21" s="2" t="s">
        <v>76</v>
      </c>
      <c r="F21" s="3">
        <v>0.53472222222222221</v>
      </c>
      <c r="G21" s="2" t="s">
        <v>15</v>
      </c>
      <c r="H21" s="3">
        <v>0.53125</v>
      </c>
      <c r="I21" s="2" t="s">
        <v>15</v>
      </c>
      <c r="J21" s="2" t="s">
        <v>60</v>
      </c>
      <c r="K21" s="2" t="s">
        <v>76</v>
      </c>
      <c r="L21" s="3">
        <v>0.59722222222222221</v>
      </c>
      <c r="M21" s="2" t="s">
        <v>13</v>
      </c>
      <c r="N21" s="4">
        <v>51704</v>
      </c>
      <c r="O21" s="5">
        <f>IF(F21-B21&gt;=0,F21-B21,1-ABS(F21-B21))</f>
        <v>6.944444444444442E-2</v>
      </c>
      <c r="P21" s="5">
        <f>IF(L21-H21&gt;=0,L21-H21,1-ABS(L21-H21))</f>
        <v>6.597222222222221E-2</v>
      </c>
    </row>
    <row r="22" spans="1:16">
      <c r="A22" s="2" t="s">
        <v>4</v>
      </c>
      <c r="B22" s="3">
        <v>0.31944444444444442</v>
      </c>
      <c r="C22" s="2" t="s">
        <v>13</v>
      </c>
      <c r="D22" s="2" t="s">
        <v>54</v>
      </c>
      <c r="E22" s="2" t="s">
        <v>24</v>
      </c>
      <c r="F22" s="3">
        <v>0.50694444444444442</v>
      </c>
      <c r="G22" s="2" t="s">
        <v>26</v>
      </c>
      <c r="H22" s="3">
        <v>0.3263888888888889</v>
      </c>
      <c r="I22" s="2" t="s">
        <v>26</v>
      </c>
      <c r="J22" s="2" t="s">
        <v>54</v>
      </c>
      <c r="K22" s="2" t="s">
        <v>23</v>
      </c>
      <c r="L22" s="3">
        <v>0.56597222222222221</v>
      </c>
      <c r="M22" s="2" t="s">
        <v>13</v>
      </c>
      <c r="N22" s="4">
        <v>53391</v>
      </c>
      <c r="O22" s="5">
        <f>IF(F22-B22&gt;=0,F22-B22,1-ABS(F22-B22))</f>
        <v>0.1875</v>
      </c>
      <c r="P22" s="5">
        <f>IF(L22-H22&gt;=0,L22-H22,1-ABS(L22-H22))</f>
        <v>0.23958333333333331</v>
      </c>
    </row>
    <row r="23" spans="1:16">
      <c r="A23" s="2" t="s">
        <v>1</v>
      </c>
      <c r="B23" s="3">
        <v>0.55555555555555558</v>
      </c>
      <c r="C23" s="2" t="s">
        <v>13</v>
      </c>
      <c r="D23" s="2" t="s">
        <v>60</v>
      </c>
      <c r="E23" s="2" t="s">
        <v>76</v>
      </c>
      <c r="F23" s="3">
        <v>0.625</v>
      </c>
      <c r="G23" s="2" t="s">
        <v>17</v>
      </c>
      <c r="H23" s="3">
        <v>0.34375</v>
      </c>
      <c r="I23" s="2" t="s">
        <v>17</v>
      </c>
      <c r="J23" s="2" t="s">
        <v>60</v>
      </c>
      <c r="K23" s="2" t="s">
        <v>76</v>
      </c>
      <c r="L23" s="3">
        <v>0.41319444444444442</v>
      </c>
      <c r="M23" s="2" t="s">
        <v>13</v>
      </c>
      <c r="N23" s="4">
        <v>54354</v>
      </c>
      <c r="O23" s="5">
        <f>IF(F23-B23&gt;=0,F23-B23,1-ABS(F23-B23))</f>
        <v>6.944444444444442E-2</v>
      </c>
      <c r="P23" s="5">
        <f>IF(L23-H23&gt;=0,L23-H23,1-ABS(L23-H23))</f>
        <v>6.944444444444442E-2</v>
      </c>
    </row>
    <row r="24" spans="1:16">
      <c r="A24" s="2" t="s">
        <v>1</v>
      </c>
      <c r="B24" s="3">
        <v>0.55555555555555558</v>
      </c>
      <c r="C24" s="2" t="s">
        <v>13</v>
      </c>
      <c r="D24" s="2" t="s">
        <v>60</v>
      </c>
      <c r="E24" s="2" t="s">
        <v>76</v>
      </c>
      <c r="F24" s="3">
        <v>0.625</v>
      </c>
      <c r="G24" s="2" t="s">
        <v>17</v>
      </c>
      <c r="H24" s="3">
        <v>0.82638888888888884</v>
      </c>
      <c r="I24" s="2" t="s">
        <v>17</v>
      </c>
      <c r="J24" s="2" t="s">
        <v>60</v>
      </c>
      <c r="K24" s="2" t="s">
        <v>76</v>
      </c>
      <c r="L24" s="3">
        <v>0.89583333333333337</v>
      </c>
      <c r="M24" s="2" t="s">
        <v>13</v>
      </c>
      <c r="N24" s="4">
        <v>54478</v>
      </c>
      <c r="O24" s="5">
        <f>IF(F24-B24&gt;=0,F24-B24,1-ABS(F24-B24))</f>
        <v>6.944444444444442E-2</v>
      </c>
      <c r="P24" s="5">
        <f>IF(L24-H24&gt;=0,L24-H24,1-ABS(L24-H24))</f>
        <v>6.9444444444444531E-2</v>
      </c>
    </row>
    <row r="25" spans="1:16">
      <c r="A25" s="2" t="s">
        <v>0</v>
      </c>
      <c r="B25" s="3">
        <v>0.44791666666666669</v>
      </c>
      <c r="C25" s="2" t="s">
        <v>13</v>
      </c>
      <c r="D25" s="2" t="s">
        <v>60</v>
      </c>
      <c r="E25" s="2" t="s">
        <v>76</v>
      </c>
      <c r="F25" s="3">
        <v>0.52083333333333337</v>
      </c>
      <c r="G25" s="2" t="s">
        <v>14</v>
      </c>
      <c r="H25" s="3">
        <v>0.90625</v>
      </c>
      <c r="I25" s="2" t="s">
        <v>14</v>
      </c>
      <c r="J25" s="2" t="s">
        <v>60</v>
      </c>
      <c r="K25" s="2" t="s">
        <v>76</v>
      </c>
      <c r="L25" s="3">
        <v>0.97569444444444442</v>
      </c>
      <c r="M25" s="2" t="s">
        <v>13</v>
      </c>
      <c r="N25" s="4">
        <v>54650</v>
      </c>
      <c r="O25" s="5">
        <f>IF(F25-B25&gt;=0,F25-B25,1-ABS(F25-B25))</f>
        <v>7.2916666666666685E-2</v>
      </c>
      <c r="P25" s="5">
        <f>IF(L25-H25&gt;=0,L25-H25,1-ABS(L25-H25))</f>
        <v>6.944444444444442E-2</v>
      </c>
    </row>
    <row r="26" spans="1:16">
      <c r="A26" s="2" t="s">
        <v>0</v>
      </c>
      <c r="B26" s="3">
        <v>0.44791666666666669</v>
      </c>
      <c r="C26" s="2" t="s">
        <v>13</v>
      </c>
      <c r="D26" s="2" t="s">
        <v>60</v>
      </c>
      <c r="E26" s="2" t="s">
        <v>76</v>
      </c>
      <c r="F26" s="3">
        <v>0.52083333333333337</v>
      </c>
      <c r="G26" s="2" t="s">
        <v>14</v>
      </c>
      <c r="H26" s="3">
        <v>0.625</v>
      </c>
      <c r="I26" s="2" t="s">
        <v>14</v>
      </c>
      <c r="J26" s="2" t="s">
        <v>60</v>
      </c>
      <c r="K26" s="2" t="s">
        <v>76</v>
      </c>
      <c r="L26" s="3">
        <v>0.69444444444444442</v>
      </c>
      <c r="M26" s="2" t="s">
        <v>13</v>
      </c>
      <c r="N26" s="4">
        <v>54650</v>
      </c>
      <c r="O26" s="5">
        <f>IF(F26-B26&gt;=0,F26-B26,1-ABS(F26-B26))</f>
        <v>7.2916666666666685E-2</v>
      </c>
      <c r="P26" s="5">
        <f>IF(L26-H26&gt;=0,L26-H26,1-ABS(L26-H26))</f>
        <v>6.944444444444442E-2</v>
      </c>
    </row>
    <row r="27" spans="1:16">
      <c r="A27" s="2" t="s">
        <v>2</v>
      </c>
      <c r="B27" s="3">
        <v>0.4201388888888889</v>
      </c>
      <c r="C27" s="2" t="s">
        <v>13</v>
      </c>
      <c r="D27" s="2" t="s">
        <v>60</v>
      </c>
      <c r="E27" s="2" t="s">
        <v>76</v>
      </c>
      <c r="F27" s="3">
        <v>0.4826388888888889</v>
      </c>
      <c r="G27" s="2" t="s">
        <v>18</v>
      </c>
      <c r="H27" s="3">
        <v>0.94791666666666663</v>
      </c>
      <c r="I27" s="2" t="s">
        <v>18</v>
      </c>
      <c r="J27" s="2" t="s">
        <v>54</v>
      </c>
      <c r="K27" s="2" t="s">
        <v>16</v>
      </c>
      <c r="L27" s="3">
        <v>0.44097222222222221</v>
      </c>
      <c r="M27" s="2" t="s">
        <v>13</v>
      </c>
      <c r="N27" s="4">
        <v>54715</v>
      </c>
      <c r="O27" s="5">
        <f>IF(F27-B27&gt;=0,F27-B27,1-ABS(F27-B27))</f>
        <v>6.25E-2</v>
      </c>
      <c r="P27" s="5">
        <f>IF(L27-H27&gt;=0,L27-H27,1-ABS(L27-H27))</f>
        <v>0.49305555555555558</v>
      </c>
    </row>
    <row r="28" spans="1:16">
      <c r="A28" s="2" t="s">
        <v>3</v>
      </c>
      <c r="B28" s="3">
        <v>0.59722222222222221</v>
      </c>
      <c r="C28" s="2" t="s">
        <v>13</v>
      </c>
      <c r="D28" s="2" t="s">
        <v>60</v>
      </c>
      <c r="E28" s="2" t="s">
        <v>76</v>
      </c>
      <c r="F28" s="3">
        <v>0.67361111111111116</v>
      </c>
      <c r="G28" s="2" t="s">
        <v>23</v>
      </c>
      <c r="H28" s="3">
        <v>0.62152777777777779</v>
      </c>
      <c r="I28" s="2" t="s">
        <v>23</v>
      </c>
      <c r="J28" s="2" t="s">
        <v>54</v>
      </c>
      <c r="K28" s="2" t="s">
        <v>25</v>
      </c>
      <c r="L28" s="3">
        <v>0.79861111111111116</v>
      </c>
      <c r="M28" s="2" t="s">
        <v>13</v>
      </c>
      <c r="N28" s="4">
        <v>54905</v>
      </c>
      <c r="O28" s="5">
        <f>IF(F28-B28&gt;=0,F28-B28,1-ABS(F28-B28))</f>
        <v>7.6388888888888951E-2</v>
      </c>
      <c r="P28" s="5">
        <f>IF(L28-H28&gt;=0,L28-H28,1-ABS(L28-H28))</f>
        <v>0.17708333333333337</v>
      </c>
    </row>
    <row r="29" spans="1:16">
      <c r="A29" s="2" t="s">
        <v>0</v>
      </c>
      <c r="B29" s="3">
        <v>0.60763888888888884</v>
      </c>
      <c r="C29" s="2" t="s">
        <v>13</v>
      </c>
      <c r="D29" s="2" t="s">
        <v>60</v>
      </c>
      <c r="E29" s="2" t="s">
        <v>76</v>
      </c>
      <c r="F29" s="3">
        <v>0.68055555555555558</v>
      </c>
      <c r="G29" s="2" t="s">
        <v>14</v>
      </c>
      <c r="H29" s="3">
        <v>0.53125</v>
      </c>
      <c r="I29" s="2" t="s">
        <v>15</v>
      </c>
      <c r="J29" s="2" t="s">
        <v>60</v>
      </c>
      <c r="K29" s="2" t="s">
        <v>76</v>
      </c>
      <c r="L29" s="3">
        <v>0.59722222222222221</v>
      </c>
      <c r="M29" s="2" t="s">
        <v>13</v>
      </c>
      <c r="N29" s="4">
        <v>55616</v>
      </c>
      <c r="O29" s="5">
        <f>IF(F29-B29&gt;=0,F29-B29,1-ABS(F29-B29))</f>
        <v>7.2916666666666741E-2</v>
      </c>
      <c r="P29" s="5">
        <f>IF(L29-H29&gt;=0,L29-H29,1-ABS(L29-H29))</f>
        <v>6.597222222222221E-2</v>
      </c>
    </row>
    <row r="30" spans="1:16">
      <c r="A30" s="2" t="s">
        <v>0</v>
      </c>
      <c r="B30" s="3">
        <v>0.80902777777777779</v>
      </c>
      <c r="C30" s="2" t="s">
        <v>13</v>
      </c>
      <c r="D30" s="2" t="s">
        <v>60</v>
      </c>
      <c r="E30" s="2" t="s">
        <v>76</v>
      </c>
      <c r="F30" s="3">
        <v>0.88194444444444442</v>
      </c>
      <c r="G30" s="2" t="s">
        <v>14</v>
      </c>
      <c r="H30" s="3">
        <v>0.625</v>
      </c>
      <c r="I30" s="2" t="s">
        <v>14</v>
      </c>
      <c r="J30" s="2" t="s">
        <v>60</v>
      </c>
      <c r="K30" s="2" t="s">
        <v>76</v>
      </c>
      <c r="L30" s="3">
        <v>0.69444444444444442</v>
      </c>
      <c r="M30" s="2" t="s">
        <v>13</v>
      </c>
      <c r="N30" s="4">
        <v>56053</v>
      </c>
      <c r="O30" s="5">
        <f>IF(F30-B30&gt;=0,F30-B30,1-ABS(F30-B30))</f>
        <v>7.291666666666663E-2</v>
      </c>
      <c r="P30" s="5">
        <f>IF(L30-H30&gt;=0,L30-H30,1-ABS(L30-H30))</f>
        <v>6.944444444444442E-2</v>
      </c>
    </row>
    <row r="31" spans="1:16">
      <c r="A31" s="2" t="s">
        <v>0</v>
      </c>
      <c r="B31" s="3">
        <v>0.80902777777777779</v>
      </c>
      <c r="C31" s="2" t="s">
        <v>13</v>
      </c>
      <c r="D31" s="2" t="s">
        <v>60</v>
      </c>
      <c r="E31" s="2" t="s">
        <v>76</v>
      </c>
      <c r="F31" s="3">
        <v>0.88194444444444442</v>
      </c>
      <c r="G31" s="2" t="s">
        <v>14</v>
      </c>
      <c r="H31" s="3">
        <v>0.90625</v>
      </c>
      <c r="I31" s="2" t="s">
        <v>14</v>
      </c>
      <c r="J31" s="2" t="s">
        <v>60</v>
      </c>
      <c r="K31" s="2" t="s">
        <v>76</v>
      </c>
      <c r="L31" s="3">
        <v>0.97569444444444442</v>
      </c>
      <c r="M31" s="2" t="s">
        <v>13</v>
      </c>
      <c r="N31" s="4">
        <v>56053</v>
      </c>
      <c r="O31" s="5">
        <f>IF(F31-B31&gt;=0,F31-B31,1-ABS(F31-B31))</f>
        <v>7.291666666666663E-2</v>
      </c>
      <c r="P31" s="5">
        <f>IF(L31-H31&gt;=0,L31-H31,1-ABS(L31-H31))</f>
        <v>6.944444444444442E-2</v>
      </c>
    </row>
    <row r="32" spans="1:16">
      <c r="A32" s="2" t="s">
        <v>4</v>
      </c>
      <c r="B32" s="3">
        <v>0.31944444444444442</v>
      </c>
      <c r="C32" s="2" t="s">
        <v>13</v>
      </c>
      <c r="D32" s="2" t="s">
        <v>54</v>
      </c>
      <c r="E32" s="2" t="s">
        <v>24</v>
      </c>
      <c r="F32" s="3">
        <v>0.50694444444444442</v>
      </c>
      <c r="G32" s="2" t="s">
        <v>26</v>
      </c>
      <c r="H32" s="3">
        <v>0.60763888888888884</v>
      </c>
      <c r="I32" s="2" t="s">
        <v>26</v>
      </c>
      <c r="J32" s="2" t="s">
        <v>54</v>
      </c>
      <c r="K32" s="2" t="s">
        <v>25</v>
      </c>
      <c r="L32" s="3">
        <v>0.79861111111111116</v>
      </c>
      <c r="M32" s="2" t="s">
        <v>13</v>
      </c>
      <c r="N32" s="4">
        <v>56597</v>
      </c>
      <c r="O32" s="5">
        <f>IF(F32-B32&gt;=0,F32-B32,1-ABS(F32-B32))</f>
        <v>0.1875</v>
      </c>
      <c r="P32" s="5">
        <f>IF(L32-H32&gt;=0,L32-H32,1-ABS(L32-H32))</f>
        <v>0.19097222222222232</v>
      </c>
    </row>
    <row r="33" spans="1:16">
      <c r="A33" s="2" t="s">
        <v>0</v>
      </c>
      <c r="B33" s="3">
        <v>0.46527777777777779</v>
      </c>
      <c r="C33" s="2" t="s">
        <v>13</v>
      </c>
      <c r="D33" s="2" t="s">
        <v>60</v>
      </c>
      <c r="E33" s="2" t="s">
        <v>76</v>
      </c>
      <c r="F33" s="3">
        <v>0.53472222222222221</v>
      </c>
      <c r="G33" s="2" t="s">
        <v>15</v>
      </c>
      <c r="H33" s="3">
        <v>0.91319444444444442</v>
      </c>
      <c r="I33" s="2" t="s">
        <v>15</v>
      </c>
      <c r="J33" s="2" t="s">
        <v>60</v>
      </c>
      <c r="K33" s="2" t="s">
        <v>76</v>
      </c>
      <c r="L33" s="3">
        <v>0.97916666666666663</v>
      </c>
      <c r="M33" s="2" t="s">
        <v>13</v>
      </c>
      <c r="N33" s="4">
        <v>56639</v>
      </c>
      <c r="O33" s="5">
        <f>IF(F33-B33&gt;=0,F33-B33,1-ABS(F33-B33))</f>
        <v>6.944444444444442E-2</v>
      </c>
      <c r="P33" s="5">
        <f>IF(L33-H33&gt;=0,L33-H33,1-ABS(L33-H33))</f>
        <v>6.597222222222221E-2</v>
      </c>
    </row>
    <row r="34" spans="1:16">
      <c r="A34" s="2" t="s">
        <v>7</v>
      </c>
      <c r="B34" s="3">
        <v>0.31944444444444442</v>
      </c>
      <c r="C34" s="2" t="s">
        <v>13</v>
      </c>
      <c r="D34" s="2" t="s">
        <v>54</v>
      </c>
      <c r="E34" s="2" t="s">
        <v>24</v>
      </c>
      <c r="F34" s="3">
        <v>0.89236111111111116</v>
      </c>
      <c r="G34" s="2" t="s">
        <v>36</v>
      </c>
      <c r="H34" s="3">
        <v>0.69097222222222221</v>
      </c>
      <c r="I34" s="2" t="s">
        <v>36</v>
      </c>
      <c r="J34" s="2" t="s">
        <v>54</v>
      </c>
      <c r="K34" s="2" t="s">
        <v>23</v>
      </c>
      <c r="L34" s="3">
        <v>0.56597222222222221</v>
      </c>
      <c r="M34" s="2" t="s">
        <v>13</v>
      </c>
      <c r="N34" s="4">
        <v>57044</v>
      </c>
      <c r="O34" s="5">
        <f>IF(F34-B34&gt;=0,F34-B34,1-ABS(F34-B34))</f>
        <v>0.57291666666666674</v>
      </c>
      <c r="P34" s="5">
        <f>IF(L34-H34&gt;=0,L34-H34,1-ABS(L34-H34))</f>
        <v>0.875</v>
      </c>
    </row>
    <row r="35" spans="1:16">
      <c r="A35" s="2" t="s">
        <v>2</v>
      </c>
      <c r="B35" s="3">
        <v>0.4201388888888889</v>
      </c>
      <c r="C35" s="2" t="s">
        <v>13</v>
      </c>
      <c r="D35" s="2" t="s">
        <v>60</v>
      </c>
      <c r="E35" s="2" t="s">
        <v>76</v>
      </c>
      <c r="F35" s="3">
        <v>0.4826388888888889</v>
      </c>
      <c r="G35" s="2" t="s">
        <v>18</v>
      </c>
      <c r="H35" s="3">
        <v>0.54166666666666663</v>
      </c>
      <c r="I35" s="2" t="s">
        <v>18</v>
      </c>
      <c r="J35" s="2" t="s">
        <v>60</v>
      </c>
      <c r="K35" s="2" t="s">
        <v>76</v>
      </c>
      <c r="L35" s="3">
        <v>0.60416666666666663</v>
      </c>
      <c r="M35" s="2" t="s">
        <v>13</v>
      </c>
      <c r="N35" s="4">
        <v>58201</v>
      </c>
      <c r="O35" s="5">
        <f>IF(F35-B35&gt;=0,F35-B35,1-ABS(F35-B35))</f>
        <v>6.25E-2</v>
      </c>
      <c r="P35" s="5">
        <f>IF(L35-H35&gt;=0,L35-H35,1-ABS(L35-H35))</f>
        <v>6.25E-2</v>
      </c>
    </row>
    <row r="36" spans="1:16">
      <c r="A36" s="2" t="s">
        <v>4</v>
      </c>
      <c r="B36" s="3">
        <v>0.31944444444444442</v>
      </c>
      <c r="C36" s="2" t="s">
        <v>13</v>
      </c>
      <c r="D36" s="2" t="s">
        <v>54</v>
      </c>
      <c r="E36" s="2" t="s">
        <v>24</v>
      </c>
      <c r="F36" s="3">
        <v>0.50694444444444442</v>
      </c>
      <c r="G36" s="2" t="s">
        <v>26</v>
      </c>
      <c r="H36" s="3">
        <v>0.39583333333333331</v>
      </c>
      <c r="I36" s="2" t="s">
        <v>26</v>
      </c>
      <c r="J36" s="2" t="s">
        <v>54</v>
      </c>
      <c r="K36" s="2" t="s">
        <v>23</v>
      </c>
      <c r="L36" s="3">
        <v>0.56597222222222221</v>
      </c>
      <c r="M36" s="2" t="s">
        <v>13</v>
      </c>
      <c r="N36" s="4">
        <v>58312</v>
      </c>
      <c r="O36" s="5">
        <f>IF(F36-B36&gt;=0,F36-B36,1-ABS(F36-B36))</f>
        <v>0.1875</v>
      </c>
      <c r="P36" s="5">
        <f>IF(L36-H36&gt;=0,L36-H36,1-ABS(L36-H36))</f>
        <v>0.1701388888888889</v>
      </c>
    </row>
    <row r="37" spans="1:16">
      <c r="A37" s="2" t="s">
        <v>3</v>
      </c>
      <c r="B37" s="3">
        <v>0.59722222222222221</v>
      </c>
      <c r="C37" s="2" t="s">
        <v>13</v>
      </c>
      <c r="D37" s="2" t="s">
        <v>60</v>
      </c>
      <c r="E37" s="2" t="s">
        <v>76</v>
      </c>
      <c r="F37" s="3">
        <v>0.67361111111111116</v>
      </c>
      <c r="G37" s="2" t="s">
        <v>23</v>
      </c>
      <c r="H37" s="3">
        <v>0.76041666666666663</v>
      </c>
      <c r="I37" s="2" t="s">
        <v>23</v>
      </c>
      <c r="J37" s="2" t="s">
        <v>60</v>
      </c>
      <c r="K37" s="2" t="s">
        <v>76</v>
      </c>
      <c r="L37" s="3">
        <v>0.82986111111111116</v>
      </c>
      <c r="M37" s="2" t="s">
        <v>13</v>
      </c>
      <c r="N37" s="4">
        <v>60566</v>
      </c>
      <c r="O37" s="5">
        <f>IF(F37-B37&gt;=0,F37-B37,1-ABS(F37-B37))</f>
        <v>7.6388888888888951E-2</v>
      </c>
      <c r="P37" s="5">
        <f>IF(L37-H37&gt;=0,L37-H37,1-ABS(L37-H37))</f>
        <v>6.9444444444444531E-2</v>
      </c>
    </row>
    <row r="38" spans="1:16">
      <c r="A38" s="2" t="s">
        <v>2</v>
      </c>
      <c r="B38" s="3">
        <v>0.4201388888888889</v>
      </c>
      <c r="C38" s="2" t="s">
        <v>13</v>
      </c>
      <c r="D38" s="2" t="s">
        <v>60</v>
      </c>
      <c r="E38" s="2" t="s">
        <v>76</v>
      </c>
      <c r="F38" s="3">
        <v>0.4826388888888889</v>
      </c>
      <c r="G38" s="2" t="s">
        <v>18</v>
      </c>
      <c r="H38" s="3">
        <v>0.73263888888888884</v>
      </c>
      <c r="I38" s="2" t="s">
        <v>18</v>
      </c>
      <c r="J38" s="2" t="s">
        <v>54</v>
      </c>
      <c r="K38" s="2" t="s">
        <v>19</v>
      </c>
      <c r="L38" s="3">
        <v>0.95138888888888884</v>
      </c>
      <c r="M38" s="2" t="s">
        <v>13</v>
      </c>
      <c r="N38" s="4">
        <v>61022</v>
      </c>
      <c r="O38" s="5">
        <f>IF(F38-B38&gt;=0,F38-B38,1-ABS(F38-B38))</f>
        <v>6.25E-2</v>
      </c>
      <c r="P38" s="5">
        <f>IF(L38-H38&gt;=0,L38-H38,1-ABS(L38-H38))</f>
        <v>0.21875</v>
      </c>
    </row>
    <row r="39" spans="1:16">
      <c r="A39" s="2" t="s">
        <v>4</v>
      </c>
      <c r="B39" s="3">
        <v>0.31944444444444442</v>
      </c>
      <c r="C39" s="2" t="s">
        <v>13</v>
      </c>
      <c r="D39" s="2" t="s">
        <v>54</v>
      </c>
      <c r="E39" s="2" t="s">
        <v>24</v>
      </c>
      <c r="F39" s="3">
        <v>0.50694444444444442</v>
      </c>
      <c r="G39" s="2" t="s">
        <v>26</v>
      </c>
      <c r="H39" s="3">
        <v>0.875</v>
      </c>
      <c r="I39" s="2" t="s">
        <v>26</v>
      </c>
      <c r="J39" s="2" t="s">
        <v>60</v>
      </c>
      <c r="K39" s="2" t="s">
        <v>76</v>
      </c>
      <c r="L39" s="3">
        <v>0.96527777777777779</v>
      </c>
      <c r="M39" s="2" t="s">
        <v>13</v>
      </c>
      <c r="N39" s="4">
        <v>61779</v>
      </c>
      <c r="O39" s="5">
        <f>IF(F39-B39&gt;=0,F39-B39,1-ABS(F39-B39))</f>
        <v>0.1875</v>
      </c>
      <c r="P39" s="5">
        <f>IF(L39-H39&gt;=0,L39-H39,1-ABS(L39-H39))</f>
        <v>9.027777777777779E-2</v>
      </c>
    </row>
    <row r="40" spans="1:16">
      <c r="A40" s="2" t="s">
        <v>4</v>
      </c>
      <c r="B40" s="3">
        <v>0.31944444444444442</v>
      </c>
      <c r="C40" s="2" t="s">
        <v>13</v>
      </c>
      <c r="D40" s="2" t="s">
        <v>54</v>
      </c>
      <c r="E40" s="2" t="s">
        <v>24</v>
      </c>
      <c r="F40" s="3">
        <v>0.50694444444444442</v>
      </c>
      <c r="G40" s="2" t="s">
        <v>26</v>
      </c>
      <c r="H40" s="3">
        <v>0.80208333333333337</v>
      </c>
      <c r="I40" s="2" t="s">
        <v>26</v>
      </c>
      <c r="J40" s="2" t="s">
        <v>54</v>
      </c>
      <c r="K40" s="2" t="s">
        <v>16</v>
      </c>
      <c r="L40" s="3">
        <v>0.98263888888888884</v>
      </c>
      <c r="M40" s="2" t="s">
        <v>13</v>
      </c>
      <c r="N40" s="4">
        <v>61879</v>
      </c>
      <c r="O40" s="5">
        <f>IF(F40-B40&gt;=0,F40-B40,1-ABS(F40-B40))</f>
        <v>0.1875</v>
      </c>
      <c r="P40" s="5">
        <f>IF(L40-H40&gt;=0,L40-H40,1-ABS(L40-H40))</f>
        <v>0.18055555555555547</v>
      </c>
    </row>
    <row r="41" spans="1:16">
      <c r="A41" s="2" t="s">
        <v>3</v>
      </c>
      <c r="B41" s="3">
        <v>0.31944444444444442</v>
      </c>
      <c r="C41" s="2" t="s">
        <v>13</v>
      </c>
      <c r="D41" s="2" t="s">
        <v>54</v>
      </c>
      <c r="E41" s="2" t="s">
        <v>24</v>
      </c>
      <c r="F41" s="3">
        <v>0.46875</v>
      </c>
      <c r="G41" s="2" t="s">
        <v>23</v>
      </c>
      <c r="H41" s="3">
        <v>0.76041666666666663</v>
      </c>
      <c r="I41" s="2" t="s">
        <v>23</v>
      </c>
      <c r="J41" s="2" t="s">
        <v>60</v>
      </c>
      <c r="K41" s="2" t="s">
        <v>76</v>
      </c>
      <c r="L41" s="3">
        <v>0.82986111111111116</v>
      </c>
      <c r="M41" s="2" t="s">
        <v>13</v>
      </c>
      <c r="N41" s="4">
        <v>62470</v>
      </c>
      <c r="O41" s="5">
        <f>IF(F41-B41&gt;=0,F41-B41,1-ABS(F41-B41))</f>
        <v>0.14930555555555558</v>
      </c>
      <c r="P41" s="5">
        <f>IF(L41-H41&gt;=0,L41-H41,1-ABS(L41-H41))</f>
        <v>6.9444444444444531E-2</v>
      </c>
    </row>
    <row r="42" spans="1:16">
      <c r="A42" s="2" t="s">
        <v>3</v>
      </c>
      <c r="B42" s="3">
        <v>0.24652777777777779</v>
      </c>
      <c r="C42" s="2" t="s">
        <v>13</v>
      </c>
      <c r="D42" s="2" t="s">
        <v>60</v>
      </c>
      <c r="E42" s="2" t="s">
        <v>76</v>
      </c>
      <c r="F42" s="3">
        <v>0.31597222222222221</v>
      </c>
      <c r="G42" s="2" t="s">
        <v>23</v>
      </c>
      <c r="H42" s="3">
        <v>0.76041666666666663</v>
      </c>
      <c r="I42" s="2" t="s">
        <v>23</v>
      </c>
      <c r="J42" s="2" t="s">
        <v>60</v>
      </c>
      <c r="K42" s="2" t="s">
        <v>76</v>
      </c>
      <c r="L42" s="3">
        <v>0.82986111111111116</v>
      </c>
      <c r="M42" s="2" t="s">
        <v>13</v>
      </c>
      <c r="N42" s="4">
        <v>63222</v>
      </c>
      <c r="O42" s="5">
        <f>IF(F42-B42&gt;=0,F42-B42,1-ABS(F42-B42))</f>
        <v>6.944444444444442E-2</v>
      </c>
      <c r="P42" s="5">
        <f>IF(L42-H42&gt;=0,L42-H42,1-ABS(L42-H42))</f>
        <v>6.9444444444444531E-2</v>
      </c>
    </row>
    <row r="43" spans="1:16">
      <c r="A43" s="2" t="s">
        <v>8</v>
      </c>
      <c r="B43" s="3">
        <v>0.26041666666666669</v>
      </c>
      <c r="C43" s="2" t="s">
        <v>13</v>
      </c>
      <c r="D43" s="2" t="s">
        <v>54</v>
      </c>
      <c r="E43" s="2" t="s">
        <v>16</v>
      </c>
      <c r="F43" s="3">
        <v>0.77430555555555558</v>
      </c>
      <c r="G43" s="2" t="s">
        <v>19</v>
      </c>
      <c r="H43" s="3">
        <v>0.90625</v>
      </c>
      <c r="I43" s="2" t="s">
        <v>19</v>
      </c>
      <c r="J43" s="2" t="s">
        <v>60</v>
      </c>
      <c r="K43" s="2" t="s">
        <v>76</v>
      </c>
      <c r="L43" s="3">
        <v>0.95138888888888884</v>
      </c>
      <c r="M43" s="2" t="s">
        <v>13</v>
      </c>
      <c r="N43" s="4">
        <v>63292</v>
      </c>
      <c r="O43" s="5">
        <f>IF(F43-B43&gt;=0,F43-B43,1-ABS(F43-B43))</f>
        <v>0.51388888888888884</v>
      </c>
      <c r="P43" s="5">
        <f>IF(L43-H43&gt;=0,L43-H43,1-ABS(L43-H43))</f>
        <v>4.513888888888884E-2</v>
      </c>
    </row>
    <row r="44" spans="1:16">
      <c r="A44" s="2" t="s">
        <v>2</v>
      </c>
      <c r="B44" s="3">
        <v>0.4201388888888889</v>
      </c>
      <c r="C44" s="2" t="s">
        <v>13</v>
      </c>
      <c r="D44" s="2" t="s">
        <v>60</v>
      </c>
      <c r="E44" s="2" t="s">
        <v>76</v>
      </c>
      <c r="F44" s="3">
        <v>0.4826388888888889</v>
      </c>
      <c r="G44" s="2" t="s">
        <v>18</v>
      </c>
      <c r="H44" s="3">
        <v>0.80902777777777779</v>
      </c>
      <c r="I44" s="2" t="s">
        <v>18</v>
      </c>
      <c r="J44" s="2" t="s">
        <v>54</v>
      </c>
      <c r="K44" s="2" t="s">
        <v>16</v>
      </c>
      <c r="L44" s="3">
        <v>0.98263888888888884</v>
      </c>
      <c r="M44" s="2" t="s">
        <v>13</v>
      </c>
      <c r="N44" s="4">
        <v>63310</v>
      </c>
      <c r="O44" s="5">
        <f>IF(F44-B44&gt;=0,F44-B44,1-ABS(F44-B44))</f>
        <v>6.25E-2</v>
      </c>
      <c r="P44" s="5">
        <f>IF(L44-H44&gt;=0,L44-H44,1-ABS(L44-H44))</f>
        <v>0.17361111111111105</v>
      </c>
    </row>
    <row r="45" spans="1:16">
      <c r="A45" s="2" t="s">
        <v>4</v>
      </c>
      <c r="B45" s="3">
        <v>0.78472222222222221</v>
      </c>
      <c r="C45" s="2" t="s">
        <v>13</v>
      </c>
      <c r="D45" s="2" t="s">
        <v>60</v>
      </c>
      <c r="E45" s="2" t="s">
        <v>76</v>
      </c>
      <c r="F45" s="3">
        <v>0.875</v>
      </c>
      <c r="G45" s="2" t="s">
        <v>26</v>
      </c>
      <c r="H45" s="3">
        <v>0.60763888888888884</v>
      </c>
      <c r="I45" s="2" t="s">
        <v>26</v>
      </c>
      <c r="J45" s="2" t="s">
        <v>54</v>
      </c>
      <c r="K45" s="2" t="s">
        <v>25</v>
      </c>
      <c r="L45" s="3">
        <v>0.79861111111111116</v>
      </c>
      <c r="M45" s="2" t="s">
        <v>13</v>
      </c>
      <c r="N45" s="4">
        <v>65537</v>
      </c>
      <c r="O45" s="5">
        <f>IF(F45-B45&gt;=0,F45-B45,1-ABS(F45-B45))</f>
        <v>9.027777777777779E-2</v>
      </c>
      <c r="P45" s="5">
        <f>IF(L45-H45&gt;=0,L45-H45,1-ABS(L45-H45))</f>
        <v>0.19097222222222232</v>
      </c>
    </row>
    <row r="46" spans="1:16">
      <c r="A46" s="2" t="s">
        <v>2</v>
      </c>
      <c r="B46" s="3">
        <v>0.4861111111111111</v>
      </c>
      <c r="C46" s="2" t="s">
        <v>13</v>
      </c>
      <c r="D46" s="2" t="s">
        <v>60</v>
      </c>
      <c r="E46" s="2" t="s">
        <v>76</v>
      </c>
      <c r="F46" s="3">
        <v>0.55208333333333337</v>
      </c>
      <c r="G46" s="2" t="s">
        <v>18</v>
      </c>
      <c r="H46" s="3">
        <v>0.54166666666666663</v>
      </c>
      <c r="I46" s="2" t="s">
        <v>18</v>
      </c>
      <c r="J46" s="2" t="s">
        <v>60</v>
      </c>
      <c r="K46" s="2" t="s">
        <v>76</v>
      </c>
      <c r="L46" s="3">
        <v>0.60416666666666663</v>
      </c>
      <c r="M46" s="2" t="s">
        <v>13</v>
      </c>
      <c r="N46" s="4">
        <v>66261</v>
      </c>
      <c r="O46" s="5">
        <f>IF(F46-B46&gt;=0,F46-B46,1-ABS(F46-B46))</f>
        <v>6.5972222222222265E-2</v>
      </c>
      <c r="P46" s="5">
        <f>IF(L46-H46&gt;=0,L46-H46,1-ABS(L46-H46))</f>
        <v>6.25E-2</v>
      </c>
    </row>
    <row r="47" spans="1:16">
      <c r="A47" s="2" t="s">
        <v>7</v>
      </c>
      <c r="B47" s="3">
        <v>0.31944444444444442</v>
      </c>
      <c r="C47" s="2" t="s">
        <v>13</v>
      </c>
      <c r="D47" s="2" t="s">
        <v>54</v>
      </c>
      <c r="E47" s="2" t="s">
        <v>24</v>
      </c>
      <c r="F47" s="3">
        <v>0.52430555555555558</v>
      </c>
      <c r="G47" s="2" t="s">
        <v>36</v>
      </c>
      <c r="H47" s="3">
        <v>0.79166666666666663</v>
      </c>
      <c r="I47" s="2" t="s">
        <v>36</v>
      </c>
      <c r="J47" s="2" t="s">
        <v>54</v>
      </c>
      <c r="K47" s="2" t="s">
        <v>16</v>
      </c>
      <c r="L47" s="3">
        <v>0.98263888888888884</v>
      </c>
      <c r="M47" s="2" t="s">
        <v>13</v>
      </c>
      <c r="N47" s="4">
        <v>67253</v>
      </c>
      <c r="O47" s="5">
        <f>IF(F47-B47&gt;=0,F47-B47,1-ABS(F47-B47))</f>
        <v>0.20486111111111116</v>
      </c>
      <c r="P47" s="5">
        <f>IF(L47-H47&gt;=0,L47-H47,1-ABS(L47-H47))</f>
        <v>0.19097222222222221</v>
      </c>
    </row>
    <row r="48" spans="1:16">
      <c r="A48" s="2" t="s">
        <v>7</v>
      </c>
      <c r="B48" s="3">
        <v>0.31944444444444442</v>
      </c>
      <c r="C48" s="2" t="s">
        <v>13</v>
      </c>
      <c r="D48" s="2" t="s">
        <v>54</v>
      </c>
      <c r="E48" s="2" t="s">
        <v>24</v>
      </c>
      <c r="F48" s="3">
        <v>0.52430555555555558</v>
      </c>
      <c r="G48" s="2" t="s">
        <v>36</v>
      </c>
      <c r="H48" s="3">
        <v>0.25694444444444442</v>
      </c>
      <c r="I48" s="2" t="s">
        <v>36</v>
      </c>
      <c r="J48" s="2" t="s">
        <v>54</v>
      </c>
      <c r="K48" s="2" t="s">
        <v>16</v>
      </c>
      <c r="L48" s="3">
        <v>0.44097222222222221</v>
      </c>
      <c r="M48" s="2" t="s">
        <v>13</v>
      </c>
      <c r="N48" s="4">
        <v>67253</v>
      </c>
      <c r="O48" s="5">
        <f>IF(F48-B48&gt;=0,F48-B48,1-ABS(F48-B48))</f>
        <v>0.20486111111111116</v>
      </c>
      <c r="P48" s="5">
        <f>IF(L48-H48&gt;=0,L48-H48,1-ABS(L48-H48))</f>
        <v>0.18402777777777779</v>
      </c>
    </row>
    <row r="49" spans="1:16">
      <c r="A49" s="2" t="s">
        <v>2</v>
      </c>
      <c r="B49" s="3">
        <v>0.4861111111111111</v>
      </c>
      <c r="C49" s="2" t="s">
        <v>13</v>
      </c>
      <c r="D49" s="2" t="s">
        <v>60</v>
      </c>
      <c r="E49" s="2" t="s">
        <v>76</v>
      </c>
      <c r="F49" s="3">
        <v>0.55208333333333337</v>
      </c>
      <c r="G49" s="2" t="s">
        <v>18</v>
      </c>
      <c r="H49" s="3">
        <v>0.80902777777777779</v>
      </c>
      <c r="I49" s="2" t="s">
        <v>18</v>
      </c>
      <c r="J49" s="2" t="s">
        <v>54</v>
      </c>
      <c r="K49" s="2" t="s">
        <v>16</v>
      </c>
      <c r="L49" s="3">
        <v>0.98263888888888884</v>
      </c>
      <c r="M49" s="2" t="s">
        <v>13</v>
      </c>
      <c r="N49" s="4">
        <v>67618</v>
      </c>
      <c r="O49" s="5">
        <f>IF(F49-B49&gt;=0,F49-B49,1-ABS(F49-B49))</f>
        <v>6.5972222222222265E-2</v>
      </c>
      <c r="P49" s="5">
        <f>IF(L49-H49&gt;=0,L49-H49,1-ABS(L49-H49))</f>
        <v>0.17361111111111105</v>
      </c>
    </row>
    <row r="50" spans="1:16">
      <c r="A50" s="2" t="s">
        <v>10</v>
      </c>
      <c r="B50" s="3">
        <v>0.31944444444444442</v>
      </c>
      <c r="C50" s="2" t="s">
        <v>13</v>
      </c>
      <c r="D50" s="2" t="s">
        <v>53</v>
      </c>
      <c r="E50" s="2" t="s">
        <v>46</v>
      </c>
      <c r="F50" s="3">
        <v>0.61111111111111116</v>
      </c>
      <c r="G50" s="2" t="s">
        <v>38</v>
      </c>
      <c r="H50" s="3">
        <v>0.87152777777777779</v>
      </c>
      <c r="I50" s="2" t="s">
        <v>38</v>
      </c>
      <c r="J50" s="2" t="s">
        <v>54</v>
      </c>
      <c r="K50" s="2" t="s">
        <v>24</v>
      </c>
      <c r="L50" s="3">
        <v>0.30902777777777779</v>
      </c>
      <c r="M50" s="2" t="s">
        <v>13</v>
      </c>
      <c r="N50" s="4">
        <v>68030</v>
      </c>
      <c r="O50" s="5">
        <f>IF(F50-B50&gt;=0,F50-B50,1-ABS(F50-B50))</f>
        <v>0.29166666666666674</v>
      </c>
      <c r="P50" s="5">
        <f>IF(L50-H50&gt;=0,L50-H50,1-ABS(L50-H50))</f>
        <v>0.4375</v>
      </c>
    </row>
    <row r="51" spans="1:16">
      <c r="A51" s="2" t="s">
        <v>9</v>
      </c>
      <c r="B51" s="3">
        <v>0.46527777777777779</v>
      </c>
      <c r="C51" s="2" t="s">
        <v>13</v>
      </c>
      <c r="D51" s="2" t="s">
        <v>60</v>
      </c>
      <c r="E51" s="2" t="s">
        <v>76</v>
      </c>
      <c r="F51" s="3">
        <v>0.54166666666666663</v>
      </c>
      <c r="G51" s="2" t="s">
        <v>37</v>
      </c>
      <c r="H51" s="3">
        <v>0.80902777777777779</v>
      </c>
      <c r="I51" s="2" t="s">
        <v>37</v>
      </c>
      <c r="J51" s="2" t="s">
        <v>54</v>
      </c>
      <c r="K51" s="2" t="s">
        <v>16</v>
      </c>
      <c r="L51" s="3">
        <v>0.44097222222222221</v>
      </c>
      <c r="M51" s="2" t="s">
        <v>13</v>
      </c>
      <c r="N51" s="4">
        <v>68946</v>
      </c>
      <c r="O51" s="5">
        <f>IF(F51-B51&gt;=0,F51-B51,1-ABS(F51-B51))</f>
        <v>7.638888888888884E-2</v>
      </c>
      <c r="P51" s="5">
        <f>IF(L51-H51&gt;=0,L51-H51,1-ABS(L51-H51))</f>
        <v>0.63194444444444442</v>
      </c>
    </row>
    <row r="52" spans="1:16">
      <c r="A52" s="2" t="s">
        <v>9</v>
      </c>
      <c r="B52" s="3">
        <v>0.46527777777777779</v>
      </c>
      <c r="C52" s="2" t="s">
        <v>13</v>
      </c>
      <c r="D52" s="2" t="s">
        <v>60</v>
      </c>
      <c r="E52" s="2" t="s">
        <v>76</v>
      </c>
      <c r="F52" s="3">
        <v>0.54166666666666663</v>
      </c>
      <c r="G52" s="2" t="s">
        <v>37</v>
      </c>
      <c r="H52" s="3">
        <v>0.64236111111111116</v>
      </c>
      <c r="I52" s="2" t="s">
        <v>37</v>
      </c>
      <c r="J52" s="2" t="s">
        <v>54</v>
      </c>
      <c r="K52" s="2" t="s">
        <v>16</v>
      </c>
      <c r="L52" s="3">
        <v>0.98263888888888884</v>
      </c>
      <c r="M52" s="2" t="s">
        <v>13</v>
      </c>
      <c r="N52" s="4">
        <v>68946</v>
      </c>
      <c r="O52" s="5">
        <f>IF(F52-B52&gt;=0,F52-B52,1-ABS(F52-B52))</f>
        <v>7.638888888888884E-2</v>
      </c>
      <c r="P52" s="5">
        <f>IF(L52-H52&gt;=0,L52-H52,1-ABS(L52-H52))</f>
        <v>0.34027777777777768</v>
      </c>
    </row>
    <row r="53" spans="1:16">
      <c r="A53" s="2" t="s">
        <v>3</v>
      </c>
      <c r="B53" s="3">
        <v>0.25694444444444442</v>
      </c>
      <c r="C53" s="2" t="s">
        <v>13</v>
      </c>
      <c r="D53" s="2" t="s">
        <v>54</v>
      </c>
      <c r="E53" s="2" t="s">
        <v>14</v>
      </c>
      <c r="F53" s="3">
        <v>0.5</v>
      </c>
      <c r="G53" s="2" t="s">
        <v>23</v>
      </c>
      <c r="H53" s="3">
        <v>0.76041666666666663</v>
      </c>
      <c r="I53" s="2" t="s">
        <v>23</v>
      </c>
      <c r="J53" s="2" t="s">
        <v>60</v>
      </c>
      <c r="K53" s="2" t="s">
        <v>76</v>
      </c>
      <c r="L53" s="3">
        <v>0.82986111111111116</v>
      </c>
      <c r="M53" s="2" t="s">
        <v>13</v>
      </c>
      <c r="N53" s="4">
        <v>69775</v>
      </c>
      <c r="O53" s="5">
        <f>IF(F53-B53&gt;=0,F53-B53,1-ABS(F53-B53))</f>
        <v>0.24305555555555558</v>
      </c>
      <c r="P53" s="5">
        <f>IF(L53-H53&gt;=0,L53-H53,1-ABS(L53-H53))</f>
        <v>6.9444444444444531E-2</v>
      </c>
    </row>
    <row r="54" spans="1:16">
      <c r="A54" s="2" t="s">
        <v>9</v>
      </c>
      <c r="B54" s="3">
        <v>0.46527777777777779</v>
      </c>
      <c r="C54" s="2" t="s">
        <v>13</v>
      </c>
      <c r="D54" s="2" t="s">
        <v>60</v>
      </c>
      <c r="E54" s="2" t="s">
        <v>76</v>
      </c>
      <c r="F54" s="3">
        <v>0.54166666666666663</v>
      </c>
      <c r="G54" s="2" t="s">
        <v>37</v>
      </c>
      <c r="H54" s="3">
        <v>0.80902777777777779</v>
      </c>
      <c r="I54" s="2" t="s">
        <v>37</v>
      </c>
      <c r="J54" s="2" t="s">
        <v>54</v>
      </c>
      <c r="K54" s="2" t="s">
        <v>16</v>
      </c>
      <c r="L54" s="3">
        <v>0.98263888888888884</v>
      </c>
      <c r="M54" s="2" t="s">
        <v>13</v>
      </c>
      <c r="N54" s="4">
        <v>70177</v>
      </c>
      <c r="O54" s="5">
        <f>IF(F54-B54&gt;=0,F54-B54,1-ABS(F54-B54))</f>
        <v>7.638888888888884E-2</v>
      </c>
      <c r="P54" s="5">
        <f>IF(L54-H54&gt;=0,L54-H54,1-ABS(L54-H54))</f>
        <v>0.17361111111111105</v>
      </c>
    </row>
    <row r="55" spans="1:16">
      <c r="A55" s="2" t="s">
        <v>2</v>
      </c>
      <c r="B55" s="3">
        <v>0.4201388888888889</v>
      </c>
      <c r="C55" s="2" t="s">
        <v>13</v>
      </c>
      <c r="D55" s="2" t="s">
        <v>60</v>
      </c>
      <c r="E55" s="2" t="s">
        <v>76</v>
      </c>
      <c r="F55" s="3">
        <v>0.4826388888888889</v>
      </c>
      <c r="G55" s="2" t="s">
        <v>18</v>
      </c>
      <c r="H55" s="3">
        <v>0.74305555555555558</v>
      </c>
      <c r="I55" s="2" t="s">
        <v>18</v>
      </c>
      <c r="J55" s="2" t="s">
        <v>54</v>
      </c>
      <c r="K55" s="2" t="s">
        <v>15</v>
      </c>
      <c r="L55" s="3">
        <v>0.97916666666666663</v>
      </c>
      <c r="M55" s="2" t="s">
        <v>13</v>
      </c>
      <c r="N55" s="4">
        <v>71191</v>
      </c>
      <c r="O55" s="5">
        <f>IF(F55-B55&gt;=0,F55-B55,1-ABS(F55-B55))</f>
        <v>6.25E-2</v>
      </c>
      <c r="P55" s="5">
        <f>IF(L55-H55&gt;=0,L55-H55,1-ABS(L55-H55))</f>
        <v>0.23611111111111105</v>
      </c>
    </row>
    <row r="56" spans="1:16">
      <c r="A56" s="2" t="s">
        <v>4</v>
      </c>
      <c r="B56" s="3">
        <v>0.78472222222222221</v>
      </c>
      <c r="C56" s="2" t="s">
        <v>13</v>
      </c>
      <c r="D56" s="2" t="s">
        <v>60</v>
      </c>
      <c r="E56" s="2" t="s">
        <v>76</v>
      </c>
      <c r="F56" s="3">
        <v>0.875</v>
      </c>
      <c r="G56" s="2" t="s">
        <v>26</v>
      </c>
      <c r="H56" s="3">
        <v>0.875</v>
      </c>
      <c r="I56" s="2" t="s">
        <v>26</v>
      </c>
      <c r="J56" s="2" t="s">
        <v>60</v>
      </c>
      <c r="K56" s="2" t="s">
        <v>76</v>
      </c>
      <c r="L56" s="3">
        <v>0.96527777777777779</v>
      </c>
      <c r="M56" s="2" t="s">
        <v>13</v>
      </c>
      <c r="N56" s="4">
        <v>71351</v>
      </c>
      <c r="O56" s="5">
        <f>IF(F56-B56&gt;=0,F56-B56,1-ABS(F56-B56))</f>
        <v>9.027777777777779E-2</v>
      </c>
      <c r="P56" s="5">
        <f>IF(L56-H56&gt;=0,L56-H56,1-ABS(L56-H56))</f>
        <v>9.027777777777779E-2</v>
      </c>
    </row>
    <row r="57" spans="1:16">
      <c r="A57" s="2" t="s">
        <v>4</v>
      </c>
      <c r="B57" s="3">
        <v>0.26041666666666669</v>
      </c>
      <c r="C57" s="2" t="s">
        <v>13</v>
      </c>
      <c r="D57" s="2" t="s">
        <v>54</v>
      </c>
      <c r="E57" s="2" t="s">
        <v>16</v>
      </c>
      <c r="F57" s="3">
        <v>0.4513888888888889</v>
      </c>
      <c r="G57" s="2" t="s">
        <v>26</v>
      </c>
      <c r="H57" s="3">
        <v>0.875</v>
      </c>
      <c r="I57" s="2" t="s">
        <v>26</v>
      </c>
      <c r="J57" s="2" t="s">
        <v>60</v>
      </c>
      <c r="K57" s="2" t="s">
        <v>76</v>
      </c>
      <c r="L57" s="3">
        <v>0.96527777777777779</v>
      </c>
      <c r="M57" s="2" t="s">
        <v>13</v>
      </c>
      <c r="N57" s="4">
        <v>71856</v>
      </c>
      <c r="O57" s="5">
        <f>IF(F57-B57&gt;=0,F57-B57,1-ABS(F57-B57))</f>
        <v>0.19097222222222221</v>
      </c>
      <c r="P57" s="5">
        <f>IF(L57-H57&gt;=0,L57-H57,1-ABS(L57-H57))</f>
        <v>9.027777777777779E-2</v>
      </c>
    </row>
    <row r="58" spans="1:16">
      <c r="A58" s="2" t="s">
        <v>7</v>
      </c>
      <c r="B58" s="3">
        <v>0.31944444444444442</v>
      </c>
      <c r="C58" s="2" t="s">
        <v>13</v>
      </c>
      <c r="D58" s="2" t="s">
        <v>54</v>
      </c>
      <c r="E58" s="2" t="s">
        <v>24</v>
      </c>
      <c r="F58" s="3">
        <v>0.52430555555555558</v>
      </c>
      <c r="G58" s="2" t="s">
        <v>36</v>
      </c>
      <c r="H58" s="3">
        <v>0.80555555555555558</v>
      </c>
      <c r="I58" s="2" t="s">
        <v>36</v>
      </c>
      <c r="J58" s="2" t="s">
        <v>54</v>
      </c>
      <c r="K58" s="2" t="s">
        <v>16</v>
      </c>
      <c r="L58" s="3">
        <v>0.98263888888888884</v>
      </c>
      <c r="M58" s="2" t="s">
        <v>13</v>
      </c>
      <c r="N58" s="4">
        <v>72723</v>
      </c>
      <c r="O58" s="5">
        <f>IF(F58-B58&gt;=0,F58-B58,1-ABS(F58-B58))</f>
        <v>0.20486111111111116</v>
      </c>
      <c r="P58" s="5">
        <f>IF(L58-H58&gt;=0,L58-H58,1-ABS(L58-H58))</f>
        <v>0.17708333333333326</v>
      </c>
    </row>
    <row r="59" spans="1:16">
      <c r="A59" s="2" t="s">
        <v>6</v>
      </c>
      <c r="B59" s="3">
        <v>0.41319444444444442</v>
      </c>
      <c r="C59" s="2" t="s">
        <v>13</v>
      </c>
      <c r="D59" s="2" t="s">
        <v>60</v>
      </c>
      <c r="E59" s="2" t="s">
        <v>76</v>
      </c>
      <c r="F59" s="3">
        <v>0.4861111111111111</v>
      </c>
      <c r="G59" s="2" t="s">
        <v>29</v>
      </c>
      <c r="H59" s="3">
        <v>0.2638888888888889</v>
      </c>
      <c r="I59" s="2" t="s">
        <v>29</v>
      </c>
      <c r="J59" s="2" t="s">
        <v>54</v>
      </c>
      <c r="K59" s="2" t="s">
        <v>34</v>
      </c>
      <c r="L59" s="3">
        <v>0.69097222222222221</v>
      </c>
      <c r="M59" s="2" t="s">
        <v>13</v>
      </c>
      <c r="N59" s="4">
        <v>74993</v>
      </c>
      <c r="O59" s="5">
        <f>IF(F59-B59&gt;=0,F59-B59,1-ABS(F59-B59))</f>
        <v>7.2916666666666685E-2</v>
      </c>
      <c r="P59" s="5">
        <f>IF(L59-H59&gt;=0,L59-H59,1-ABS(L59-H59))</f>
        <v>0.42708333333333331</v>
      </c>
    </row>
    <row r="60" spans="1:16">
      <c r="A60" s="2" t="s">
        <v>10</v>
      </c>
      <c r="B60" s="3">
        <v>0.26041666666666669</v>
      </c>
      <c r="C60" s="2" t="s">
        <v>13</v>
      </c>
      <c r="D60" s="2" t="s">
        <v>54</v>
      </c>
      <c r="E60" s="2" t="s">
        <v>16</v>
      </c>
      <c r="F60" s="3">
        <v>0.58680555555555558</v>
      </c>
      <c r="G60" s="2" t="s">
        <v>38</v>
      </c>
      <c r="H60" s="3">
        <v>0.87152777777777779</v>
      </c>
      <c r="I60" s="2" t="s">
        <v>38</v>
      </c>
      <c r="J60" s="2" t="s">
        <v>54</v>
      </c>
      <c r="K60" s="2" t="s">
        <v>24</v>
      </c>
      <c r="L60" s="3">
        <v>0.30902777777777779</v>
      </c>
      <c r="M60" s="2" t="s">
        <v>13</v>
      </c>
      <c r="N60" s="4">
        <v>75323</v>
      </c>
      <c r="O60" s="5">
        <f>IF(F60-B60&gt;=0,F60-B60,1-ABS(F60-B60))</f>
        <v>0.3263888888888889</v>
      </c>
      <c r="P60" s="5">
        <f>IF(L60-H60&gt;=0,L60-H60,1-ABS(L60-H60))</f>
        <v>0.4375</v>
      </c>
    </row>
    <row r="61" spans="1:16">
      <c r="A61" s="2" t="s">
        <v>8</v>
      </c>
      <c r="B61" s="3">
        <v>0.26041666666666669</v>
      </c>
      <c r="C61" s="2" t="s">
        <v>13</v>
      </c>
      <c r="D61" s="2" t="s">
        <v>54</v>
      </c>
      <c r="E61" s="2" t="s">
        <v>16</v>
      </c>
      <c r="F61" s="3">
        <v>0.43402777777777779</v>
      </c>
      <c r="G61" s="2" t="s">
        <v>19</v>
      </c>
      <c r="H61" s="3">
        <v>0.90625</v>
      </c>
      <c r="I61" s="2" t="s">
        <v>19</v>
      </c>
      <c r="J61" s="2" t="s">
        <v>60</v>
      </c>
      <c r="K61" s="2" t="s">
        <v>76</v>
      </c>
      <c r="L61" s="3">
        <v>0.95138888888888884</v>
      </c>
      <c r="M61" s="2" t="s">
        <v>13</v>
      </c>
      <c r="N61" s="4">
        <v>75617</v>
      </c>
      <c r="O61" s="5">
        <f>IF(F61-B61&gt;=0,F61-B61,1-ABS(F61-B61))</f>
        <v>0.1736111111111111</v>
      </c>
      <c r="P61" s="5">
        <f>IF(L61-H61&gt;=0,L61-H61,1-ABS(L61-H61))</f>
        <v>4.513888888888884E-2</v>
      </c>
    </row>
    <row r="62" spans="1:16">
      <c r="A62" s="2" t="s">
        <v>5</v>
      </c>
      <c r="B62" s="3">
        <v>0.61458333333333337</v>
      </c>
      <c r="C62" s="2" t="s">
        <v>13</v>
      </c>
      <c r="D62" s="2" t="s">
        <v>54</v>
      </c>
      <c r="E62" s="2" t="s">
        <v>28</v>
      </c>
      <c r="F62" s="3">
        <v>0.76736111111111116</v>
      </c>
      <c r="G62" s="2" t="s">
        <v>27</v>
      </c>
      <c r="H62" s="3">
        <v>0.81597222222222221</v>
      </c>
      <c r="I62" s="2" t="s">
        <v>27</v>
      </c>
      <c r="J62" s="2" t="s">
        <v>54</v>
      </c>
      <c r="K62" s="2" t="s">
        <v>20</v>
      </c>
      <c r="L62" s="3">
        <v>0.93402777777777779</v>
      </c>
      <c r="M62" s="2" t="s">
        <v>13</v>
      </c>
      <c r="N62" s="4">
        <v>75800</v>
      </c>
      <c r="O62" s="5">
        <f>IF(F62-B62&gt;=0,F62-B62,1-ABS(F62-B62))</f>
        <v>0.15277777777777779</v>
      </c>
      <c r="P62" s="5">
        <f>IF(L62-H62&gt;=0,L62-H62,1-ABS(L62-H62))</f>
        <v>0.11805555555555558</v>
      </c>
    </row>
    <row r="63" spans="1:16">
      <c r="A63" s="2" t="s">
        <v>5</v>
      </c>
      <c r="B63" s="3">
        <v>0.29166666666666669</v>
      </c>
      <c r="C63" s="2" t="s">
        <v>13</v>
      </c>
      <c r="D63" s="2" t="s">
        <v>54</v>
      </c>
      <c r="E63" s="2" t="s">
        <v>20</v>
      </c>
      <c r="F63" s="3">
        <v>0.40972222222222221</v>
      </c>
      <c r="G63" s="2" t="s">
        <v>27</v>
      </c>
      <c r="H63" s="3">
        <v>0.81597222222222221</v>
      </c>
      <c r="I63" s="2" t="s">
        <v>27</v>
      </c>
      <c r="J63" s="2" t="s">
        <v>54</v>
      </c>
      <c r="K63" s="2" t="s">
        <v>20</v>
      </c>
      <c r="L63" s="3">
        <v>0.93402777777777779</v>
      </c>
      <c r="M63" s="2" t="s">
        <v>13</v>
      </c>
      <c r="N63" s="4">
        <v>76000</v>
      </c>
      <c r="O63" s="5">
        <f>IF(F63-B63&gt;=0,F63-B63,1-ABS(F63-B63))</f>
        <v>0.11805555555555552</v>
      </c>
      <c r="P63" s="5">
        <f>IF(L63-H63&gt;=0,L63-H63,1-ABS(L63-H63))</f>
        <v>0.11805555555555558</v>
      </c>
    </row>
    <row r="64" spans="1:16">
      <c r="A64" s="2" t="s">
        <v>5</v>
      </c>
      <c r="B64" s="3">
        <v>0.63194444444444442</v>
      </c>
      <c r="C64" s="2" t="s">
        <v>13</v>
      </c>
      <c r="D64" s="2" t="s">
        <v>54</v>
      </c>
      <c r="E64" s="2" t="s">
        <v>20</v>
      </c>
      <c r="F64" s="3">
        <v>0.78819444444444442</v>
      </c>
      <c r="G64" s="2" t="s">
        <v>27</v>
      </c>
      <c r="H64" s="3">
        <v>0.81597222222222221</v>
      </c>
      <c r="I64" s="2" t="s">
        <v>27</v>
      </c>
      <c r="J64" s="2" t="s">
        <v>54</v>
      </c>
      <c r="K64" s="2" t="s">
        <v>20</v>
      </c>
      <c r="L64" s="3">
        <v>0.93402777777777779</v>
      </c>
      <c r="M64" s="2" t="s">
        <v>13</v>
      </c>
      <c r="N64" s="4">
        <v>76000</v>
      </c>
      <c r="O64" s="5">
        <f>IF(F64-B64&gt;=0,F64-B64,1-ABS(F64-B64))</f>
        <v>0.15625</v>
      </c>
      <c r="P64" s="5">
        <f>IF(L64-H64&gt;=0,L64-H64,1-ABS(L64-H64))</f>
        <v>0.11805555555555558</v>
      </c>
    </row>
    <row r="65" spans="1:16">
      <c r="A65" s="2" t="s">
        <v>5</v>
      </c>
      <c r="B65" s="3">
        <v>0.46875</v>
      </c>
      <c r="C65" s="2" t="s">
        <v>13</v>
      </c>
      <c r="D65" s="2" t="s">
        <v>54</v>
      </c>
      <c r="E65" s="2" t="s">
        <v>20</v>
      </c>
      <c r="F65" s="3">
        <v>0.78819444444444442</v>
      </c>
      <c r="G65" s="2" t="s">
        <v>27</v>
      </c>
      <c r="H65" s="3">
        <v>0.81597222222222221</v>
      </c>
      <c r="I65" s="2" t="s">
        <v>27</v>
      </c>
      <c r="J65" s="2" t="s">
        <v>54</v>
      </c>
      <c r="K65" s="2" t="s">
        <v>20</v>
      </c>
      <c r="L65" s="3">
        <v>0.93402777777777779</v>
      </c>
      <c r="M65" s="2" t="s">
        <v>13</v>
      </c>
      <c r="N65" s="4">
        <v>76000</v>
      </c>
      <c r="O65" s="5">
        <f>IF(F65-B65&gt;=0,F65-B65,1-ABS(F65-B65))</f>
        <v>0.31944444444444442</v>
      </c>
      <c r="P65" s="5">
        <f>IF(L65-H65&gt;=0,L65-H65,1-ABS(L65-H65))</f>
        <v>0.11805555555555558</v>
      </c>
    </row>
    <row r="66" spans="1:16">
      <c r="A66" s="2" t="s">
        <v>5</v>
      </c>
      <c r="B66" s="3">
        <v>0.25347222222222221</v>
      </c>
      <c r="C66" s="2" t="s">
        <v>13</v>
      </c>
      <c r="D66" s="2" t="s">
        <v>54</v>
      </c>
      <c r="E66" s="2" t="s">
        <v>22</v>
      </c>
      <c r="F66" s="3">
        <v>0.38194444444444442</v>
      </c>
      <c r="G66" s="2" t="s">
        <v>27</v>
      </c>
      <c r="H66" s="3">
        <v>0.81597222222222221</v>
      </c>
      <c r="I66" s="2" t="s">
        <v>27</v>
      </c>
      <c r="J66" s="2" t="s">
        <v>54</v>
      </c>
      <c r="K66" s="2" t="s">
        <v>20</v>
      </c>
      <c r="L66" s="3">
        <v>0.93402777777777779</v>
      </c>
      <c r="M66" s="2" t="s">
        <v>13</v>
      </c>
      <c r="N66" s="4">
        <v>76100</v>
      </c>
      <c r="O66" s="5">
        <f>IF(F66-B66&gt;=0,F66-B66,1-ABS(F66-B66))</f>
        <v>0.12847222222222221</v>
      </c>
      <c r="P66" s="5">
        <f>IF(L66-H66&gt;=0,L66-H66,1-ABS(L66-H66))</f>
        <v>0.11805555555555558</v>
      </c>
    </row>
    <row r="67" spans="1:16">
      <c r="A67" s="2" t="s">
        <v>5</v>
      </c>
      <c r="B67" s="3">
        <v>0.62152777777777779</v>
      </c>
      <c r="C67" s="2" t="s">
        <v>13</v>
      </c>
      <c r="D67" s="2" t="s">
        <v>54</v>
      </c>
      <c r="E67" s="2" t="s">
        <v>28</v>
      </c>
      <c r="F67" s="3">
        <v>0.76736111111111116</v>
      </c>
      <c r="G67" s="2" t="s">
        <v>27</v>
      </c>
      <c r="H67" s="3">
        <v>0.81597222222222221</v>
      </c>
      <c r="I67" s="2" t="s">
        <v>27</v>
      </c>
      <c r="J67" s="2" t="s">
        <v>54</v>
      </c>
      <c r="K67" s="2" t="s">
        <v>20</v>
      </c>
      <c r="L67" s="3">
        <v>0.93402777777777779</v>
      </c>
      <c r="M67" s="2" t="s">
        <v>13</v>
      </c>
      <c r="N67" s="4">
        <v>77025</v>
      </c>
      <c r="O67" s="5">
        <f>IF(F67-B67&gt;=0,F67-B67,1-ABS(F67-B67))</f>
        <v>0.14583333333333337</v>
      </c>
      <c r="P67" s="5">
        <f>IF(L67-H67&gt;=0,L67-H67,1-ABS(L67-H67))</f>
        <v>0.11805555555555558</v>
      </c>
    </row>
    <row r="68" spans="1:16">
      <c r="A68" s="2" t="s">
        <v>7</v>
      </c>
      <c r="B68" s="3">
        <v>0.26041666666666669</v>
      </c>
      <c r="C68" s="2" t="s">
        <v>13</v>
      </c>
      <c r="D68" s="2" t="s">
        <v>54</v>
      </c>
      <c r="E68" s="2" t="s">
        <v>16</v>
      </c>
      <c r="F68" s="3">
        <v>0.43055555555555558</v>
      </c>
      <c r="G68" s="2" t="s">
        <v>36</v>
      </c>
      <c r="H68" s="3">
        <v>0.79166666666666663</v>
      </c>
      <c r="I68" s="2" t="s">
        <v>36</v>
      </c>
      <c r="J68" s="2" t="s">
        <v>54</v>
      </c>
      <c r="K68" s="2" t="s">
        <v>16</v>
      </c>
      <c r="L68" s="3">
        <v>0.98263888888888884</v>
      </c>
      <c r="M68" s="2" t="s">
        <v>13</v>
      </c>
      <c r="N68" s="4">
        <v>77851</v>
      </c>
      <c r="O68" s="5">
        <f>IF(F68-B68&gt;=0,F68-B68,1-ABS(F68-B68))</f>
        <v>0.1701388888888889</v>
      </c>
      <c r="P68" s="5">
        <f>IF(L68-H68&gt;=0,L68-H68,1-ABS(L68-H68))</f>
        <v>0.19097222222222221</v>
      </c>
    </row>
    <row r="69" spans="1:16">
      <c r="A69" s="2" t="s">
        <v>5</v>
      </c>
      <c r="B69" s="3">
        <v>0.55902777777777779</v>
      </c>
      <c r="C69" s="2" t="s">
        <v>13</v>
      </c>
      <c r="D69" s="2" t="s">
        <v>54</v>
      </c>
      <c r="E69" s="2" t="s">
        <v>22</v>
      </c>
      <c r="F69" s="3">
        <v>0.69444444444444442</v>
      </c>
      <c r="G69" s="2" t="s">
        <v>27</v>
      </c>
      <c r="H69" s="3">
        <v>0.81597222222222221</v>
      </c>
      <c r="I69" s="2" t="s">
        <v>27</v>
      </c>
      <c r="J69" s="2" t="s">
        <v>54</v>
      </c>
      <c r="K69" s="2" t="s">
        <v>20</v>
      </c>
      <c r="L69" s="3">
        <v>0.93402777777777779</v>
      </c>
      <c r="M69" s="2" t="s">
        <v>13</v>
      </c>
      <c r="N69" s="4">
        <v>81800</v>
      </c>
      <c r="O69" s="5">
        <f>IF(F69-B69&gt;=0,F69-B69,1-ABS(F69-B69))</f>
        <v>0.13541666666666663</v>
      </c>
      <c r="P69" s="5">
        <f>IF(L69-H69&gt;=0,L69-H69,1-ABS(L69-H69))</f>
        <v>0.11805555555555558</v>
      </c>
    </row>
    <row r="70" spans="1:16">
      <c r="A70" s="2" t="s">
        <v>10</v>
      </c>
      <c r="B70" s="3">
        <v>0.26041666666666669</v>
      </c>
      <c r="C70" s="2" t="s">
        <v>13</v>
      </c>
      <c r="D70" s="2" t="s">
        <v>54</v>
      </c>
      <c r="E70" s="2" t="s">
        <v>16</v>
      </c>
      <c r="F70" s="3">
        <v>0.58680555555555558</v>
      </c>
      <c r="G70" s="2" t="s">
        <v>38</v>
      </c>
      <c r="H70" s="3">
        <v>0.67708333333333337</v>
      </c>
      <c r="I70" s="2" t="s">
        <v>38</v>
      </c>
      <c r="J70" s="2" t="s">
        <v>54</v>
      </c>
      <c r="K70" s="2" t="s">
        <v>39</v>
      </c>
      <c r="L70" s="3">
        <v>0.9375</v>
      </c>
      <c r="M70" s="2" t="s">
        <v>13</v>
      </c>
      <c r="N70" s="4">
        <v>81913</v>
      </c>
      <c r="O70" s="5">
        <f>IF(F70-B70&gt;=0,F70-B70,1-ABS(F70-B70))</f>
        <v>0.3263888888888889</v>
      </c>
      <c r="P70" s="5">
        <f>IF(L70-H70&gt;=0,L70-H70,1-ABS(L70-H70))</f>
        <v>0.26041666666666663</v>
      </c>
    </row>
    <row r="71" spans="1:16">
      <c r="A71" s="2" t="s">
        <v>8</v>
      </c>
      <c r="B71" s="3">
        <v>0.46527777777777779</v>
      </c>
      <c r="C71" s="2" t="s">
        <v>13</v>
      </c>
      <c r="D71" s="2" t="s">
        <v>53</v>
      </c>
      <c r="E71" s="2" t="s">
        <v>45</v>
      </c>
      <c r="F71" s="3">
        <v>0.76388888888888884</v>
      </c>
      <c r="G71" s="2" t="s">
        <v>19</v>
      </c>
      <c r="H71" s="3">
        <v>0.90625</v>
      </c>
      <c r="I71" s="2" t="s">
        <v>19</v>
      </c>
      <c r="J71" s="2" t="s">
        <v>60</v>
      </c>
      <c r="K71" s="2" t="s">
        <v>76</v>
      </c>
      <c r="L71" s="3">
        <v>0.95138888888888884</v>
      </c>
      <c r="M71" s="2" t="s">
        <v>13</v>
      </c>
      <c r="N71" s="4">
        <v>83003</v>
      </c>
      <c r="O71" s="5">
        <f>IF(F71-B71&gt;=0,F71-B71,1-ABS(F71-B71))</f>
        <v>0.29861111111111105</v>
      </c>
      <c r="P71" s="5">
        <f>IF(L71-H71&gt;=0,L71-H71,1-ABS(L71-H71))</f>
        <v>4.513888888888884E-2</v>
      </c>
    </row>
    <row r="72" spans="1:16">
      <c r="A72" s="2" t="s">
        <v>7</v>
      </c>
      <c r="B72" s="3">
        <v>0.26041666666666669</v>
      </c>
      <c r="C72" s="2" t="s">
        <v>13</v>
      </c>
      <c r="D72" s="2" t="s">
        <v>54</v>
      </c>
      <c r="E72" s="2" t="s">
        <v>16</v>
      </c>
      <c r="F72" s="3">
        <v>0.43055555555555558</v>
      </c>
      <c r="G72" s="2" t="s">
        <v>36</v>
      </c>
      <c r="H72" s="3">
        <v>0.80555555555555558</v>
      </c>
      <c r="I72" s="2" t="s">
        <v>36</v>
      </c>
      <c r="J72" s="2" t="s">
        <v>54</v>
      </c>
      <c r="K72" s="2" t="s">
        <v>16</v>
      </c>
      <c r="L72" s="3">
        <v>0.98263888888888884</v>
      </c>
      <c r="M72" s="2" t="s">
        <v>13</v>
      </c>
      <c r="N72" s="4">
        <v>83874</v>
      </c>
      <c r="O72" s="5">
        <f>IF(F72-B72&gt;=0,F72-B72,1-ABS(F72-B72))</f>
        <v>0.1701388888888889</v>
      </c>
      <c r="P72" s="5">
        <f>IF(L72-H72&gt;=0,L72-H72,1-ABS(L72-H72))</f>
        <v>0.17708333333333326</v>
      </c>
    </row>
    <row r="73" spans="1:16">
      <c r="A73" s="2" t="s">
        <v>5</v>
      </c>
      <c r="B73" s="3">
        <v>0.35069444444444442</v>
      </c>
      <c r="C73" s="2" t="s">
        <v>13</v>
      </c>
      <c r="D73" s="2" t="s">
        <v>54</v>
      </c>
      <c r="E73" s="2" t="s">
        <v>22</v>
      </c>
      <c r="F73" s="3">
        <v>0.53125</v>
      </c>
      <c r="G73" s="2" t="s">
        <v>27</v>
      </c>
      <c r="H73" s="3">
        <v>0.81597222222222221</v>
      </c>
      <c r="I73" s="2" t="s">
        <v>27</v>
      </c>
      <c r="J73" s="2" t="s">
        <v>54</v>
      </c>
      <c r="K73" s="2" t="s">
        <v>20</v>
      </c>
      <c r="L73" s="3">
        <v>0.93402777777777779</v>
      </c>
      <c r="M73" s="2" t="s">
        <v>13</v>
      </c>
      <c r="N73" s="4">
        <v>85000</v>
      </c>
      <c r="O73" s="5">
        <f>IF(F73-B73&gt;=0,F73-B73,1-ABS(F73-B73))</f>
        <v>0.18055555555555558</v>
      </c>
      <c r="P73" s="5">
        <f>IF(L73-H73&gt;=0,L73-H73,1-ABS(L73-H73))</f>
        <v>0.11805555555555558</v>
      </c>
    </row>
    <row r="74" spans="1:16">
      <c r="A74" s="2" t="s">
        <v>3</v>
      </c>
      <c r="B74" s="3">
        <v>0.24652777777777779</v>
      </c>
      <c r="C74" s="2" t="s">
        <v>13</v>
      </c>
      <c r="D74" s="2" t="s">
        <v>60</v>
      </c>
      <c r="E74" s="2" t="s">
        <v>76</v>
      </c>
      <c r="F74" s="3">
        <v>0.31597222222222221</v>
      </c>
      <c r="G74" s="2" t="s">
        <v>23</v>
      </c>
      <c r="H74" s="3">
        <v>0.82291666666666663</v>
      </c>
      <c r="I74" s="2" t="s">
        <v>23</v>
      </c>
      <c r="J74" s="2" t="s">
        <v>54</v>
      </c>
      <c r="K74" s="2" t="s">
        <v>16</v>
      </c>
      <c r="L74" s="3">
        <v>0.98263888888888884</v>
      </c>
      <c r="M74" s="2" t="s">
        <v>13</v>
      </c>
      <c r="N74" s="4">
        <v>85628</v>
      </c>
      <c r="O74" s="5">
        <f>IF(F74-B74&gt;=0,F74-B74,1-ABS(F74-B74))</f>
        <v>6.944444444444442E-2</v>
      </c>
      <c r="P74" s="5">
        <f>IF(L74-H74&gt;=0,L74-H74,1-ABS(L74-H74))</f>
        <v>0.15972222222222221</v>
      </c>
    </row>
    <row r="75" spans="1:16">
      <c r="A75" s="2" t="s">
        <v>7</v>
      </c>
      <c r="B75" s="3">
        <v>0.26041666666666669</v>
      </c>
      <c r="C75" s="2" t="s">
        <v>13</v>
      </c>
      <c r="D75" s="2" t="s">
        <v>54</v>
      </c>
      <c r="E75" s="2" t="s">
        <v>16</v>
      </c>
      <c r="F75" s="3">
        <v>0.4375</v>
      </c>
      <c r="G75" s="2" t="s">
        <v>36</v>
      </c>
      <c r="H75" s="3">
        <v>0.80555555555555558</v>
      </c>
      <c r="I75" s="2" t="s">
        <v>36</v>
      </c>
      <c r="J75" s="2" t="s">
        <v>54</v>
      </c>
      <c r="K75" s="2" t="s">
        <v>16</v>
      </c>
      <c r="L75" s="3">
        <v>0.98263888888888884</v>
      </c>
      <c r="M75" s="2" t="s">
        <v>13</v>
      </c>
      <c r="N75" s="4">
        <v>87703</v>
      </c>
      <c r="O75" s="5">
        <f>IF(F75-B75&gt;=0,F75-B75,1-ABS(F75-B75))</f>
        <v>0.17708333333333331</v>
      </c>
      <c r="P75" s="5">
        <f>IF(L75-H75&gt;=0,L75-H75,1-ABS(L75-H75))</f>
        <v>0.17708333333333326</v>
      </c>
    </row>
    <row r="76" spans="1:16">
      <c r="A76" s="2" t="s">
        <v>11</v>
      </c>
      <c r="B76" s="3">
        <v>0.31944444444444442</v>
      </c>
      <c r="C76" s="2" t="s">
        <v>13</v>
      </c>
      <c r="D76" s="2" t="s">
        <v>53</v>
      </c>
      <c r="E76" s="2" t="s">
        <v>48</v>
      </c>
      <c r="F76" s="3">
        <v>0.65277777777777779</v>
      </c>
      <c r="G76" s="2" t="s">
        <v>41</v>
      </c>
      <c r="H76" s="3">
        <v>0.34375</v>
      </c>
      <c r="I76" s="2" t="s">
        <v>41</v>
      </c>
      <c r="J76" s="2" t="s">
        <v>60</v>
      </c>
      <c r="K76" s="2" t="s">
        <v>76</v>
      </c>
      <c r="L76" s="3">
        <v>0.42708333333333331</v>
      </c>
      <c r="M76" s="2" t="s">
        <v>13</v>
      </c>
      <c r="N76" s="4">
        <v>87891</v>
      </c>
      <c r="O76" s="5">
        <f>IF(F76-B76&gt;=0,F76-B76,1-ABS(F76-B76))</f>
        <v>0.33333333333333337</v>
      </c>
      <c r="P76" s="5">
        <f>IF(L76-H76&gt;=0,L76-H76,1-ABS(L76-H76))</f>
        <v>8.3333333333333315E-2</v>
      </c>
    </row>
    <row r="77" spans="1:16">
      <c r="A77" s="2" t="s">
        <v>9</v>
      </c>
      <c r="B77" s="3">
        <v>0.26041666666666669</v>
      </c>
      <c r="C77" s="2" t="s">
        <v>13</v>
      </c>
      <c r="D77" s="2" t="s">
        <v>54</v>
      </c>
      <c r="E77" s="2" t="s">
        <v>16</v>
      </c>
      <c r="F77" s="3">
        <v>0.4375</v>
      </c>
      <c r="G77" s="2" t="s">
        <v>37</v>
      </c>
      <c r="H77" s="3">
        <v>0.80902777777777779</v>
      </c>
      <c r="I77" s="2" t="s">
        <v>37</v>
      </c>
      <c r="J77" s="2" t="s">
        <v>54</v>
      </c>
      <c r="K77" s="2" t="s">
        <v>16</v>
      </c>
      <c r="L77" s="3">
        <v>0.98263888888888884</v>
      </c>
      <c r="M77" s="2" t="s">
        <v>13</v>
      </c>
      <c r="N77" s="4">
        <v>88234</v>
      </c>
      <c r="O77" s="5">
        <f>IF(F77-B77&gt;=0,F77-B77,1-ABS(F77-B77))</f>
        <v>0.17708333333333331</v>
      </c>
      <c r="P77" s="5">
        <f>IF(L77-H77&gt;=0,L77-H77,1-ABS(L77-H77))</f>
        <v>0.17361111111111105</v>
      </c>
    </row>
    <row r="78" spans="1:16">
      <c r="A78" s="2" t="s">
        <v>9</v>
      </c>
      <c r="B78" s="3">
        <v>0.25347222222222221</v>
      </c>
      <c r="C78" s="2" t="s">
        <v>13</v>
      </c>
      <c r="D78" s="2" t="s">
        <v>54</v>
      </c>
      <c r="E78" s="2" t="s">
        <v>22</v>
      </c>
      <c r="F78" s="3">
        <v>0.52430555555555558</v>
      </c>
      <c r="G78" s="2" t="s">
        <v>37</v>
      </c>
      <c r="H78" s="3">
        <v>0.25694444444444442</v>
      </c>
      <c r="I78" s="2" t="s">
        <v>37</v>
      </c>
      <c r="J78" s="2" t="s">
        <v>54</v>
      </c>
      <c r="K78" s="2" t="s">
        <v>22</v>
      </c>
      <c r="L78" s="3">
        <v>0.39930555555555558</v>
      </c>
      <c r="M78" s="2" t="s">
        <v>13</v>
      </c>
      <c r="N78" s="4">
        <v>88600</v>
      </c>
      <c r="O78" s="5">
        <f>IF(F78-B78&gt;=0,F78-B78,1-ABS(F78-B78))</f>
        <v>0.27083333333333337</v>
      </c>
      <c r="P78" s="5">
        <f>IF(L78-H78&gt;=0,L78-H78,1-ABS(L78-H78))</f>
        <v>0.14236111111111116</v>
      </c>
    </row>
    <row r="79" spans="1:16">
      <c r="A79" s="2" t="s">
        <v>4</v>
      </c>
      <c r="B79" s="3">
        <v>0.78472222222222221</v>
      </c>
      <c r="C79" s="2" t="s">
        <v>13</v>
      </c>
      <c r="D79" s="2" t="s">
        <v>60</v>
      </c>
      <c r="E79" s="2" t="s">
        <v>76</v>
      </c>
      <c r="F79" s="3">
        <v>0.875</v>
      </c>
      <c r="G79" s="2" t="s">
        <v>26</v>
      </c>
      <c r="H79" s="3">
        <v>0.4201388888888889</v>
      </c>
      <c r="I79" s="2" t="s">
        <v>26</v>
      </c>
      <c r="J79" s="2" t="s">
        <v>60</v>
      </c>
      <c r="K79" s="2" t="s">
        <v>76</v>
      </c>
      <c r="L79" s="3">
        <v>0.51041666666666663</v>
      </c>
      <c r="M79" s="2" t="s">
        <v>13</v>
      </c>
      <c r="N79" s="4">
        <v>88979</v>
      </c>
      <c r="O79" s="5">
        <f>IF(F79-B79&gt;=0,F79-B79,1-ABS(F79-B79))</f>
        <v>9.027777777777779E-2</v>
      </c>
      <c r="P79" s="5">
        <f>IF(L79-H79&gt;=0,L79-H79,1-ABS(L79-H79))</f>
        <v>9.0277777777777735E-2</v>
      </c>
    </row>
    <row r="80" spans="1:16">
      <c r="A80" s="2" t="s">
        <v>5</v>
      </c>
      <c r="B80" s="3">
        <v>0.25347222222222221</v>
      </c>
      <c r="C80" s="2" t="s">
        <v>13</v>
      </c>
      <c r="D80" s="2" t="s">
        <v>54</v>
      </c>
      <c r="E80" s="2" t="s">
        <v>22</v>
      </c>
      <c r="F80" s="3">
        <v>0.38194444444444442</v>
      </c>
      <c r="G80" s="2" t="s">
        <v>27</v>
      </c>
      <c r="H80" s="3">
        <v>0.72222222222222221</v>
      </c>
      <c r="I80" s="2" t="s">
        <v>27</v>
      </c>
      <c r="J80" s="2" t="s">
        <v>54</v>
      </c>
      <c r="K80" s="2" t="s">
        <v>22</v>
      </c>
      <c r="L80" s="3">
        <v>0.98263888888888884</v>
      </c>
      <c r="M80" s="2" t="s">
        <v>13</v>
      </c>
      <c r="N80" s="4">
        <v>90000</v>
      </c>
      <c r="O80" s="5">
        <f>IF(F80-B80&gt;=0,F80-B80,1-ABS(F80-B80))</f>
        <v>0.12847222222222221</v>
      </c>
      <c r="P80" s="5">
        <f>IF(L80-H80&gt;=0,L80-H80,1-ABS(L80-H80))</f>
        <v>0.26041666666666663</v>
      </c>
    </row>
    <row r="81" spans="1:16">
      <c r="A81" s="2" t="s">
        <v>8</v>
      </c>
      <c r="B81" s="3">
        <v>0.3923611111111111</v>
      </c>
      <c r="C81" s="2" t="s">
        <v>13</v>
      </c>
      <c r="D81" s="2" t="s">
        <v>54</v>
      </c>
      <c r="E81" s="2" t="s">
        <v>31</v>
      </c>
      <c r="F81" s="3">
        <v>0.58680555555555558</v>
      </c>
      <c r="G81" s="2" t="s">
        <v>19</v>
      </c>
      <c r="H81" s="3">
        <v>0.61458333333333337</v>
      </c>
      <c r="I81" s="2" t="s">
        <v>19</v>
      </c>
      <c r="J81" s="2" t="s">
        <v>54</v>
      </c>
      <c r="K81" s="2" t="s">
        <v>31</v>
      </c>
      <c r="L81" s="3">
        <v>0.99305555555555558</v>
      </c>
      <c r="M81" s="2" t="s">
        <v>13</v>
      </c>
      <c r="N81" s="4">
        <v>90400</v>
      </c>
      <c r="O81" s="5">
        <f>IF(F81-B81&gt;=0,F81-B81,1-ABS(F81-B81))</f>
        <v>0.19444444444444448</v>
      </c>
      <c r="P81" s="5">
        <f>IF(L81-H81&gt;=0,L81-H81,1-ABS(L81-H81))</f>
        <v>0.37847222222222221</v>
      </c>
    </row>
    <row r="82" spans="1:16">
      <c r="A82" s="2" t="s">
        <v>6</v>
      </c>
      <c r="B82" s="3">
        <v>0.41319444444444442</v>
      </c>
      <c r="C82" s="2" t="s">
        <v>13</v>
      </c>
      <c r="D82" s="2" t="s">
        <v>60</v>
      </c>
      <c r="E82" s="2" t="s">
        <v>76</v>
      </c>
      <c r="F82" s="3">
        <v>0.4861111111111111</v>
      </c>
      <c r="G82" s="2" t="s">
        <v>29</v>
      </c>
      <c r="H82" s="3">
        <v>0.43402777777777779</v>
      </c>
      <c r="I82" s="2" t="s">
        <v>29</v>
      </c>
      <c r="J82" s="2" t="s">
        <v>54</v>
      </c>
      <c r="K82" s="2" t="s">
        <v>35</v>
      </c>
      <c r="L82" s="3">
        <v>0.72916666666666663</v>
      </c>
      <c r="M82" s="2" t="s">
        <v>13</v>
      </c>
      <c r="N82" s="4">
        <v>91041</v>
      </c>
      <c r="O82" s="5">
        <f>IF(F82-B82&gt;=0,F82-B82,1-ABS(F82-B82))</f>
        <v>7.2916666666666685E-2</v>
      </c>
      <c r="P82" s="5">
        <f>IF(L82-H82&gt;=0,L82-H82,1-ABS(L82-H82))</f>
        <v>0.29513888888888884</v>
      </c>
    </row>
    <row r="83" spans="1:16">
      <c r="A83" s="2" t="s">
        <v>6</v>
      </c>
      <c r="B83" s="3">
        <v>0.4826388888888889</v>
      </c>
      <c r="C83" s="2" t="s">
        <v>13</v>
      </c>
      <c r="D83" s="2" t="s">
        <v>54</v>
      </c>
      <c r="E83" s="2" t="s">
        <v>31</v>
      </c>
      <c r="F83" s="3">
        <v>0.73263888888888884</v>
      </c>
      <c r="G83" s="2" t="s">
        <v>29</v>
      </c>
      <c r="H83" s="3">
        <v>0.76041666666666663</v>
      </c>
      <c r="I83" s="2" t="s">
        <v>29</v>
      </c>
      <c r="J83" s="2" t="s">
        <v>54</v>
      </c>
      <c r="K83" s="2" t="s">
        <v>31</v>
      </c>
      <c r="L83" s="3">
        <v>0.99305555555555558</v>
      </c>
      <c r="M83" s="2" t="s">
        <v>13</v>
      </c>
      <c r="N83" s="4">
        <v>91640</v>
      </c>
      <c r="O83" s="5">
        <f>IF(F83-B83&gt;=0,F83-B83,1-ABS(F83-B83))</f>
        <v>0.24999999999999994</v>
      </c>
      <c r="P83" s="5">
        <f>IF(L83-H83&gt;=0,L83-H83,1-ABS(L83-H83))</f>
        <v>0.23263888888888895</v>
      </c>
    </row>
    <row r="84" spans="1:16">
      <c r="A84" s="2" t="s">
        <v>9</v>
      </c>
      <c r="B84" s="3">
        <v>0.46527777777777779</v>
      </c>
      <c r="C84" s="2" t="s">
        <v>13</v>
      </c>
      <c r="D84" s="2" t="s">
        <v>60</v>
      </c>
      <c r="E84" s="2" t="s">
        <v>76</v>
      </c>
      <c r="F84" s="3">
        <v>0.54166666666666663</v>
      </c>
      <c r="G84" s="2" t="s">
        <v>37</v>
      </c>
      <c r="H84" s="3">
        <v>0.25694444444444442</v>
      </c>
      <c r="I84" s="2" t="s">
        <v>37</v>
      </c>
      <c r="J84" s="2" t="s">
        <v>54</v>
      </c>
      <c r="K84" s="2" t="s">
        <v>22</v>
      </c>
      <c r="L84" s="3">
        <v>0.39930555555555558</v>
      </c>
      <c r="M84" s="2" t="s">
        <v>13</v>
      </c>
      <c r="N84" s="4">
        <v>93113</v>
      </c>
      <c r="O84" s="5">
        <f>IF(F84-B84&gt;=0,F84-B84,1-ABS(F84-B84))</f>
        <v>7.638888888888884E-2</v>
      </c>
      <c r="P84" s="5">
        <f>IF(L84-H84&gt;=0,L84-H84,1-ABS(L84-H84))</f>
        <v>0.14236111111111116</v>
      </c>
    </row>
    <row r="85" spans="1:16">
      <c r="A85" s="2" t="s">
        <v>11</v>
      </c>
      <c r="B85" s="3">
        <v>0.31944444444444442</v>
      </c>
      <c r="C85" s="2" t="s">
        <v>13</v>
      </c>
      <c r="D85" s="2" t="s">
        <v>53</v>
      </c>
      <c r="E85" s="2" t="s">
        <v>48</v>
      </c>
      <c r="F85" s="3">
        <v>0.65277777777777779</v>
      </c>
      <c r="G85" s="2" t="s">
        <v>41</v>
      </c>
      <c r="H85" s="3">
        <v>0.54513888888888884</v>
      </c>
      <c r="I85" s="2" t="s">
        <v>41</v>
      </c>
      <c r="J85" s="2" t="s">
        <v>54</v>
      </c>
      <c r="K85" s="2" t="s">
        <v>39</v>
      </c>
      <c r="L85" s="3">
        <v>0.9375</v>
      </c>
      <c r="M85" s="2" t="s">
        <v>13</v>
      </c>
      <c r="N85" s="4">
        <v>93540</v>
      </c>
      <c r="O85" s="5">
        <f>IF(F85-B85&gt;=0,F85-B85,1-ABS(F85-B85))</f>
        <v>0.33333333333333337</v>
      </c>
      <c r="P85" s="5">
        <f>IF(L85-H85&gt;=0,L85-H85,1-ABS(L85-H85))</f>
        <v>0.39236111111111116</v>
      </c>
    </row>
    <row r="86" spans="1:16">
      <c r="A86" s="2" t="s">
        <v>10</v>
      </c>
      <c r="B86" s="3">
        <v>0.26041666666666669</v>
      </c>
      <c r="C86" s="2" t="s">
        <v>13</v>
      </c>
      <c r="D86" s="2" t="s">
        <v>54</v>
      </c>
      <c r="E86" s="2" t="s">
        <v>16</v>
      </c>
      <c r="F86" s="3">
        <v>0.58680555555555558</v>
      </c>
      <c r="G86" s="2" t="s">
        <v>38</v>
      </c>
      <c r="H86" s="3">
        <v>0.79166666666666663</v>
      </c>
      <c r="I86" s="2" t="s">
        <v>38</v>
      </c>
      <c r="J86" s="2" t="s">
        <v>54</v>
      </c>
      <c r="K86" s="2" t="s">
        <v>16</v>
      </c>
      <c r="L86" s="3">
        <v>0.98263888888888884</v>
      </c>
      <c r="M86" s="2" t="s">
        <v>13</v>
      </c>
      <c r="N86" s="4">
        <v>93879</v>
      </c>
      <c r="O86" s="5">
        <f>IF(F86-B86&gt;=0,F86-B86,1-ABS(F86-B86))</f>
        <v>0.3263888888888889</v>
      </c>
      <c r="P86" s="5">
        <f>IF(L86-H86&gt;=0,L86-H86,1-ABS(L86-H86))</f>
        <v>0.19097222222222221</v>
      </c>
    </row>
    <row r="87" spans="1:16">
      <c r="A87" s="2" t="s">
        <v>9</v>
      </c>
      <c r="B87" s="3">
        <v>0.35069444444444442</v>
      </c>
      <c r="C87" s="2" t="s">
        <v>13</v>
      </c>
      <c r="D87" s="2" t="s">
        <v>54</v>
      </c>
      <c r="E87" s="2" t="s">
        <v>22</v>
      </c>
      <c r="F87" s="3">
        <v>0.52430555555555558</v>
      </c>
      <c r="G87" s="2" t="s">
        <v>37</v>
      </c>
      <c r="H87" s="3">
        <v>0.25694444444444442</v>
      </c>
      <c r="I87" s="2" t="s">
        <v>37</v>
      </c>
      <c r="J87" s="2" t="s">
        <v>54</v>
      </c>
      <c r="K87" s="2" t="s">
        <v>22</v>
      </c>
      <c r="L87" s="3">
        <v>0.39930555555555558</v>
      </c>
      <c r="M87" s="2" t="s">
        <v>13</v>
      </c>
      <c r="N87" s="4">
        <v>94600</v>
      </c>
      <c r="O87" s="5">
        <f>IF(F87-B87&gt;=0,F87-B87,1-ABS(F87-B87))</f>
        <v>0.17361111111111116</v>
      </c>
      <c r="P87" s="5">
        <f>IF(L87-H87&gt;=0,L87-H87,1-ABS(L87-H87))</f>
        <v>0.14236111111111116</v>
      </c>
    </row>
    <row r="88" spans="1:16">
      <c r="A88" s="2" t="s">
        <v>8</v>
      </c>
      <c r="B88" s="3">
        <v>0.25347222222222221</v>
      </c>
      <c r="C88" s="2" t="s">
        <v>13</v>
      </c>
      <c r="D88" s="2" t="s">
        <v>53</v>
      </c>
      <c r="E88" s="2" t="s">
        <v>43</v>
      </c>
      <c r="F88" s="3">
        <v>0.58680555555555558</v>
      </c>
      <c r="G88" s="2" t="s">
        <v>19</v>
      </c>
      <c r="H88" s="3">
        <v>0.61458333333333337</v>
      </c>
      <c r="I88" s="2" t="s">
        <v>19</v>
      </c>
      <c r="J88" s="2" t="s">
        <v>54</v>
      </c>
      <c r="K88" s="2" t="s">
        <v>31</v>
      </c>
      <c r="L88" s="3">
        <v>0.99305555555555558</v>
      </c>
      <c r="M88" s="2" t="s">
        <v>13</v>
      </c>
      <c r="N88" s="4">
        <v>94645</v>
      </c>
      <c r="O88" s="5">
        <f>IF(F88-B88&gt;=0,F88-B88,1-ABS(F88-B88))</f>
        <v>0.33333333333333337</v>
      </c>
      <c r="P88" s="5">
        <f>IF(L88-H88&gt;=0,L88-H88,1-ABS(L88-H88))</f>
        <v>0.37847222222222221</v>
      </c>
    </row>
    <row r="89" spans="1:16">
      <c r="A89" s="2" t="s">
        <v>5</v>
      </c>
      <c r="B89" s="3">
        <v>0.26041666666666669</v>
      </c>
      <c r="C89" s="2" t="s">
        <v>13</v>
      </c>
      <c r="D89" s="2" t="s">
        <v>54</v>
      </c>
      <c r="E89" s="2" t="s">
        <v>16</v>
      </c>
      <c r="F89" s="3">
        <v>0.42708333333333331</v>
      </c>
      <c r="G89" s="2" t="s">
        <v>27</v>
      </c>
      <c r="H89" s="3">
        <v>0.81944444444444442</v>
      </c>
      <c r="I89" s="2" t="s">
        <v>27</v>
      </c>
      <c r="J89" s="2" t="s">
        <v>54</v>
      </c>
      <c r="K89" s="2" t="s">
        <v>16</v>
      </c>
      <c r="L89" s="3">
        <v>0.98263888888888884</v>
      </c>
      <c r="M89" s="2" t="s">
        <v>13</v>
      </c>
      <c r="N89" s="4">
        <v>95170</v>
      </c>
      <c r="O89" s="5">
        <f>IF(F89-B89&gt;=0,F89-B89,1-ABS(F89-B89))</f>
        <v>0.16666666666666663</v>
      </c>
      <c r="P89" s="5">
        <f>IF(L89-H89&gt;=0,L89-H89,1-ABS(L89-H89))</f>
        <v>0.16319444444444442</v>
      </c>
    </row>
    <row r="90" spans="1:16">
      <c r="A90" s="2" t="s">
        <v>6</v>
      </c>
      <c r="B90" s="3">
        <v>0.41319444444444442</v>
      </c>
      <c r="C90" s="2" t="s">
        <v>13</v>
      </c>
      <c r="D90" s="2" t="s">
        <v>60</v>
      </c>
      <c r="E90" s="2" t="s">
        <v>76</v>
      </c>
      <c r="F90" s="3">
        <v>0.4861111111111111</v>
      </c>
      <c r="G90" s="2" t="s">
        <v>29</v>
      </c>
      <c r="H90" s="3">
        <v>0.65972222222222221</v>
      </c>
      <c r="I90" s="2" t="s">
        <v>29</v>
      </c>
      <c r="J90" s="2" t="s">
        <v>54</v>
      </c>
      <c r="K90" s="2" t="s">
        <v>33</v>
      </c>
      <c r="L90" s="3">
        <v>0.95486111111111116</v>
      </c>
      <c r="M90" s="2" t="s">
        <v>13</v>
      </c>
      <c r="N90" s="4">
        <v>95296</v>
      </c>
      <c r="O90" s="5">
        <f>IF(F90-B90&gt;=0,F90-B90,1-ABS(F90-B90))</f>
        <v>7.2916666666666685E-2</v>
      </c>
      <c r="P90" s="5">
        <f>IF(L90-H90&gt;=0,L90-H90,1-ABS(L90-H90))</f>
        <v>0.29513888888888895</v>
      </c>
    </row>
    <row r="91" spans="1:16">
      <c r="A91" s="2" t="s">
        <v>11</v>
      </c>
      <c r="B91" s="3">
        <v>0.26041666666666669</v>
      </c>
      <c r="C91" s="2" t="s">
        <v>13</v>
      </c>
      <c r="D91" s="2" t="s">
        <v>53</v>
      </c>
      <c r="E91" s="2" t="s">
        <v>50</v>
      </c>
      <c r="F91" s="3">
        <v>0.65277777777777779</v>
      </c>
      <c r="G91" s="2" t="s">
        <v>41</v>
      </c>
      <c r="H91" s="3">
        <v>0.34375</v>
      </c>
      <c r="I91" s="2" t="s">
        <v>41</v>
      </c>
      <c r="J91" s="2" t="s">
        <v>60</v>
      </c>
      <c r="K91" s="2" t="s">
        <v>76</v>
      </c>
      <c r="L91" s="3">
        <v>0.42708333333333331</v>
      </c>
      <c r="M91" s="2" t="s">
        <v>13</v>
      </c>
      <c r="N91" s="4">
        <v>95299</v>
      </c>
      <c r="O91" s="5">
        <f>IF(F91-B91&gt;=0,F91-B91,1-ABS(F91-B91))</f>
        <v>0.3923611111111111</v>
      </c>
      <c r="P91" s="5">
        <f>IF(L91-H91&gt;=0,L91-H91,1-ABS(L91-H91))</f>
        <v>8.3333333333333315E-2</v>
      </c>
    </row>
    <row r="92" spans="1:16">
      <c r="A92" s="2" t="s">
        <v>11</v>
      </c>
      <c r="B92" s="3">
        <v>0.31944444444444442</v>
      </c>
      <c r="C92" s="2" t="s">
        <v>13</v>
      </c>
      <c r="D92" s="2" t="s">
        <v>53</v>
      </c>
      <c r="E92" s="2" t="s">
        <v>48</v>
      </c>
      <c r="F92" s="3">
        <v>0.65277777777777779</v>
      </c>
      <c r="G92" s="2" t="s">
        <v>41</v>
      </c>
      <c r="H92" s="3">
        <v>0.59027777777777779</v>
      </c>
      <c r="I92" s="2" t="s">
        <v>41</v>
      </c>
      <c r="J92" s="2" t="s">
        <v>53</v>
      </c>
      <c r="K92" s="2" t="s">
        <v>49</v>
      </c>
      <c r="L92" s="3">
        <v>0.98263888888888884</v>
      </c>
      <c r="M92" s="2" t="s">
        <v>13</v>
      </c>
      <c r="N92" s="4">
        <v>96125</v>
      </c>
      <c r="O92" s="5">
        <f>IF(F92-B92&gt;=0,F92-B92,1-ABS(F92-B92))</f>
        <v>0.33333333333333337</v>
      </c>
      <c r="P92" s="5">
        <f>IF(L92-H92&gt;=0,L92-H92,1-ABS(L92-H92))</f>
        <v>0.39236111111111105</v>
      </c>
    </row>
    <row r="93" spans="1:16">
      <c r="A93" s="2" t="s">
        <v>2</v>
      </c>
      <c r="B93" s="3">
        <v>0.26041666666666669</v>
      </c>
      <c r="C93" s="2" t="s">
        <v>13</v>
      </c>
      <c r="D93" s="2" t="s">
        <v>54</v>
      </c>
      <c r="E93" s="2" t="s">
        <v>16</v>
      </c>
      <c r="F93" s="3">
        <v>0.44097222222222221</v>
      </c>
      <c r="G93" s="2" t="s">
        <v>18</v>
      </c>
      <c r="H93" s="3">
        <v>0.80902777777777779</v>
      </c>
      <c r="I93" s="2" t="s">
        <v>18</v>
      </c>
      <c r="J93" s="2" t="s">
        <v>54</v>
      </c>
      <c r="K93" s="2" t="s">
        <v>16</v>
      </c>
      <c r="L93" s="3">
        <v>0.98263888888888884</v>
      </c>
      <c r="M93" s="2" t="s">
        <v>13</v>
      </c>
      <c r="N93" s="4">
        <v>96677</v>
      </c>
      <c r="O93" s="5">
        <f>IF(F93-B93&gt;=0,F93-B93,1-ABS(F93-B93))</f>
        <v>0.18055555555555552</v>
      </c>
      <c r="P93" s="5">
        <f>IF(L93-H93&gt;=0,L93-H93,1-ABS(L93-H93))</f>
        <v>0.17361111111111105</v>
      </c>
    </row>
    <row r="94" spans="1:16">
      <c r="A94" s="2" t="s">
        <v>6</v>
      </c>
      <c r="B94" s="3">
        <v>0.3923611111111111</v>
      </c>
      <c r="C94" s="2" t="s">
        <v>13</v>
      </c>
      <c r="D94" s="2" t="s">
        <v>54</v>
      </c>
      <c r="E94" s="2" t="s">
        <v>31</v>
      </c>
      <c r="F94" s="3">
        <v>0.73263888888888884</v>
      </c>
      <c r="G94" s="2" t="s">
        <v>29</v>
      </c>
      <c r="H94" s="3">
        <v>0.76041666666666663</v>
      </c>
      <c r="I94" s="2" t="s">
        <v>29</v>
      </c>
      <c r="J94" s="2" t="s">
        <v>54</v>
      </c>
      <c r="K94" s="2" t="s">
        <v>31</v>
      </c>
      <c r="L94" s="3">
        <v>0.99305555555555558</v>
      </c>
      <c r="M94" s="2" t="s">
        <v>13</v>
      </c>
      <c r="N94" s="4">
        <v>97509</v>
      </c>
      <c r="O94" s="5">
        <f>IF(F94-B94&gt;=0,F94-B94,1-ABS(F94-B94))</f>
        <v>0.34027777777777773</v>
      </c>
      <c r="P94" s="5">
        <f>IF(L94-H94&gt;=0,L94-H94,1-ABS(L94-H94))</f>
        <v>0.23263888888888895</v>
      </c>
    </row>
    <row r="95" spans="1:16">
      <c r="A95" s="2" t="s">
        <v>11</v>
      </c>
      <c r="B95" s="3">
        <v>0.26041666666666669</v>
      </c>
      <c r="C95" s="2" t="s">
        <v>13</v>
      </c>
      <c r="D95" s="2" t="s">
        <v>53</v>
      </c>
      <c r="E95" s="2" t="s">
        <v>50</v>
      </c>
      <c r="F95" s="3">
        <v>0.65277777777777779</v>
      </c>
      <c r="G95" s="2" t="s">
        <v>41</v>
      </c>
      <c r="H95" s="3">
        <v>0.34375</v>
      </c>
      <c r="I95" s="2" t="s">
        <v>41</v>
      </c>
      <c r="J95" s="2" t="s">
        <v>60</v>
      </c>
      <c r="K95" s="2" t="s">
        <v>76</v>
      </c>
      <c r="L95" s="3">
        <v>0.42708333333333331</v>
      </c>
      <c r="M95" s="2" t="s">
        <v>13</v>
      </c>
      <c r="N95" s="4">
        <v>99041</v>
      </c>
      <c r="O95" s="5">
        <f>IF(F95-B95&gt;=0,F95-B95,1-ABS(F95-B95))</f>
        <v>0.3923611111111111</v>
      </c>
      <c r="P95" s="5">
        <f>IF(L95-H95&gt;=0,L95-H95,1-ABS(L95-H95))</f>
        <v>8.3333333333333315E-2</v>
      </c>
    </row>
    <row r="96" spans="1:16">
      <c r="A96" s="2" t="s">
        <v>10</v>
      </c>
      <c r="B96" s="3">
        <v>0.80208333333333337</v>
      </c>
      <c r="C96" s="2" t="s">
        <v>13</v>
      </c>
      <c r="D96" s="2" t="s">
        <v>54</v>
      </c>
      <c r="E96" s="2" t="s">
        <v>16</v>
      </c>
      <c r="F96" s="3">
        <v>0.98263888888888884</v>
      </c>
      <c r="G96" s="2" t="s">
        <v>38</v>
      </c>
      <c r="H96" s="3">
        <v>0.25</v>
      </c>
      <c r="I96" s="2" t="s">
        <v>38</v>
      </c>
      <c r="J96" s="2" t="s">
        <v>54</v>
      </c>
      <c r="K96" s="2" t="s">
        <v>16</v>
      </c>
      <c r="L96" s="3">
        <v>0.44097222222222221</v>
      </c>
      <c r="M96" s="2" t="s">
        <v>13</v>
      </c>
      <c r="N96" s="4">
        <v>100075</v>
      </c>
      <c r="O96" s="5">
        <f>IF(F96-B96&gt;=0,F96-B96,1-ABS(F96-B96))</f>
        <v>0.18055555555555547</v>
      </c>
      <c r="P96" s="5">
        <f>IF(L96-H96&gt;=0,L96-H96,1-ABS(L96-H96))</f>
        <v>0.19097222222222221</v>
      </c>
    </row>
    <row r="97" spans="1:16">
      <c r="A97" s="2" t="s">
        <v>10</v>
      </c>
      <c r="B97" s="3">
        <v>0.80208333333333337</v>
      </c>
      <c r="C97" s="2" t="s">
        <v>13</v>
      </c>
      <c r="D97" s="2" t="s">
        <v>54</v>
      </c>
      <c r="E97" s="2" t="s">
        <v>16</v>
      </c>
      <c r="F97" s="3">
        <v>0.98263888888888884</v>
      </c>
      <c r="G97" s="2" t="s">
        <v>38</v>
      </c>
      <c r="H97" s="3">
        <v>0.79166666666666663</v>
      </c>
      <c r="I97" s="2" t="s">
        <v>38</v>
      </c>
      <c r="J97" s="2" t="s">
        <v>54</v>
      </c>
      <c r="K97" s="2" t="s">
        <v>16</v>
      </c>
      <c r="L97" s="3">
        <v>0.98263888888888884</v>
      </c>
      <c r="M97" s="2" t="s">
        <v>13</v>
      </c>
      <c r="N97" s="4">
        <v>100075</v>
      </c>
      <c r="O97" s="5">
        <f>IF(F97-B97&gt;=0,F97-B97,1-ABS(F97-B97))</f>
        <v>0.18055555555555547</v>
      </c>
      <c r="P97" s="5">
        <f>IF(L97-H97&gt;=0,L97-H97,1-ABS(L97-H97))</f>
        <v>0.19097222222222221</v>
      </c>
    </row>
    <row r="98" spans="1:16">
      <c r="A98" s="2" t="s">
        <v>8</v>
      </c>
      <c r="B98" s="3">
        <v>0.26041666666666669</v>
      </c>
      <c r="C98" s="2" t="s">
        <v>13</v>
      </c>
      <c r="D98" s="2" t="s">
        <v>54</v>
      </c>
      <c r="E98" s="2" t="s">
        <v>16</v>
      </c>
      <c r="F98" s="3">
        <v>0.43402777777777779</v>
      </c>
      <c r="G98" s="2" t="s">
        <v>19</v>
      </c>
      <c r="H98" s="3">
        <v>0.80902777777777779</v>
      </c>
      <c r="I98" s="2" t="s">
        <v>19</v>
      </c>
      <c r="J98" s="2" t="s">
        <v>54</v>
      </c>
      <c r="K98" s="2" t="s">
        <v>16</v>
      </c>
      <c r="L98" s="3">
        <v>0.98263888888888884</v>
      </c>
      <c r="M98" s="2" t="s">
        <v>13</v>
      </c>
      <c r="N98" s="4">
        <v>100579</v>
      </c>
      <c r="O98" s="5">
        <f>IF(F98-B98&gt;=0,F98-B98,1-ABS(F98-B98))</f>
        <v>0.1736111111111111</v>
      </c>
      <c r="P98" s="5">
        <f>IF(L98-H98&gt;=0,L98-H98,1-ABS(L98-H98))</f>
        <v>0.17361111111111105</v>
      </c>
    </row>
    <row r="99" spans="1:16">
      <c r="A99" s="2" t="s">
        <v>11</v>
      </c>
      <c r="B99" s="3">
        <v>0.26041666666666669</v>
      </c>
      <c r="C99" s="2" t="s">
        <v>13</v>
      </c>
      <c r="D99" s="2" t="s">
        <v>53</v>
      </c>
      <c r="E99" s="2" t="s">
        <v>50</v>
      </c>
      <c r="F99" s="3">
        <v>0.65277777777777779</v>
      </c>
      <c r="G99" s="2" t="s">
        <v>41</v>
      </c>
      <c r="H99" s="3">
        <v>0.54513888888888884</v>
      </c>
      <c r="I99" s="2" t="s">
        <v>41</v>
      </c>
      <c r="J99" s="2" t="s">
        <v>61</v>
      </c>
      <c r="K99" s="2" t="s">
        <v>39</v>
      </c>
      <c r="L99" s="3">
        <v>0.9375</v>
      </c>
      <c r="M99" s="2" t="s">
        <v>13</v>
      </c>
      <c r="N99" s="4">
        <v>100948</v>
      </c>
      <c r="O99" s="5">
        <f>IF(F99-B99&gt;=0,F99-B99,1-ABS(F99-B99))</f>
        <v>0.3923611111111111</v>
      </c>
      <c r="P99" s="5">
        <f>IF(L99-H99&gt;=0,L99-H99,1-ABS(L99-H99))</f>
        <v>0.39236111111111116</v>
      </c>
    </row>
    <row r="100" spans="1:16">
      <c r="A100" s="2" t="s">
        <v>11</v>
      </c>
      <c r="B100" s="3">
        <v>0.79513888888888884</v>
      </c>
      <c r="C100" s="2" t="s">
        <v>13</v>
      </c>
      <c r="D100" s="2" t="s">
        <v>54</v>
      </c>
      <c r="E100" s="2" t="s">
        <v>27</v>
      </c>
      <c r="F100" s="3">
        <v>0.30555555555555558</v>
      </c>
      <c r="G100" s="2" t="s">
        <v>41</v>
      </c>
      <c r="H100" s="3">
        <v>0.34375</v>
      </c>
      <c r="I100" s="2" t="s">
        <v>41</v>
      </c>
      <c r="J100" s="2" t="s">
        <v>60</v>
      </c>
      <c r="K100" s="2" t="s">
        <v>76</v>
      </c>
      <c r="L100" s="3">
        <v>0.42708333333333331</v>
      </c>
      <c r="M100" s="2" t="s">
        <v>13</v>
      </c>
      <c r="N100" s="4">
        <v>102062</v>
      </c>
      <c r="O100" s="5">
        <f>IF(F100-B100&gt;=0,F100-B100,1-ABS(F100-B100))</f>
        <v>0.51041666666666674</v>
      </c>
      <c r="P100" s="5">
        <f>IF(L100-H100&gt;=0,L100-H100,1-ABS(L100-H100))</f>
        <v>8.3333333333333315E-2</v>
      </c>
    </row>
    <row r="101" spans="1:16">
      <c r="A101" s="2" t="s">
        <v>7</v>
      </c>
      <c r="B101" s="3">
        <v>0.83333333333333337</v>
      </c>
      <c r="C101" s="2" t="s">
        <v>13</v>
      </c>
      <c r="D101" s="2" t="s">
        <v>54</v>
      </c>
      <c r="E101" s="2" t="s">
        <v>28</v>
      </c>
      <c r="F101" s="3">
        <v>0.36805555555555558</v>
      </c>
      <c r="G101" s="2" t="s">
        <v>36</v>
      </c>
      <c r="H101" s="3">
        <v>0.74652777777777779</v>
      </c>
      <c r="I101" s="2" t="s">
        <v>36</v>
      </c>
      <c r="J101" s="2" t="s">
        <v>54</v>
      </c>
      <c r="K101" s="2" t="s">
        <v>22</v>
      </c>
      <c r="L101" s="3">
        <v>0.98263888888888884</v>
      </c>
      <c r="M101" s="2" t="s">
        <v>13</v>
      </c>
      <c r="N101" s="4">
        <v>103400</v>
      </c>
      <c r="O101" s="5">
        <f>IF(F101-B101&gt;=0,F101-B101,1-ABS(F101-B101))</f>
        <v>0.53472222222222221</v>
      </c>
      <c r="P101" s="5">
        <f>IF(L101-H101&gt;=0,L101-H101,1-ABS(L101-H101))</f>
        <v>0.23611111111111105</v>
      </c>
    </row>
    <row r="102" spans="1:16">
      <c r="A102" s="2" t="s">
        <v>12</v>
      </c>
      <c r="B102" s="3">
        <v>0.26041666666666669</v>
      </c>
      <c r="C102" s="2" t="s">
        <v>13</v>
      </c>
      <c r="D102" s="2" t="s">
        <v>53</v>
      </c>
      <c r="E102" s="2" t="s">
        <v>55</v>
      </c>
      <c r="F102" s="3">
        <v>0.51041666666666663</v>
      </c>
      <c r="G102" s="2" t="s">
        <v>42</v>
      </c>
      <c r="H102" s="3">
        <v>0.53472222222222221</v>
      </c>
      <c r="I102" s="2" t="s">
        <v>42</v>
      </c>
      <c r="J102" s="2" t="s">
        <v>53</v>
      </c>
      <c r="K102" s="2" t="s">
        <v>58</v>
      </c>
      <c r="L102" s="3">
        <v>0.44097222222222221</v>
      </c>
      <c r="M102" s="2" t="s">
        <v>13</v>
      </c>
      <c r="N102" s="4">
        <v>104753</v>
      </c>
      <c r="O102" s="5">
        <f>IF(F102-B102&gt;=0,F102-B102,1-ABS(F102-B102))</f>
        <v>0.24999999999999994</v>
      </c>
      <c r="P102" s="5">
        <f>IF(L102-H102&gt;=0,L102-H102,1-ABS(L102-H102))</f>
        <v>0.90625</v>
      </c>
    </row>
    <row r="103" spans="1:16">
      <c r="A103" s="2" t="s">
        <v>6</v>
      </c>
      <c r="B103" s="3">
        <v>0.25347222222222221</v>
      </c>
      <c r="C103" s="2" t="s">
        <v>13</v>
      </c>
      <c r="D103" s="2" t="s">
        <v>53</v>
      </c>
      <c r="E103" s="2" t="s">
        <v>43</v>
      </c>
      <c r="F103" s="3">
        <v>0.73263888888888884</v>
      </c>
      <c r="G103" s="2" t="s">
        <v>29</v>
      </c>
      <c r="H103" s="3">
        <v>0.76041666666666663</v>
      </c>
      <c r="I103" s="2" t="s">
        <v>29</v>
      </c>
      <c r="J103" s="2" t="s">
        <v>54</v>
      </c>
      <c r="K103" s="2" t="s">
        <v>31</v>
      </c>
      <c r="L103" s="3">
        <v>0.99305555555555558</v>
      </c>
      <c r="M103" s="2" t="s">
        <v>13</v>
      </c>
      <c r="N103" s="4">
        <v>104800</v>
      </c>
      <c r="O103" s="5">
        <f>IF(F103-B103&gt;=0,F103-B103,1-ABS(F103-B103))</f>
        <v>0.47916666666666663</v>
      </c>
      <c r="P103" s="5">
        <f>IF(L103-H103&gt;=0,L103-H103,1-ABS(L103-H103))</f>
        <v>0.23263888888888895</v>
      </c>
    </row>
    <row r="104" spans="1:16">
      <c r="A104" s="2" t="s">
        <v>8</v>
      </c>
      <c r="B104" s="3">
        <v>0.3923611111111111</v>
      </c>
      <c r="C104" s="2" t="s">
        <v>13</v>
      </c>
      <c r="D104" s="2" t="s">
        <v>54</v>
      </c>
      <c r="E104" s="2" t="s">
        <v>31</v>
      </c>
      <c r="F104" s="3">
        <v>0.58680555555555558</v>
      </c>
      <c r="G104" s="2" t="s">
        <v>19</v>
      </c>
      <c r="H104" s="3">
        <v>0.90625</v>
      </c>
      <c r="I104" s="2" t="s">
        <v>19</v>
      </c>
      <c r="J104" s="2" t="s">
        <v>60</v>
      </c>
      <c r="K104" s="2" t="s">
        <v>76</v>
      </c>
      <c r="L104" s="3">
        <v>0.95138888888888884</v>
      </c>
      <c r="M104" s="2" t="s">
        <v>13</v>
      </c>
      <c r="N104" s="4">
        <v>104954</v>
      </c>
      <c r="O104" s="5">
        <f>IF(F104-B104&gt;=0,F104-B104,1-ABS(F104-B104))</f>
        <v>0.19444444444444448</v>
      </c>
      <c r="P104" s="5">
        <f>IF(L104-H104&gt;=0,L104-H104,1-ABS(L104-H104))</f>
        <v>4.513888888888884E-2</v>
      </c>
    </row>
    <row r="105" spans="1:16">
      <c r="A105" s="2" t="s">
        <v>8</v>
      </c>
      <c r="B105" s="3">
        <v>0.25347222222222221</v>
      </c>
      <c r="C105" s="2" t="s">
        <v>13</v>
      </c>
      <c r="D105" s="2" t="s">
        <v>53</v>
      </c>
      <c r="E105" s="2" t="s">
        <v>43</v>
      </c>
      <c r="F105" s="3">
        <v>0.58680555555555558</v>
      </c>
      <c r="G105" s="2" t="s">
        <v>19</v>
      </c>
      <c r="H105" s="3">
        <v>0.90625</v>
      </c>
      <c r="I105" s="2" t="s">
        <v>19</v>
      </c>
      <c r="J105" s="2" t="s">
        <v>60</v>
      </c>
      <c r="K105" s="2" t="s">
        <v>76</v>
      </c>
      <c r="L105" s="3">
        <v>0.95138888888888884</v>
      </c>
      <c r="M105" s="2" t="s">
        <v>13</v>
      </c>
      <c r="N105" s="4">
        <v>105011</v>
      </c>
      <c r="O105" s="5">
        <f>IF(F105-B105&gt;=0,F105-B105,1-ABS(F105-B105))</f>
        <v>0.33333333333333337</v>
      </c>
      <c r="P105" s="5">
        <f>IF(L105-H105&gt;=0,L105-H105,1-ABS(L105-H105))</f>
        <v>4.513888888888884E-2</v>
      </c>
    </row>
    <row r="106" spans="1:16">
      <c r="A106" s="2" t="s">
        <v>6</v>
      </c>
      <c r="B106" s="3">
        <v>0.41319444444444442</v>
      </c>
      <c r="C106" s="2" t="s">
        <v>13</v>
      </c>
      <c r="D106" s="2" t="s">
        <v>60</v>
      </c>
      <c r="E106" s="2" t="s">
        <v>76</v>
      </c>
      <c r="F106" s="3">
        <v>0.4861111111111111</v>
      </c>
      <c r="G106" s="2" t="s">
        <v>29</v>
      </c>
      <c r="H106" s="3">
        <v>0.39583333333333331</v>
      </c>
      <c r="I106" s="2" t="s">
        <v>29</v>
      </c>
      <c r="J106" s="2" t="s">
        <v>54</v>
      </c>
      <c r="K106" s="2" t="s">
        <v>30</v>
      </c>
      <c r="L106" s="3">
        <v>0.61805555555555558</v>
      </c>
      <c r="M106" s="2" t="s">
        <v>13</v>
      </c>
      <c r="N106" s="4">
        <v>105339</v>
      </c>
      <c r="O106" s="5">
        <f>IF(F106-B106&gt;=0,F106-B106,1-ABS(F106-B106))</f>
        <v>7.2916666666666685E-2</v>
      </c>
      <c r="P106" s="5">
        <f>IF(L106-H106&gt;=0,L106-H106,1-ABS(L106-H106))</f>
        <v>0.22222222222222227</v>
      </c>
    </row>
    <row r="107" spans="1:16">
      <c r="A107" s="2" t="s">
        <v>12</v>
      </c>
      <c r="B107" s="3">
        <v>0.25694444444444442</v>
      </c>
      <c r="C107" s="2" t="s">
        <v>13</v>
      </c>
      <c r="D107" s="2" t="s">
        <v>53</v>
      </c>
      <c r="E107" s="2" t="s">
        <v>56</v>
      </c>
      <c r="F107" s="3">
        <v>0.51041666666666663</v>
      </c>
      <c r="G107" s="2" t="s">
        <v>42</v>
      </c>
      <c r="H107" s="3">
        <v>0.53472222222222221</v>
      </c>
      <c r="I107" s="2" t="s">
        <v>42</v>
      </c>
      <c r="J107" s="2" t="s">
        <v>53</v>
      </c>
      <c r="K107" s="2" t="s">
        <v>58</v>
      </c>
      <c r="L107" s="3">
        <v>0.44097222222222221</v>
      </c>
      <c r="M107" s="2" t="s">
        <v>13</v>
      </c>
      <c r="N107" s="4">
        <v>106570</v>
      </c>
      <c r="O107" s="5">
        <f>IF(F107-B107&gt;=0,F107-B107,1-ABS(F107-B107))</f>
        <v>0.25347222222222221</v>
      </c>
      <c r="P107" s="5">
        <f>IF(L107-H107&gt;=0,L107-H107,1-ABS(L107-H107))</f>
        <v>0.90625</v>
      </c>
    </row>
    <row r="108" spans="1:16">
      <c r="A108" s="2" t="s">
        <v>11</v>
      </c>
      <c r="B108" s="3">
        <v>0.26041666666666702</v>
      </c>
      <c r="C108" s="2" t="s">
        <v>13</v>
      </c>
      <c r="D108" s="2" t="s">
        <v>53</v>
      </c>
      <c r="E108" s="2" t="s">
        <v>50</v>
      </c>
      <c r="F108" s="3">
        <v>0.65277777777777779</v>
      </c>
      <c r="G108" s="2" t="s">
        <v>41</v>
      </c>
      <c r="H108" s="3">
        <v>0.59027777777777779</v>
      </c>
      <c r="I108" s="2" t="s">
        <v>41</v>
      </c>
      <c r="J108" s="2" t="s">
        <v>53</v>
      </c>
      <c r="K108" s="2" t="s">
        <v>49</v>
      </c>
      <c r="L108" s="3">
        <v>0.98263888888888884</v>
      </c>
      <c r="M108" s="2" t="s">
        <v>13</v>
      </c>
      <c r="N108" s="4">
        <v>106735</v>
      </c>
      <c r="O108" s="5">
        <f>IF(F108-B108&gt;=0,F108-B108,1-ABS(F108-B108))</f>
        <v>0.39236111111111077</v>
      </c>
      <c r="P108" s="5">
        <f>IF(L108-H108&gt;=0,L108-H108,1-ABS(L108-H108))</f>
        <v>0.39236111111111105</v>
      </c>
    </row>
    <row r="109" spans="1:16">
      <c r="A109" s="2" t="s">
        <v>12</v>
      </c>
      <c r="B109" s="3">
        <v>0.80208333333333337</v>
      </c>
      <c r="C109" s="2" t="s">
        <v>13</v>
      </c>
      <c r="D109" s="2" t="s">
        <v>53</v>
      </c>
      <c r="E109" s="2" t="s">
        <v>55</v>
      </c>
      <c r="F109" s="3">
        <v>0.51041666666666663</v>
      </c>
      <c r="G109" s="2" t="s">
        <v>42</v>
      </c>
      <c r="H109" s="3">
        <v>0.53472222222222221</v>
      </c>
      <c r="I109" s="2" t="s">
        <v>42</v>
      </c>
      <c r="J109" s="2" t="s">
        <v>53</v>
      </c>
      <c r="K109" s="2" t="s">
        <v>58</v>
      </c>
      <c r="L109" s="3">
        <v>0.44097222222222221</v>
      </c>
      <c r="M109" s="2" t="s">
        <v>13</v>
      </c>
      <c r="N109" s="4">
        <v>108094</v>
      </c>
      <c r="O109" s="5">
        <f>IF(F109-B109&gt;=0,F109-B109,1-ABS(F109-B109))</f>
        <v>0.70833333333333326</v>
      </c>
      <c r="P109" s="5">
        <f>IF(L109-H109&gt;=0,L109-H109,1-ABS(L109-H109))</f>
        <v>0.90625</v>
      </c>
    </row>
    <row r="110" spans="1:16">
      <c r="A110" s="2" t="s">
        <v>4</v>
      </c>
      <c r="B110" s="3">
        <v>0.25347222222222221</v>
      </c>
      <c r="C110" s="2" t="s">
        <v>13</v>
      </c>
      <c r="D110" s="2" t="s">
        <v>54</v>
      </c>
      <c r="E110" s="2" t="s">
        <v>22</v>
      </c>
      <c r="F110" s="3">
        <v>0.45833333333333331</v>
      </c>
      <c r="G110" s="2" t="s">
        <v>26</v>
      </c>
      <c r="H110" s="3">
        <v>0.875</v>
      </c>
      <c r="I110" s="2" t="s">
        <v>26</v>
      </c>
      <c r="J110" s="2" t="s">
        <v>60</v>
      </c>
      <c r="K110" s="2" t="s">
        <v>76</v>
      </c>
      <c r="L110" s="3">
        <v>0.96527777777777779</v>
      </c>
      <c r="M110" s="2" t="s">
        <v>13</v>
      </c>
      <c r="N110" s="4">
        <v>108167</v>
      </c>
      <c r="O110" s="5">
        <f>IF(F110-B110&gt;=0,F110-B110,1-ABS(F110-B110))</f>
        <v>0.2048611111111111</v>
      </c>
      <c r="P110" s="5">
        <f>IF(L110-H110&gt;=0,L110-H110,1-ABS(L110-H110))</f>
        <v>9.027777777777779E-2</v>
      </c>
    </row>
    <row r="111" spans="1:16">
      <c r="A111" s="2" t="s">
        <v>11</v>
      </c>
      <c r="B111" s="3">
        <v>0.24652777777777779</v>
      </c>
      <c r="C111" s="2" t="s">
        <v>13</v>
      </c>
      <c r="D111" s="2" t="s">
        <v>54</v>
      </c>
      <c r="E111" s="2" t="s">
        <v>23</v>
      </c>
      <c r="F111" s="3">
        <v>0.73611111111111116</v>
      </c>
      <c r="G111" s="2" t="s">
        <v>41</v>
      </c>
      <c r="H111" s="3">
        <v>0.34375</v>
      </c>
      <c r="I111" s="2" t="s">
        <v>41</v>
      </c>
      <c r="J111" s="2" t="s">
        <v>60</v>
      </c>
      <c r="K111" s="2" t="s">
        <v>76</v>
      </c>
      <c r="L111" s="3">
        <v>0.42708333333333331</v>
      </c>
      <c r="M111" s="2" t="s">
        <v>13</v>
      </c>
      <c r="N111" s="4">
        <v>110183</v>
      </c>
      <c r="O111" s="5">
        <f>IF(F111-B111&gt;=0,F111-B111,1-ABS(F111-B111))</f>
        <v>0.48958333333333337</v>
      </c>
      <c r="P111" s="5">
        <f>IF(L111-H111&gt;=0,L111-H111,1-ABS(L111-H111))</f>
        <v>8.3333333333333315E-2</v>
      </c>
    </row>
    <row r="112" spans="1:16">
      <c r="A112" s="2" t="s">
        <v>2</v>
      </c>
      <c r="B112" s="3">
        <v>0.59027777777777779</v>
      </c>
      <c r="C112" s="2" t="s">
        <v>13</v>
      </c>
      <c r="D112" s="2" t="s">
        <v>54</v>
      </c>
      <c r="E112" s="2" t="s">
        <v>21</v>
      </c>
      <c r="F112" s="3">
        <v>0.89930555555555558</v>
      </c>
      <c r="G112" s="2" t="s">
        <v>18</v>
      </c>
      <c r="H112" s="3">
        <v>0.54166666666666663</v>
      </c>
      <c r="I112" s="2" t="s">
        <v>18</v>
      </c>
      <c r="J112" s="2" t="s">
        <v>60</v>
      </c>
      <c r="K112" s="2" t="s">
        <v>76</v>
      </c>
      <c r="L112" s="3">
        <v>0.60416666666666663</v>
      </c>
      <c r="M112" s="2" t="s">
        <v>13</v>
      </c>
      <c r="N112" s="4">
        <v>112795</v>
      </c>
      <c r="O112" s="5">
        <f>IF(F112-B112&gt;=0,F112-B112,1-ABS(F112-B112))</f>
        <v>0.30902777777777779</v>
      </c>
      <c r="P112" s="5">
        <f>IF(L112-H112&gt;=0,L112-H112,1-ABS(L112-H112))</f>
        <v>6.25E-2</v>
      </c>
    </row>
    <row r="113" spans="1:16">
      <c r="A113" s="2" t="s">
        <v>12</v>
      </c>
      <c r="B113" s="3">
        <v>0.31944444444444442</v>
      </c>
      <c r="C113" s="2" t="s">
        <v>13</v>
      </c>
      <c r="D113" s="2" t="s">
        <v>53</v>
      </c>
      <c r="E113" s="2" t="s">
        <v>48</v>
      </c>
      <c r="F113" s="3">
        <v>0.63194444444444442</v>
      </c>
      <c r="G113" s="2" t="s">
        <v>42</v>
      </c>
      <c r="H113" s="3">
        <v>0.53472222222222221</v>
      </c>
      <c r="I113" s="2" t="s">
        <v>42</v>
      </c>
      <c r="J113" s="2" t="s">
        <v>53</v>
      </c>
      <c r="K113" s="2" t="s">
        <v>58</v>
      </c>
      <c r="L113" s="3">
        <v>0.44097222222222221</v>
      </c>
      <c r="M113" s="2" t="s">
        <v>13</v>
      </c>
      <c r="N113" s="4">
        <v>112911</v>
      </c>
      <c r="O113" s="5">
        <f>IF(F113-B113&gt;=0,F113-B113,1-ABS(F113-B113))</f>
        <v>0.3125</v>
      </c>
      <c r="P113" s="5">
        <f>IF(L113-H113&gt;=0,L113-H113,1-ABS(L113-H113))</f>
        <v>0.90625</v>
      </c>
    </row>
    <row r="114" spans="1:16">
      <c r="A114" s="2" t="s">
        <v>12</v>
      </c>
      <c r="B114" s="3">
        <v>0.6875</v>
      </c>
      <c r="C114" s="2" t="s">
        <v>13</v>
      </c>
      <c r="D114" s="2" t="s">
        <v>53</v>
      </c>
      <c r="E114" s="2" t="s">
        <v>57</v>
      </c>
      <c r="F114" s="3">
        <v>0.51041666666666663</v>
      </c>
      <c r="G114" s="2" t="s">
        <v>42</v>
      </c>
      <c r="H114" s="3">
        <v>0.53472222222222221</v>
      </c>
      <c r="I114" s="2" t="s">
        <v>42</v>
      </c>
      <c r="J114" s="2" t="s">
        <v>53</v>
      </c>
      <c r="K114" s="2" t="s">
        <v>58</v>
      </c>
      <c r="L114" s="3">
        <v>0.44097222222222221</v>
      </c>
      <c r="M114" s="2" t="s">
        <v>13</v>
      </c>
      <c r="N114" s="4">
        <v>113732</v>
      </c>
      <c r="O114" s="5">
        <f>IF(F114-B114&gt;=0,F114-B114,1-ABS(F114-B114))</f>
        <v>0.82291666666666663</v>
      </c>
      <c r="P114" s="5">
        <f>IF(L114-H114&gt;=0,L114-H114,1-ABS(L114-H114))</f>
        <v>0.90625</v>
      </c>
    </row>
    <row r="115" spans="1:16">
      <c r="A115" s="2" t="s">
        <v>6</v>
      </c>
      <c r="B115" s="3">
        <v>0.35069444444444442</v>
      </c>
      <c r="C115" s="2" t="s">
        <v>13</v>
      </c>
      <c r="D115" s="2" t="s">
        <v>53</v>
      </c>
      <c r="E115" s="2" t="s">
        <v>43</v>
      </c>
      <c r="F115" s="3">
        <v>0.73263888888888884</v>
      </c>
      <c r="G115" s="2" t="s">
        <v>29</v>
      </c>
      <c r="H115" s="3">
        <v>0.76041666666666663</v>
      </c>
      <c r="I115" s="2" t="s">
        <v>29</v>
      </c>
      <c r="J115" s="2" t="s">
        <v>54</v>
      </c>
      <c r="K115" s="2" t="s">
        <v>31</v>
      </c>
      <c r="L115" s="3">
        <v>0.99305555555555558</v>
      </c>
      <c r="M115" s="2" t="s">
        <v>13</v>
      </c>
      <c r="N115" s="4">
        <v>113921</v>
      </c>
      <c r="O115" s="5">
        <f>IF(F115-B115&gt;=0,F115-B115,1-ABS(F115-B115))</f>
        <v>0.38194444444444442</v>
      </c>
      <c r="P115" s="5">
        <f>IF(L115-H115&gt;=0,L115-H115,1-ABS(L115-H115))</f>
        <v>0.23263888888888895</v>
      </c>
    </row>
    <row r="116" spans="1:16">
      <c r="A116" s="2" t="s">
        <v>5</v>
      </c>
      <c r="B116" s="3">
        <v>0.79513888888888884</v>
      </c>
      <c r="C116" s="2" t="s">
        <v>13</v>
      </c>
      <c r="D116" s="2" t="s">
        <v>60</v>
      </c>
      <c r="E116" s="2" t="s">
        <v>76</v>
      </c>
      <c r="F116" s="3">
        <v>0.85763888888888884</v>
      </c>
      <c r="G116" s="2" t="s">
        <v>27</v>
      </c>
      <c r="H116" s="3">
        <v>0.81597222222222221</v>
      </c>
      <c r="I116" s="2" t="s">
        <v>27</v>
      </c>
      <c r="J116" s="2" t="s">
        <v>54</v>
      </c>
      <c r="K116" s="2" t="s">
        <v>20</v>
      </c>
      <c r="L116" s="3">
        <v>0.93402777777777779</v>
      </c>
      <c r="M116" s="2" t="s">
        <v>13</v>
      </c>
      <c r="N116" s="4">
        <v>114286</v>
      </c>
      <c r="O116" s="5">
        <f>IF(F116-B116&gt;=0,F116-B116,1-ABS(F116-B116))</f>
        <v>6.25E-2</v>
      </c>
      <c r="P116" s="5">
        <f>IF(L116-H116&gt;=0,L116-H116,1-ABS(L116-H116))</f>
        <v>0.11805555555555558</v>
      </c>
    </row>
    <row r="117" spans="1:16">
      <c r="A117" s="2" t="s">
        <v>10</v>
      </c>
      <c r="B117" s="3">
        <v>0.46527777777777779</v>
      </c>
      <c r="C117" s="2" t="s">
        <v>13</v>
      </c>
      <c r="D117" s="2" t="s">
        <v>54</v>
      </c>
      <c r="E117" s="2" t="s">
        <v>15</v>
      </c>
      <c r="F117" s="3">
        <v>0.69791666666666663</v>
      </c>
      <c r="G117" s="2" t="s">
        <v>38</v>
      </c>
      <c r="H117" s="3">
        <v>0.73958333333333337</v>
      </c>
      <c r="I117" s="2" t="s">
        <v>38</v>
      </c>
      <c r="J117" s="2" t="s">
        <v>54</v>
      </c>
      <c r="K117" s="2" t="s">
        <v>15</v>
      </c>
      <c r="L117" s="3">
        <v>0.97916666666666663</v>
      </c>
      <c r="M117" s="2" t="s">
        <v>13</v>
      </c>
      <c r="N117" s="4">
        <v>114427</v>
      </c>
      <c r="O117" s="5">
        <f>IF(F117-B117&gt;=0,F117-B117,1-ABS(F117-B117))</f>
        <v>0.23263888888888884</v>
      </c>
      <c r="P117" s="5">
        <f>IF(L117-H117&gt;=0,L117-H117,1-ABS(L117-H117))</f>
        <v>0.23958333333333326</v>
      </c>
    </row>
    <row r="118" spans="1:16">
      <c r="A118" s="2" t="s">
        <v>8</v>
      </c>
      <c r="B118" s="3">
        <v>0.3923611111111111</v>
      </c>
      <c r="C118" s="2" t="s">
        <v>13</v>
      </c>
      <c r="D118" s="2" t="s">
        <v>54</v>
      </c>
      <c r="E118" s="2" t="s">
        <v>31</v>
      </c>
      <c r="F118" s="3">
        <v>0.58680555555555558</v>
      </c>
      <c r="G118" s="2" t="s">
        <v>19</v>
      </c>
      <c r="H118" s="3">
        <v>0.61458333333333337</v>
      </c>
      <c r="I118" s="2" t="s">
        <v>19</v>
      </c>
      <c r="J118" s="2" t="s">
        <v>53</v>
      </c>
      <c r="K118" s="2" t="s">
        <v>44</v>
      </c>
      <c r="L118" s="3">
        <v>0.98263888888888884</v>
      </c>
      <c r="M118" s="2" t="s">
        <v>13</v>
      </c>
      <c r="N118" s="4">
        <v>114700</v>
      </c>
      <c r="O118" s="5">
        <f>IF(F118-B118&gt;=0,F118-B118,1-ABS(F118-B118))</f>
        <v>0.19444444444444448</v>
      </c>
      <c r="P118" s="5">
        <f>IF(L118-H118&gt;=0,L118-H118,1-ABS(L118-H118))</f>
        <v>0.36805555555555547</v>
      </c>
    </row>
    <row r="119" spans="1:16">
      <c r="A119" s="2" t="s">
        <v>12</v>
      </c>
      <c r="B119" s="3">
        <v>0.59722222222222221</v>
      </c>
      <c r="C119" s="2" t="s">
        <v>13</v>
      </c>
      <c r="D119" s="2" t="s">
        <v>60</v>
      </c>
      <c r="E119" s="2" t="s">
        <v>76</v>
      </c>
      <c r="F119" s="3">
        <v>0.65972222222222221</v>
      </c>
      <c r="G119" s="2" t="s">
        <v>42</v>
      </c>
      <c r="H119" s="3">
        <v>0.53472222222222221</v>
      </c>
      <c r="I119" s="2" t="s">
        <v>42</v>
      </c>
      <c r="J119" s="2" t="s">
        <v>53</v>
      </c>
      <c r="K119" s="2" t="s">
        <v>58</v>
      </c>
      <c r="L119" s="3">
        <v>0.44097222222222221</v>
      </c>
      <c r="M119" s="2" t="s">
        <v>13</v>
      </c>
      <c r="N119" s="4">
        <v>115763</v>
      </c>
      <c r="O119" s="5">
        <f>IF(F119-B119&gt;=0,F119-B119,1-ABS(F119-B119))</f>
        <v>6.25E-2</v>
      </c>
      <c r="P119" s="5">
        <f>IF(L119-H119&gt;=0,L119-H119,1-ABS(L119-H119))</f>
        <v>0.90625</v>
      </c>
    </row>
    <row r="120" spans="1:16">
      <c r="A120" s="2" t="s">
        <v>4</v>
      </c>
      <c r="B120" s="3">
        <v>0.55902777777777779</v>
      </c>
      <c r="C120" s="2" t="s">
        <v>13</v>
      </c>
      <c r="D120" s="2" t="s">
        <v>54</v>
      </c>
      <c r="E120" s="2" t="s">
        <v>22</v>
      </c>
      <c r="F120" s="3">
        <v>0.73958333333333337</v>
      </c>
      <c r="G120" s="2" t="s">
        <v>26</v>
      </c>
      <c r="H120" s="3">
        <v>0.875</v>
      </c>
      <c r="I120" s="2" t="s">
        <v>26</v>
      </c>
      <c r="J120" s="2" t="s">
        <v>60</v>
      </c>
      <c r="K120" s="2" t="s">
        <v>76</v>
      </c>
      <c r="L120" s="3">
        <v>0.96527777777777779</v>
      </c>
      <c r="M120" s="2" t="s">
        <v>13</v>
      </c>
      <c r="N120" s="4">
        <v>117592</v>
      </c>
      <c r="O120" s="5">
        <f>IF(F120-B120&gt;=0,F120-B120,1-ABS(F120-B120))</f>
        <v>0.18055555555555558</v>
      </c>
      <c r="P120" s="5">
        <f>IF(L120-H120&gt;=0,L120-H120,1-ABS(L120-H120))</f>
        <v>9.027777777777779E-2</v>
      </c>
    </row>
    <row r="121" spans="1:16">
      <c r="A121" s="2" t="s">
        <v>12</v>
      </c>
      <c r="B121" s="3">
        <v>0.59722222222222221</v>
      </c>
      <c r="C121" s="2" t="s">
        <v>13</v>
      </c>
      <c r="D121" s="2" t="s">
        <v>60</v>
      </c>
      <c r="E121" s="2" t="s">
        <v>76</v>
      </c>
      <c r="F121" s="3">
        <v>0.65972222222222221</v>
      </c>
      <c r="G121" s="2" t="s">
        <v>42</v>
      </c>
      <c r="H121" s="3">
        <v>0.53472222222222221</v>
      </c>
      <c r="I121" s="2" t="s">
        <v>42</v>
      </c>
      <c r="J121" s="2" t="s">
        <v>53</v>
      </c>
      <c r="K121" s="2" t="s">
        <v>59</v>
      </c>
      <c r="L121" s="3">
        <v>0.56597222222222221</v>
      </c>
      <c r="M121" s="2" t="s">
        <v>13</v>
      </c>
      <c r="N121" s="4">
        <v>124920</v>
      </c>
      <c r="O121" s="5">
        <f>IF(F121-B121&gt;=0,F121-B121,1-ABS(F121-B121))</f>
        <v>6.25E-2</v>
      </c>
      <c r="P121" s="5">
        <f>IF(L121-H121&gt;=0,L121-H121,1-ABS(L121-H121))</f>
        <v>3.125E-2</v>
      </c>
    </row>
    <row r="122" spans="1:16">
      <c r="A122" s="2" t="s">
        <v>9</v>
      </c>
      <c r="B122" s="3">
        <v>0.36458333333333331</v>
      </c>
      <c r="C122" s="2" t="s">
        <v>13</v>
      </c>
      <c r="D122" s="2" t="s">
        <v>54</v>
      </c>
      <c r="E122" s="2" t="s">
        <v>22</v>
      </c>
      <c r="F122" s="3">
        <v>0.52430555555555558</v>
      </c>
      <c r="G122" s="2" t="s">
        <v>37</v>
      </c>
      <c r="H122" s="3">
        <v>0.25694444444444442</v>
      </c>
      <c r="I122" s="2" t="s">
        <v>37</v>
      </c>
      <c r="J122" s="2" t="s">
        <v>54</v>
      </c>
      <c r="K122" s="2" t="s">
        <v>22</v>
      </c>
      <c r="L122" s="3">
        <v>0.39930555555555558</v>
      </c>
      <c r="M122" s="2" t="s">
        <v>13</v>
      </c>
      <c r="N122" s="4">
        <v>132732</v>
      </c>
      <c r="O122" s="5">
        <f>IF(F122-B122&gt;=0,F122-B122,1-ABS(F122-B122))</f>
        <v>0.15972222222222227</v>
      </c>
      <c r="P122" s="5">
        <f>IF(L122-H122&gt;=0,L122-H122,1-ABS(L122-H122))</f>
        <v>0.14236111111111116</v>
      </c>
    </row>
    <row r="123" spans="1:16">
      <c r="A123" s="2" t="s">
        <v>12</v>
      </c>
      <c r="B123" s="3">
        <v>0.31944444444444442</v>
      </c>
      <c r="C123" s="2" t="s">
        <v>13</v>
      </c>
      <c r="D123" s="2" t="s">
        <v>53</v>
      </c>
      <c r="E123" s="2" t="s">
        <v>48</v>
      </c>
      <c r="F123" s="3">
        <v>0.63194444444444442</v>
      </c>
      <c r="G123" s="2" t="s">
        <v>42</v>
      </c>
      <c r="H123" s="3">
        <v>0.53472222222222221</v>
      </c>
      <c r="I123" s="2" t="s">
        <v>42</v>
      </c>
      <c r="J123" s="2" t="s">
        <v>54</v>
      </c>
      <c r="K123" s="2" t="s">
        <v>34</v>
      </c>
      <c r="L123" s="3">
        <v>0.97916666666666663</v>
      </c>
      <c r="M123" s="2" t="s">
        <v>13</v>
      </c>
      <c r="N123" s="4">
        <v>142911</v>
      </c>
      <c r="O123" s="5">
        <f>IF(F123-B123&gt;=0,F123-B123,1-ABS(F123-B123))</f>
        <v>0.3125</v>
      </c>
      <c r="P123" s="5">
        <f>IF(L123-H123&gt;=0,L123-H123,1-ABS(L123-H123))</f>
        <v>0.44444444444444442</v>
      </c>
    </row>
    <row r="124" spans="1:16">
      <c r="A124" s="2" t="s">
        <v>11</v>
      </c>
      <c r="B124" s="3">
        <v>0.62152777777777779</v>
      </c>
      <c r="C124" s="2" t="s">
        <v>13</v>
      </c>
      <c r="D124" s="2" t="s">
        <v>53</v>
      </c>
      <c r="E124" s="2" t="s">
        <v>51</v>
      </c>
      <c r="F124" s="3">
        <v>0.92361111111111116</v>
      </c>
      <c r="G124" s="2" t="s">
        <v>41</v>
      </c>
      <c r="H124" s="3">
        <v>0.34375</v>
      </c>
      <c r="I124" s="2" t="s">
        <v>41</v>
      </c>
      <c r="J124" s="2" t="s">
        <v>60</v>
      </c>
      <c r="K124" s="2" t="s">
        <v>76</v>
      </c>
      <c r="L124" s="3">
        <v>0.42708333333333331</v>
      </c>
      <c r="M124" s="2" t="s">
        <v>13</v>
      </c>
      <c r="N124" s="4">
        <v>143778</v>
      </c>
      <c r="O124" s="5">
        <f>IF(F124-B124&gt;=0,F124-B124,1-ABS(F124-B124))</f>
        <v>0.30208333333333337</v>
      </c>
      <c r="P124" s="5">
        <f>IF(L124-H124&gt;=0,L124-H124,1-ABS(L124-H124))</f>
        <v>8.3333333333333315E-2</v>
      </c>
    </row>
    <row r="125" spans="1:16">
      <c r="A125" s="2" t="s">
        <v>12</v>
      </c>
      <c r="B125" s="3">
        <v>0.59722222222222221</v>
      </c>
      <c r="C125" s="2" t="s">
        <v>13</v>
      </c>
      <c r="D125" s="2" t="s">
        <v>60</v>
      </c>
      <c r="E125" s="2" t="s">
        <v>76</v>
      </c>
      <c r="F125" s="3">
        <v>0.65972222222222221</v>
      </c>
      <c r="G125" s="2" t="s">
        <v>42</v>
      </c>
      <c r="H125" s="3">
        <v>0.53472222222222221</v>
      </c>
      <c r="I125" s="2" t="s">
        <v>42</v>
      </c>
      <c r="J125" s="2" t="s">
        <v>54</v>
      </c>
      <c r="K125" s="2" t="s">
        <v>34</v>
      </c>
      <c r="L125" s="3">
        <v>0.97916666666666663</v>
      </c>
      <c r="M125" s="2" t="s">
        <v>13</v>
      </c>
      <c r="N125" s="4">
        <v>145749</v>
      </c>
      <c r="O125" s="5">
        <f>IF(F125-B125&gt;=0,F125-B125,1-ABS(F125-B125))</f>
        <v>6.25E-2</v>
      </c>
      <c r="P125" s="5">
        <f>IF(L125-H125&gt;=0,L125-H125,1-ABS(L125-H125))</f>
        <v>0.44444444444444442</v>
      </c>
    </row>
    <row r="126" spans="1:16">
      <c r="A126" s="2" t="s">
        <v>12</v>
      </c>
      <c r="B126" s="3">
        <v>0.26041666666666669</v>
      </c>
      <c r="C126" s="2" t="s">
        <v>13</v>
      </c>
      <c r="D126" s="2" t="s">
        <v>53</v>
      </c>
      <c r="E126" s="2" t="s">
        <v>50</v>
      </c>
      <c r="F126" s="3">
        <v>0.63194444444444442</v>
      </c>
      <c r="G126" s="2" t="s">
        <v>42</v>
      </c>
      <c r="H126" s="3">
        <v>0.53472222222222221</v>
      </c>
      <c r="I126" s="2" t="s">
        <v>42</v>
      </c>
      <c r="J126" s="2" t="s">
        <v>54</v>
      </c>
      <c r="K126" s="2" t="s">
        <v>34</v>
      </c>
      <c r="L126" s="3">
        <v>0.97916666666666663</v>
      </c>
      <c r="M126" s="2" t="s">
        <v>13</v>
      </c>
      <c r="N126" s="4">
        <v>149926</v>
      </c>
      <c r="O126" s="5">
        <f>IF(F126-B126&gt;=0,F126-B126,1-ABS(F126-B126))</f>
        <v>0.37152777777777773</v>
      </c>
      <c r="P126" s="5">
        <f>IF(L126-H126&gt;=0,L126-H126,1-ABS(L126-H126))</f>
        <v>0.44444444444444442</v>
      </c>
    </row>
    <row r="127" spans="1:16">
      <c r="A127" s="2" t="s">
        <v>6</v>
      </c>
      <c r="B127" s="3">
        <v>0.41319444444444442</v>
      </c>
      <c r="C127" s="2" t="s">
        <v>13</v>
      </c>
      <c r="D127" s="2" t="s">
        <v>60</v>
      </c>
      <c r="E127" s="2" t="s">
        <v>76</v>
      </c>
      <c r="F127" s="3">
        <v>0.4861111111111111</v>
      </c>
      <c r="G127" s="2" t="s">
        <v>29</v>
      </c>
      <c r="H127" s="3">
        <v>0.76041666666666663</v>
      </c>
      <c r="I127" s="2" t="s">
        <v>29</v>
      </c>
      <c r="J127" s="2" t="s">
        <v>54</v>
      </c>
      <c r="K127" s="2" t="s">
        <v>31</v>
      </c>
      <c r="L127" s="3">
        <v>0.99305555555555558</v>
      </c>
      <c r="M127" s="2" t="s">
        <v>13</v>
      </c>
      <c r="N127" s="4">
        <v>150201</v>
      </c>
      <c r="O127" s="5">
        <f>IF(F127-B127&gt;=0,F127-B127,1-ABS(F127-B127))</f>
        <v>7.2916666666666685E-2</v>
      </c>
      <c r="P127" s="5">
        <f>IF(L127-H127&gt;=0,L127-H127,1-ABS(L127-H127))</f>
        <v>0.23263888888888895</v>
      </c>
    </row>
    <row r="128" spans="1:16">
      <c r="A128" s="2" t="s">
        <v>2</v>
      </c>
      <c r="B128" s="3">
        <v>0.4201388888888889</v>
      </c>
      <c r="C128" s="2" t="s">
        <v>13</v>
      </c>
      <c r="D128" s="2" t="s">
        <v>60</v>
      </c>
      <c r="E128" s="2" t="s">
        <v>76</v>
      </c>
      <c r="F128" s="3">
        <v>0.4826388888888889</v>
      </c>
      <c r="G128" s="2" t="s">
        <v>18</v>
      </c>
      <c r="H128" s="3">
        <v>0.75</v>
      </c>
      <c r="I128" s="2" t="s">
        <v>18</v>
      </c>
      <c r="J128" s="2" t="s">
        <v>54</v>
      </c>
      <c r="K128" s="2" t="s">
        <v>22</v>
      </c>
      <c r="L128" s="3">
        <v>0.98263888888888884</v>
      </c>
      <c r="M128" s="2" t="s">
        <v>13</v>
      </c>
      <c r="N128" s="4">
        <v>152138</v>
      </c>
      <c r="O128" s="5">
        <f>IF(F128-B128&gt;=0,F128-B128,1-ABS(F128-B128))</f>
        <v>6.25E-2</v>
      </c>
      <c r="P128" s="5">
        <f>IF(L128-H128&gt;=0,L128-H128,1-ABS(L128-H128))</f>
        <v>0.23263888888888884</v>
      </c>
    </row>
    <row r="129" spans="1:16">
      <c r="A129" s="2" t="s">
        <v>6</v>
      </c>
      <c r="B129" s="3">
        <v>0.41319444444444442</v>
      </c>
      <c r="C129" s="2" t="s">
        <v>13</v>
      </c>
      <c r="D129" s="2" t="s">
        <v>60</v>
      </c>
      <c r="E129" s="2" t="s">
        <v>76</v>
      </c>
      <c r="F129" s="3">
        <v>0.4861111111111111</v>
      </c>
      <c r="G129" s="2" t="s">
        <v>29</v>
      </c>
      <c r="H129" s="3">
        <v>0.60069444444444442</v>
      </c>
      <c r="I129" s="2" t="s">
        <v>29</v>
      </c>
      <c r="J129" s="2" t="s">
        <v>54</v>
      </c>
      <c r="K129" s="2" t="s">
        <v>32</v>
      </c>
      <c r="L129" s="3">
        <v>0.80208333333333337</v>
      </c>
      <c r="M129" s="2" t="s">
        <v>13</v>
      </c>
      <c r="N129" s="4">
        <v>153276</v>
      </c>
      <c r="O129" s="5">
        <f>IF(F129-B129&gt;=0,F129-B129,1-ABS(F129-B129))</f>
        <v>7.2916666666666685E-2</v>
      </c>
      <c r="P129" s="5">
        <f>IF(L129-H129&gt;=0,L129-H129,1-ABS(L129-H129))</f>
        <v>0.20138888888888895</v>
      </c>
    </row>
    <row r="130" spans="1:16">
      <c r="A130" s="2" t="s">
        <v>12</v>
      </c>
      <c r="B130" s="3">
        <v>0.26041666666666669</v>
      </c>
      <c r="C130" s="2" t="s">
        <v>13</v>
      </c>
      <c r="D130" s="2" t="s">
        <v>53</v>
      </c>
      <c r="E130" s="2" t="s">
        <v>50</v>
      </c>
      <c r="F130" s="3">
        <v>0.63194444444444442</v>
      </c>
      <c r="G130" s="2" t="s">
        <v>42</v>
      </c>
      <c r="H130" s="3">
        <v>0.53472222222222221</v>
      </c>
      <c r="I130" s="2" t="s">
        <v>42</v>
      </c>
      <c r="J130" s="2" t="s">
        <v>54</v>
      </c>
      <c r="K130" s="2" t="s">
        <v>34</v>
      </c>
      <c r="L130" s="3">
        <v>0.97916666666666663</v>
      </c>
      <c r="M130" s="2" t="s">
        <v>13</v>
      </c>
      <c r="N130" s="4">
        <v>153468</v>
      </c>
      <c r="O130" s="5">
        <f>IF(F130-B130&gt;=0,F130-B130,1-ABS(F130-B130))</f>
        <v>0.37152777777777773</v>
      </c>
      <c r="P130" s="5">
        <f>IF(L130-H130&gt;=0,L130-H130,1-ABS(L130-H130))</f>
        <v>0.44444444444444442</v>
      </c>
    </row>
    <row r="131" spans="1:16">
      <c r="A131" s="2" t="s">
        <v>11</v>
      </c>
      <c r="B131" s="3">
        <v>0.63194444444444442</v>
      </c>
      <c r="C131" s="2" t="s">
        <v>13</v>
      </c>
      <c r="D131" s="2" t="s">
        <v>53</v>
      </c>
      <c r="E131" s="2" t="s">
        <v>52</v>
      </c>
      <c r="F131" s="3">
        <v>0.92361111111111116</v>
      </c>
      <c r="G131" s="2" t="s">
        <v>41</v>
      </c>
      <c r="H131" s="3">
        <v>0.34375</v>
      </c>
      <c r="I131" s="2" t="s">
        <v>41</v>
      </c>
      <c r="J131" s="2" t="s">
        <v>60</v>
      </c>
      <c r="K131" s="2" t="s">
        <v>76</v>
      </c>
      <c r="L131" s="3">
        <v>0.42708333333333331</v>
      </c>
      <c r="M131" s="2" t="s">
        <v>13</v>
      </c>
      <c r="N131" s="4">
        <v>159768</v>
      </c>
      <c r="O131" s="5">
        <f>IF(F131-B131&gt;=0,F131-B131,1-ABS(F131-B131))</f>
        <v>0.29166666666666674</v>
      </c>
      <c r="P131" s="5">
        <f>IF(L131-H131&gt;=0,L131-H131,1-ABS(L131-H131))</f>
        <v>8.3333333333333315E-2</v>
      </c>
    </row>
    <row r="132" spans="1:16">
      <c r="A132" s="2" t="s">
        <v>7</v>
      </c>
      <c r="B132" s="3">
        <v>0.39583333333333331</v>
      </c>
      <c r="C132" s="2" t="s">
        <v>13</v>
      </c>
      <c r="D132" s="2" t="s">
        <v>54</v>
      </c>
      <c r="E132" s="2" t="s">
        <v>28</v>
      </c>
      <c r="F132" s="3">
        <v>0.58333333333333337</v>
      </c>
      <c r="G132" s="2" t="s">
        <v>36</v>
      </c>
      <c r="H132" s="3">
        <v>0.74652777777777779</v>
      </c>
      <c r="I132" s="2" t="s">
        <v>36</v>
      </c>
      <c r="J132" s="2" t="s">
        <v>54</v>
      </c>
      <c r="K132" s="2" t="s">
        <v>22</v>
      </c>
      <c r="L132" s="3">
        <v>0.98263888888888884</v>
      </c>
      <c r="M132" s="2" t="s">
        <v>13</v>
      </c>
      <c r="N132" s="4">
        <v>160618</v>
      </c>
      <c r="O132" s="5">
        <f>IF(F132-B132&gt;=0,F132-B132,1-ABS(F132-B132))</f>
        <v>0.18750000000000006</v>
      </c>
      <c r="P132" s="5">
        <f>IF(L132-H132&gt;=0,L132-H132,1-ABS(L132-H132))</f>
        <v>0.23611111111111105</v>
      </c>
    </row>
    <row r="133" spans="1:16">
      <c r="A133" s="2" t="s">
        <v>2</v>
      </c>
      <c r="B133" s="3">
        <v>0.46875</v>
      </c>
      <c r="C133" s="2" t="s">
        <v>13</v>
      </c>
      <c r="D133" s="2" t="s">
        <v>54</v>
      </c>
      <c r="E133" s="2" t="s">
        <v>20</v>
      </c>
      <c r="F133" s="3">
        <v>0.59375</v>
      </c>
      <c r="G133" s="2" t="s">
        <v>18</v>
      </c>
      <c r="H133" s="3">
        <v>0.54166666666666663</v>
      </c>
      <c r="I133" s="2" t="s">
        <v>18</v>
      </c>
      <c r="J133" s="2" t="s">
        <v>60</v>
      </c>
      <c r="K133" s="2" t="s">
        <v>76</v>
      </c>
      <c r="L133" s="3">
        <v>0.60416666666666663</v>
      </c>
      <c r="M133" s="2" t="s">
        <v>13</v>
      </c>
      <c r="N133" s="4">
        <v>174771</v>
      </c>
      <c r="O133" s="5">
        <f>IF(F133-B133&gt;=0,F133-B133,1-ABS(F133-B133))</f>
        <v>0.125</v>
      </c>
      <c r="P133" s="5">
        <f>IF(L133-H133&gt;=0,L133-H133,1-ABS(L133-H133))</f>
        <v>6.25E-2</v>
      </c>
    </row>
    <row r="134" spans="1:16">
      <c r="A134" s="2" t="s">
        <v>9</v>
      </c>
      <c r="B134" s="3">
        <v>0.35069444444444442</v>
      </c>
      <c r="C134" s="2" t="s">
        <v>13</v>
      </c>
      <c r="D134" s="2" t="s">
        <v>54</v>
      </c>
      <c r="E134" s="2" t="s">
        <v>22</v>
      </c>
      <c r="F134" s="3">
        <v>0.52430555555555558</v>
      </c>
      <c r="G134" s="2" t="s">
        <v>37</v>
      </c>
      <c r="H134" s="3">
        <v>0.55208333333333337</v>
      </c>
      <c r="I134" s="2" t="s">
        <v>37</v>
      </c>
      <c r="J134" s="2" t="s">
        <v>54</v>
      </c>
      <c r="K134" s="2" t="s">
        <v>22</v>
      </c>
      <c r="L134" s="3">
        <v>0.70138888888888884</v>
      </c>
      <c r="M134" s="2" t="s">
        <v>13</v>
      </c>
      <c r="N134" s="4">
        <v>187663</v>
      </c>
      <c r="O134" s="5">
        <f>IF(F134-B134&gt;=0,F134-B134,1-ABS(F134-B134))</f>
        <v>0.17361111111111116</v>
      </c>
      <c r="P134" s="5">
        <f>IF(L134-H134&gt;=0,L134-H134,1-ABS(L134-H134))</f>
        <v>0.14930555555555547</v>
      </c>
    </row>
    <row r="135" spans="1:16">
      <c r="A135" s="2" t="s">
        <v>9</v>
      </c>
      <c r="B135" s="3">
        <v>0.46527777777777779</v>
      </c>
      <c r="C135" s="2" t="s">
        <v>13</v>
      </c>
      <c r="D135" s="2" t="s">
        <v>60</v>
      </c>
      <c r="E135" s="2" t="s">
        <v>76</v>
      </c>
      <c r="F135" s="3">
        <v>0.54166666666666663</v>
      </c>
      <c r="G135" s="2" t="s">
        <v>37</v>
      </c>
      <c r="H135" s="3">
        <v>0.55208333333333337</v>
      </c>
      <c r="I135" s="2" t="s">
        <v>37</v>
      </c>
      <c r="J135" s="2" t="s">
        <v>54</v>
      </c>
      <c r="K135" s="2" t="s">
        <v>22</v>
      </c>
      <c r="L135" s="3">
        <v>0.70138888888888884</v>
      </c>
      <c r="M135" s="2" t="s">
        <v>13</v>
      </c>
      <c r="N135" s="4">
        <v>236607</v>
      </c>
      <c r="O135" s="5">
        <f>IF(F135-B135&gt;=0,F135-B135,1-ABS(F135-B135))</f>
        <v>7.638888888888884E-2</v>
      </c>
      <c r="P135" s="5">
        <f>IF(L135-H135&gt;=0,L135-H135,1-ABS(L135-H135))</f>
        <v>0.14930555555555547</v>
      </c>
    </row>
    <row r="136" spans="1:16">
      <c r="A136" s="2" t="s">
        <v>7</v>
      </c>
      <c r="B136" s="3">
        <v>0.39583333333333331</v>
      </c>
      <c r="C136" s="2" t="s">
        <v>13</v>
      </c>
      <c r="D136" s="2" t="s">
        <v>54</v>
      </c>
      <c r="E136" s="2" t="s">
        <v>28</v>
      </c>
      <c r="F136" s="3">
        <v>0.58333333333333337</v>
      </c>
      <c r="G136" s="2" t="s">
        <v>36</v>
      </c>
      <c r="H136" s="3">
        <v>0.61805555555555558</v>
      </c>
      <c r="I136" s="2" t="s">
        <v>36</v>
      </c>
      <c r="J136" s="2" t="s">
        <v>54</v>
      </c>
      <c r="K136" s="2" t="s">
        <v>28</v>
      </c>
      <c r="L136" s="3">
        <v>0.80208333333333337</v>
      </c>
      <c r="M136" s="2" t="s">
        <v>13</v>
      </c>
      <c r="N136" s="4">
        <v>251177</v>
      </c>
      <c r="O136" s="5">
        <f>IF(F136-B136&gt;=0,F136-B136,1-ABS(F136-B136))</f>
        <v>0.18750000000000006</v>
      </c>
      <c r="P136" s="5">
        <f>IF(L136-H136&gt;=0,L136-H136,1-ABS(L136-H136))</f>
        <v>0.18402777777777779</v>
      </c>
    </row>
    <row r="137" spans="1:16">
      <c r="A137" s="2" t="s">
        <v>10</v>
      </c>
      <c r="B137" s="3">
        <v>0.67013888888888884</v>
      </c>
      <c r="C137" s="2" t="s">
        <v>13</v>
      </c>
      <c r="D137" s="2" t="s">
        <v>53</v>
      </c>
      <c r="E137" s="2" t="s">
        <v>47</v>
      </c>
      <c r="F137" s="3">
        <v>0.65625</v>
      </c>
      <c r="G137" s="2" t="s">
        <v>38</v>
      </c>
      <c r="H137" s="3">
        <v>0.76736111111111116</v>
      </c>
      <c r="I137" s="2" t="s">
        <v>38</v>
      </c>
      <c r="J137" s="2" t="s">
        <v>54</v>
      </c>
      <c r="K137" s="2" t="s">
        <v>22</v>
      </c>
      <c r="L137" s="3">
        <v>0.98263888888888884</v>
      </c>
      <c r="M137" s="2" t="s">
        <v>13</v>
      </c>
      <c r="N137" s="4">
        <v>763752</v>
      </c>
      <c r="O137" s="5">
        <f>IF(F137-B137&gt;=0,F137-B137,1-ABS(F137-B137))</f>
        <v>0.98611111111111116</v>
      </c>
      <c r="P137" s="5">
        <f>IF(L137-H137&gt;=0,L137-H137,1-ABS(L137-H137))</f>
        <v>0.21527777777777768</v>
      </c>
    </row>
    <row r="138" spans="1:16">
      <c r="A138" s="2" t="s">
        <v>10</v>
      </c>
      <c r="B138" s="3">
        <v>0.67013888888888884</v>
      </c>
      <c r="C138" s="2" t="s">
        <v>13</v>
      </c>
      <c r="D138" s="2" t="s">
        <v>53</v>
      </c>
      <c r="E138" s="2" t="s">
        <v>47</v>
      </c>
      <c r="F138" s="3">
        <v>0.65625</v>
      </c>
      <c r="G138" s="2" t="s">
        <v>38</v>
      </c>
      <c r="H138" s="3">
        <v>0.4375</v>
      </c>
      <c r="I138" s="2" t="s">
        <v>38</v>
      </c>
      <c r="J138" s="2" t="s">
        <v>54</v>
      </c>
      <c r="K138" s="2" t="s">
        <v>20</v>
      </c>
      <c r="L138" s="3">
        <v>0.60416666666666663</v>
      </c>
      <c r="M138" s="2" t="s">
        <v>13</v>
      </c>
      <c r="N138" s="4">
        <v>781299</v>
      </c>
      <c r="O138" s="5">
        <f>IF(F138-B138&gt;=0,F138-B138,1-ABS(F138-B138))</f>
        <v>0.98611111111111116</v>
      </c>
      <c r="P138" s="5">
        <f>IF(L138-H138&gt;=0,L138-H138,1-ABS(L138-H138))</f>
        <v>0.16666666666666663</v>
      </c>
    </row>
    <row r="139" spans="1:16">
      <c r="A139" s="2" t="s">
        <v>10</v>
      </c>
      <c r="B139" s="3">
        <v>0.67013888888888884</v>
      </c>
      <c r="C139" s="2" t="s">
        <v>13</v>
      </c>
      <c r="D139" s="2" t="s">
        <v>53</v>
      </c>
      <c r="E139" s="2" t="s">
        <v>47</v>
      </c>
      <c r="F139" s="3">
        <v>0.65625</v>
      </c>
      <c r="G139" s="2" t="s">
        <v>38</v>
      </c>
      <c r="H139" s="3">
        <v>0.59027777777777779</v>
      </c>
      <c r="I139" s="2" t="s">
        <v>38</v>
      </c>
      <c r="J139" s="2" t="s">
        <v>54</v>
      </c>
      <c r="K139" s="2" t="s">
        <v>40</v>
      </c>
      <c r="L139" s="3">
        <v>0.8125</v>
      </c>
      <c r="M139" s="2" t="s">
        <v>13</v>
      </c>
      <c r="N139" s="4">
        <v>803016</v>
      </c>
      <c r="O139" s="5">
        <f>IF(F139-B139&gt;=0,F139-B139,1-ABS(F139-B139))</f>
        <v>0.98611111111111116</v>
      </c>
      <c r="P139" s="5">
        <f>IF(L139-H139&gt;=0,L139-H139,1-ABS(L139-H139))</f>
        <v>0.22222222222222221</v>
      </c>
    </row>
    <row r="143" spans="1:16">
      <c r="F143" s="9"/>
      <c r="H143" s="9"/>
      <c r="L143" s="9"/>
      <c r="N143" s="8"/>
      <c r="O143" s="10"/>
      <c r="P143" s="10"/>
    </row>
    <row r="144" spans="1:16">
      <c r="F144" s="9"/>
      <c r="H144" s="9"/>
      <c r="L144" s="9"/>
      <c r="N144" s="8"/>
      <c r="O144" s="10"/>
      <c r="P144" s="10"/>
    </row>
    <row r="145" spans="6:16">
      <c r="F145" s="9"/>
      <c r="H145" s="9"/>
      <c r="L145" s="9"/>
      <c r="N145" s="8"/>
      <c r="O145" s="10"/>
      <c r="P145" s="10"/>
    </row>
    <row r="146" spans="6:16">
      <c r="F146" s="9"/>
      <c r="H146" s="9"/>
      <c r="L146" s="9"/>
      <c r="N146" s="8"/>
      <c r="O146" s="10"/>
      <c r="P146" s="10"/>
    </row>
    <row r="147" spans="6:16">
      <c r="F147" s="9"/>
      <c r="H147" s="9"/>
      <c r="L147" s="9"/>
      <c r="N147" s="8"/>
      <c r="O147" s="10"/>
      <c r="P147" s="10"/>
    </row>
    <row r="148" spans="6:16">
      <c r="F148" s="9"/>
      <c r="H148" s="9"/>
      <c r="L148" s="9"/>
      <c r="N148" s="8"/>
      <c r="O148" s="10"/>
      <c r="P148" s="10"/>
    </row>
    <row r="149" spans="6:16">
      <c r="F149" s="9"/>
      <c r="H149" s="9"/>
      <c r="L149" s="9"/>
      <c r="N149" s="8"/>
      <c r="O149" s="10"/>
      <c r="P149" s="10"/>
    </row>
    <row r="150" spans="6:16">
      <c r="F150" s="9"/>
      <c r="H150" s="9"/>
      <c r="L150" s="9"/>
      <c r="N150" s="8"/>
      <c r="O150" s="10"/>
      <c r="P150" s="10"/>
    </row>
    <row r="151" spans="6:16">
      <c r="F151" s="9"/>
      <c r="H151" s="9"/>
      <c r="L151" s="9"/>
      <c r="N151" s="8"/>
      <c r="O151" s="10"/>
      <c r="P151" s="10"/>
    </row>
    <row r="152" spans="6:16">
      <c r="F152" s="9"/>
      <c r="H152" s="9"/>
      <c r="L152" s="9"/>
      <c r="N152" s="8"/>
      <c r="O152" s="10"/>
      <c r="P152" s="10"/>
    </row>
  </sheetData>
  <autoFilter ref="A1:P139" xr:uid="{FA6D8902-B549-46DB-9DAF-FF52E946831E}">
    <sortState ref="A2:P139">
      <sortCondition ref="N1:N139"/>
    </sortState>
  </autoFilter>
  <conditionalFormatting sqref="N2:N139">
    <cfRule type="dataBar" priority="10">
      <dataBar>
        <cfvo type="min"/>
        <cfvo type="max"/>
        <color rgb="FF52D6C6"/>
      </dataBar>
      <extLst>
        <ext xmlns:x14="http://schemas.microsoft.com/office/spreadsheetml/2009/9/main" uri="{B025F937-C7B1-47D3-B67F-A62EFF666E3E}">
          <x14:id>{61B0BC5C-3765-4807-8751-3C27DD6E7BB6}</x14:id>
        </ext>
      </extLst>
    </cfRule>
    <cfRule type="colorScale" priority="9">
      <colorScale>
        <cfvo type="min"/>
        <cfvo type="percentile" val="50"/>
        <cfvo type="max"/>
        <color theme="8" tint="-0.249977111117893"/>
        <color theme="9" tint="0.39997558519241921"/>
        <color rgb="FFFFFF00"/>
      </colorScale>
    </cfRule>
  </conditionalFormatting>
  <conditionalFormatting sqref="O2:O139">
    <cfRule type="top10" dxfId="20" priority="6" percent="1" bottom="1" rank="10"/>
  </conditionalFormatting>
  <conditionalFormatting sqref="A2:P139">
    <cfRule type="expression" dxfId="19" priority="4">
      <formula>$G2&lt;&gt;$I2</formula>
    </cfRule>
  </conditionalFormatting>
  <conditionalFormatting sqref="D2:D139">
    <cfRule type="expression" dxfId="13" priority="3">
      <formula>D2="1 átszállás"</formula>
    </cfRule>
    <cfRule type="expression" dxfId="14" priority="2">
      <formula>D2="2 átszállás"</formula>
    </cfRule>
    <cfRule type="expression" dxfId="12" priority="1">
      <formula>D2="Közvetlen járat"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B0BC5C-3765-4807-8751-3C27DD6E7BB6}">
            <x14:dataBar minLength="0" maxLength="100" border="1" negativeBarBorderColorSameAsPositive="0">
              <x14:cfvo type="autoMin"/>
              <x14:cfvo type="autoMax"/>
              <x14:borderColor rgb="FFD65284"/>
              <x14:negativeFillColor rgb="FFFF0000"/>
              <x14:negativeBorderColor rgb="FFFF0000"/>
              <x14:axisColor rgb="FF000000"/>
            </x14:dataBar>
          </x14:cfRule>
          <xm:sqref>N2:N139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0DC34-1012-4E30-8ED3-6961E5F58462}">
  <dimension ref="A1:I50"/>
  <sheetViews>
    <sheetView workbookViewId="0">
      <selection activeCell="I3" sqref="I3"/>
    </sheetView>
  </sheetViews>
  <sheetFormatPr defaultRowHeight="14.25"/>
  <cols>
    <col min="1" max="1" width="27.75" style="11" bestFit="1" customWidth="1"/>
    <col min="2" max="2" width="20" style="11" bestFit="1" customWidth="1"/>
    <col min="3" max="3" width="12.875" style="11" bestFit="1" customWidth="1"/>
    <col min="4" max="4" width="11" style="11" bestFit="1" customWidth="1"/>
    <col min="5" max="5" width="11.25" style="11" customWidth="1"/>
    <col min="6" max="6" width="11.75" style="11" bestFit="1" customWidth="1"/>
    <col min="7" max="7" width="21.75" style="11" bestFit="1" customWidth="1"/>
    <col min="8" max="8" width="9" style="11"/>
    <col min="9" max="9" width="21.875" style="11" bestFit="1" customWidth="1"/>
    <col min="10" max="10" width="23" style="11" bestFit="1" customWidth="1"/>
    <col min="11" max="11" width="28.75" style="11" customWidth="1"/>
    <col min="12" max="16384" width="9" style="11"/>
  </cols>
  <sheetData>
    <row r="1" spans="1:9" ht="28.5">
      <c r="A1" s="15" t="s">
        <v>132</v>
      </c>
      <c r="B1" s="15" t="s">
        <v>136</v>
      </c>
      <c r="C1" s="15" t="s">
        <v>133</v>
      </c>
      <c r="D1" s="15" t="s">
        <v>134</v>
      </c>
      <c r="E1" s="15" t="s">
        <v>135</v>
      </c>
      <c r="F1" s="15" t="s">
        <v>137</v>
      </c>
      <c r="G1" s="15" t="s">
        <v>138</v>
      </c>
    </row>
    <row r="2" spans="1:9">
      <c r="A2" s="12" t="s">
        <v>83</v>
      </c>
      <c r="B2" s="12" t="s">
        <v>0</v>
      </c>
      <c r="C2" s="13">
        <v>1.7</v>
      </c>
      <c r="D2" s="12">
        <v>4</v>
      </c>
      <c r="E2" s="12">
        <v>3.7</v>
      </c>
      <c r="F2" s="12">
        <v>6</v>
      </c>
      <c r="G2" s="12" t="s">
        <v>139</v>
      </c>
      <c r="H2" s="11">
        <f>_xlfn.MINIFS(Repülőjáratok!$N$2:$N$139,Repülőjáratok!$A$2:$A$139,B2)</f>
        <v>46587</v>
      </c>
      <c r="I2" s="14">
        <f>COUNTIF(Repülőjáratok!$A$2:$A$139,B2)</f>
        <v>11</v>
      </c>
    </row>
    <row r="3" spans="1:9">
      <c r="A3" s="12" t="s">
        <v>84</v>
      </c>
      <c r="B3" s="12" t="s">
        <v>0</v>
      </c>
      <c r="C3" s="13">
        <v>2.2999999999999998</v>
      </c>
      <c r="D3" s="12">
        <v>3</v>
      </c>
      <c r="E3" s="12">
        <v>3.7</v>
      </c>
      <c r="F3" s="12">
        <v>53</v>
      </c>
      <c r="G3" s="12" t="s">
        <v>139</v>
      </c>
      <c r="I3" s="14"/>
    </row>
    <row r="4" spans="1:9">
      <c r="A4" s="12" t="s">
        <v>85</v>
      </c>
      <c r="B4" s="12" t="s">
        <v>0</v>
      </c>
      <c r="C4" s="13">
        <v>1.6</v>
      </c>
      <c r="D4" s="12">
        <v>4</v>
      </c>
      <c r="E4" s="12">
        <v>4.4000000000000004</v>
      </c>
      <c r="F4" s="12">
        <v>128</v>
      </c>
      <c r="G4" s="12" t="s">
        <v>139</v>
      </c>
      <c r="I4" s="14"/>
    </row>
    <row r="5" spans="1:9">
      <c r="A5" s="12" t="s">
        <v>86</v>
      </c>
      <c r="B5" s="12" t="s">
        <v>0</v>
      </c>
      <c r="C5" s="13">
        <v>0.4</v>
      </c>
      <c r="D5" s="12">
        <v>4</v>
      </c>
      <c r="E5" s="12">
        <v>4.5</v>
      </c>
      <c r="F5" s="12">
        <v>174</v>
      </c>
      <c r="G5" s="12" t="s">
        <v>139</v>
      </c>
      <c r="I5" s="14"/>
    </row>
    <row r="6" spans="1:9">
      <c r="A6" s="12" t="s">
        <v>87</v>
      </c>
      <c r="B6" s="12" t="s">
        <v>0</v>
      </c>
      <c r="C6" s="13">
        <v>3.3</v>
      </c>
      <c r="D6" s="12">
        <v>4</v>
      </c>
      <c r="E6" s="12">
        <v>4</v>
      </c>
      <c r="F6" s="12">
        <v>22</v>
      </c>
      <c r="G6" s="12" t="s">
        <v>139</v>
      </c>
      <c r="I6" s="14"/>
    </row>
    <row r="7" spans="1:9">
      <c r="A7" s="12" t="s">
        <v>88</v>
      </c>
      <c r="B7" s="12" t="s">
        <v>77</v>
      </c>
      <c r="C7" s="13">
        <v>8</v>
      </c>
      <c r="D7" s="12">
        <v>3</v>
      </c>
      <c r="E7" s="12">
        <v>4.0999999999999996</v>
      </c>
      <c r="F7" s="12">
        <v>131</v>
      </c>
      <c r="G7" s="12" t="s">
        <v>139</v>
      </c>
      <c r="I7" s="14"/>
    </row>
    <row r="8" spans="1:9">
      <c r="A8" s="12" t="s">
        <v>89</v>
      </c>
      <c r="B8" s="12" t="s">
        <v>78</v>
      </c>
      <c r="C8" s="13">
        <v>5.6</v>
      </c>
      <c r="D8" s="12">
        <v>3</v>
      </c>
      <c r="E8" s="12">
        <v>4.5</v>
      </c>
      <c r="F8" s="12">
        <v>6</v>
      </c>
      <c r="G8" s="12" t="s">
        <v>139</v>
      </c>
      <c r="I8" s="14"/>
    </row>
    <row r="9" spans="1:9">
      <c r="A9" s="12" t="s">
        <v>90</v>
      </c>
      <c r="B9" s="12" t="s">
        <v>0</v>
      </c>
      <c r="C9" s="13">
        <v>1.5</v>
      </c>
      <c r="D9" s="12">
        <v>3</v>
      </c>
      <c r="E9" s="12">
        <v>4</v>
      </c>
      <c r="F9" s="12">
        <v>73</v>
      </c>
      <c r="G9" s="12" t="s">
        <v>139</v>
      </c>
      <c r="I9" s="14"/>
    </row>
    <row r="10" spans="1:9">
      <c r="A10" s="12" t="s">
        <v>91</v>
      </c>
      <c r="B10" s="12" t="s">
        <v>0</v>
      </c>
      <c r="C10" s="13">
        <v>1.2</v>
      </c>
      <c r="D10" s="12">
        <v>4</v>
      </c>
      <c r="E10" s="12">
        <v>3.4</v>
      </c>
      <c r="F10" s="12">
        <v>150</v>
      </c>
      <c r="G10" s="12" t="s">
        <v>139</v>
      </c>
      <c r="I10" s="14"/>
    </row>
    <row r="11" spans="1:9">
      <c r="A11" s="12" t="s">
        <v>92</v>
      </c>
      <c r="B11" s="12" t="s">
        <v>0</v>
      </c>
      <c r="C11" s="13">
        <v>3.2</v>
      </c>
      <c r="D11" s="12">
        <v>4</v>
      </c>
      <c r="E11" s="12">
        <v>4</v>
      </c>
      <c r="F11" s="12">
        <v>41</v>
      </c>
      <c r="G11" s="12" t="s">
        <v>139</v>
      </c>
      <c r="I11" s="14"/>
    </row>
    <row r="12" spans="1:9">
      <c r="A12" s="12" t="s">
        <v>93</v>
      </c>
      <c r="B12" s="12" t="s">
        <v>0</v>
      </c>
      <c r="C12" s="13">
        <v>2.6</v>
      </c>
      <c r="D12" s="12">
        <v>4</v>
      </c>
      <c r="E12" s="12">
        <v>3.7</v>
      </c>
      <c r="F12" s="12">
        <v>36</v>
      </c>
      <c r="G12" s="12" t="s">
        <v>139</v>
      </c>
      <c r="I12" s="14"/>
    </row>
    <row r="13" spans="1:9">
      <c r="A13" s="12" t="s">
        <v>94</v>
      </c>
      <c r="B13" s="12" t="s">
        <v>0</v>
      </c>
      <c r="C13" s="13">
        <v>5.0999999999999996</v>
      </c>
      <c r="D13" s="12">
        <v>4</v>
      </c>
      <c r="E13" s="12">
        <v>2.7</v>
      </c>
      <c r="F13" s="12">
        <v>7</v>
      </c>
      <c r="G13" s="12" t="s">
        <v>140</v>
      </c>
      <c r="I13" s="14"/>
    </row>
    <row r="14" spans="1:9">
      <c r="A14" s="12" t="s">
        <v>95</v>
      </c>
      <c r="B14" s="12" t="s">
        <v>0</v>
      </c>
      <c r="C14" s="13">
        <v>5</v>
      </c>
      <c r="D14" s="12">
        <v>4</v>
      </c>
      <c r="E14" s="12">
        <v>3.2</v>
      </c>
      <c r="F14" s="12">
        <v>8</v>
      </c>
      <c r="G14" s="12" t="s">
        <v>140</v>
      </c>
      <c r="I14" s="14"/>
    </row>
    <row r="15" spans="1:9">
      <c r="A15" s="12" t="s">
        <v>96</v>
      </c>
      <c r="B15" s="12" t="s">
        <v>79</v>
      </c>
      <c r="C15" s="13">
        <v>20</v>
      </c>
      <c r="D15" s="12">
        <v>3</v>
      </c>
      <c r="E15" s="12">
        <v>3.7</v>
      </c>
      <c r="F15" s="12">
        <v>4</v>
      </c>
      <c r="G15" s="12" t="s">
        <v>139</v>
      </c>
      <c r="I15" s="14"/>
    </row>
    <row r="16" spans="1:9">
      <c r="A16" s="12" t="s">
        <v>97</v>
      </c>
      <c r="B16" s="12" t="s">
        <v>0</v>
      </c>
      <c r="C16" s="13">
        <v>2.7</v>
      </c>
      <c r="D16" s="12">
        <v>3</v>
      </c>
      <c r="E16" s="12">
        <v>5</v>
      </c>
      <c r="F16" s="12">
        <v>1</v>
      </c>
      <c r="G16" s="12" t="s">
        <v>139</v>
      </c>
      <c r="I16" s="14"/>
    </row>
    <row r="17" spans="1:9">
      <c r="A17" s="12" t="s">
        <v>98</v>
      </c>
      <c r="B17" s="12" t="s">
        <v>0</v>
      </c>
      <c r="C17" s="13">
        <v>2.2999999999999998</v>
      </c>
      <c r="D17" s="12">
        <v>3</v>
      </c>
      <c r="E17" s="12">
        <v>4</v>
      </c>
      <c r="F17" s="12">
        <v>14</v>
      </c>
      <c r="G17" s="12" t="s">
        <v>141</v>
      </c>
      <c r="I17" s="14"/>
    </row>
    <row r="18" spans="1:9">
      <c r="A18" s="12" t="s">
        <v>99</v>
      </c>
      <c r="B18" s="12" t="s">
        <v>0</v>
      </c>
      <c r="C18" s="13">
        <v>2.6</v>
      </c>
      <c r="D18" s="12">
        <v>4</v>
      </c>
      <c r="E18" s="12">
        <v>4</v>
      </c>
      <c r="F18" s="12">
        <v>119</v>
      </c>
      <c r="G18" s="12" t="s">
        <v>139</v>
      </c>
      <c r="I18" s="14"/>
    </row>
    <row r="19" spans="1:9">
      <c r="A19" s="12" t="s">
        <v>100</v>
      </c>
      <c r="B19" s="12" t="s">
        <v>80</v>
      </c>
      <c r="C19" s="13">
        <v>14</v>
      </c>
      <c r="D19" s="12">
        <v>4</v>
      </c>
      <c r="E19" s="12">
        <v>4.5</v>
      </c>
      <c r="F19" s="12">
        <v>90</v>
      </c>
      <c r="G19" s="12" t="s">
        <v>141</v>
      </c>
      <c r="I19" s="14"/>
    </row>
    <row r="20" spans="1:9">
      <c r="A20" s="12" t="s">
        <v>101</v>
      </c>
      <c r="B20" s="12" t="s">
        <v>81</v>
      </c>
      <c r="C20" s="13">
        <v>5.6</v>
      </c>
      <c r="D20" s="12">
        <v>3</v>
      </c>
      <c r="E20" s="12">
        <v>4</v>
      </c>
      <c r="F20" s="12">
        <v>18</v>
      </c>
      <c r="G20" s="12" t="s">
        <v>143</v>
      </c>
      <c r="I20" s="14"/>
    </row>
    <row r="21" spans="1:9">
      <c r="A21" s="12" t="s">
        <v>102</v>
      </c>
      <c r="B21" s="12" t="s">
        <v>3</v>
      </c>
      <c r="C21" s="13">
        <v>0.2</v>
      </c>
      <c r="D21" s="12">
        <v>3</v>
      </c>
      <c r="E21" s="12">
        <v>3.7</v>
      </c>
      <c r="F21" s="12">
        <v>26</v>
      </c>
      <c r="G21" s="12" t="s">
        <v>143</v>
      </c>
      <c r="I21" s="14"/>
    </row>
    <row r="22" spans="1:9">
      <c r="A22" s="12" t="s">
        <v>103</v>
      </c>
      <c r="B22" s="12" t="s">
        <v>3</v>
      </c>
      <c r="C22" s="13">
        <v>0.4</v>
      </c>
      <c r="D22" s="12">
        <v>3</v>
      </c>
      <c r="E22" s="12">
        <v>4.5</v>
      </c>
      <c r="F22" s="12">
        <v>32</v>
      </c>
      <c r="G22" s="12" t="s">
        <v>143</v>
      </c>
      <c r="I22" s="14"/>
    </row>
    <row r="23" spans="1:9">
      <c r="A23" s="12" t="s">
        <v>104</v>
      </c>
      <c r="B23" s="12" t="s">
        <v>3</v>
      </c>
      <c r="C23" s="13">
        <v>0.6</v>
      </c>
      <c r="D23" s="12">
        <v>3</v>
      </c>
      <c r="E23" s="12">
        <v>3.5</v>
      </c>
      <c r="F23" s="12">
        <v>11</v>
      </c>
      <c r="G23" s="12" t="s">
        <v>139</v>
      </c>
      <c r="I23" s="14"/>
    </row>
    <row r="24" spans="1:9">
      <c r="A24" s="12" t="s">
        <v>105</v>
      </c>
      <c r="B24" s="12" t="s">
        <v>1</v>
      </c>
      <c r="C24" s="13">
        <v>3</v>
      </c>
      <c r="D24" s="12">
        <v>4</v>
      </c>
      <c r="E24" s="12">
        <v>3.7</v>
      </c>
      <c r="F24" s="12">
        <v>15</v>
      </c>
      <c r="G24" s="12" t="s">
        <v>139</v>
      </c>
      <c r="I24" s="14"/>
    </row>
    <row r="25" spans="1:9">
      <c r="A25" s="12" t="s">
        <v>106</v>
      </c>
      <c r="B25" s="12" t="s">
        <v>1</v>
      </c>
      <c r="C25" s="13">
        <v>3</v>
      </c>
      <c r="D25" s="12">
        <v>4</v>
      </c>
      <c r="E25" s="12">
        <v>3.7</v>
      </c>
      <c r="F25" s="12">
        <v>15</v>
      </c>
      <c r="G25" s="12" t="s">
        <v>139</v>
      </c>
      <c r="I25" s="14"/>
    </row>
    <row r="26" spans="1:9">
      <c r="A26" s="12" t="s">
        <v>107</v>
      </c>
      <c r="B26" s="12" t="s">
        <v>1</v>
      </c>
      <c r="C26" s="13">
        <v>1</v>
      </c>
      <c r="D26" s="12">
        <v>4</v>
      </c>
      <c r="E26" s="12">
        <v>4.4000000000000004</v>
      </c>
      <c r="F26" s="12">
        <v>111</v>
      </c>
      <c r="G26" s="12" t="s">
        <v>139</v>
      </c>
      <c r="I26" s="14"/>
    </row>
    <row r="27" spans="1:9">
      <c r="A27" s="12" t="s">
        <v>108</v>
      </c>
      <c r="B27" s="12" t="s">
        <v>1</v>
      </c>
      <c r="C27" s="13">
        <v>1</v>
      </c>
      <c r="D27" s="12">
        <v>4</v>
      </c>
      <c r="E27" s="12">
        <v>4.4000000000000004</v>
      </c>
      <c r="F27" s="12">
        <v>111</v>
      </c>
      <c r="G27" s="12" t="s">
        <v>139</v>
      </c>
      <c r="I27" s="14"/>
    </row>
    <row r="28" spans="1:9">
      <c r="A28" s="12" t="s">
        <v>109</v>
      </c>
      <c r="B28" s="12" t="s">
        <v>1</v>
      </c>
      <c r="C28" s="13">
        <v>0.8</v>
      </c>
      <c r="D28" s="12">
        <v>3</v>
      </c>
      <c r="E28" s="12">
        <v>4</v>
      </c>
      <c r="F28" s="12">
        <v>9</v>
      </c>
      <c r="G28" s="12" t="s">
        <v>142</v>
      </c>
      <c r="I28" s="14"/>
    </row>
    <row r="29" spans="1:9">
      <c r="A29" s="12" t="s">
        <v>110</v>
      </c>
      <c r="B29" s="12" t="s">
        <v>82</v>
      </c>
      <c r="C29" s="13">
        <v>15</v>
      </c>
      <c r="D29" s="12">
        <v>3</v>
      </c>
      <c r="E29" s="12">
        <v>3.5</v>
      </c>
      <c r="F29" s="12">
        <v>209</v>
      </c>
      <c r="G29" s="12" t="s">
        <v>139</v>
      </c>
      <c r="I29" s="14"/>
    </row>
    <row r="30" spans="1:9">
      <c r="A30" s="12" t="s">
        <v>111</v>
      </c>
      <c r="B30" s="12" t="s">
        <v>82</v>
      </c>
      <c r="C30" s="13">
        <v>15</v>
      </c>
      <c r="D30" s="12">
        <v>3</v>
      </c>
      <c r="E30" s="12">
        <v>3.5</v>
      </c>
      <c r="F30" s="12">
        <v>209</v>
      </c>
      <c r="G30" s="12" t="s">
        <v>139</v>
      </c>
      <c r="I30" s="14"/>
    </row>
    <row r="31" spans="1:9">
      <c r="A31" s="12" t="s">
        <v>112</v>
      </c>
      <c r="B31" s="12" t="s">
        <v>1</v>
      </c>
      <c r="C31" s="13">
        <v>2.5</v>
      </c>
      <c r="D31" s="12">
        <v>4</v>
      </c>
      <c r="E31" s="12">
        <v>4</v>
      </c>
      <c r="F31" s="12">
        <v>114</v>
      </c>
      <c r="G31" s="12" t="s">
        <v>139</v>
      </c>
      <c r="I31" s="14"/>
    </row>
    <row r="32" spans="1:9">
      <c r="A32" s="12" t="s">
        <v>113</v>
      </c>
      <c r="B32" s="12" t="s">
        <v>1</v>
      </c>
      <c r="C32" s="13">
        <v>2.5</v>
      </c>
      <c r="D32" s="12">
        <v>4</v>
      </c>
      <c r="E32" s="12">
        <v>4</v>
      </c>
      <c r="F32" s="12">
        <v>114</v>
      </c>
      <c r="G32" s="12" t="s">
        <v>139</v>
      </c>
      <c r="I32" s="14"/>
    </row>
    <row r="33" spans="1:9">
      <c r="A33" s="12" t="s">
        <v>114</v>
      </c>
      <c r="B33" s="12" t="s">
        <v>1</v>
      </c>
      <c r="C33" s="13">
        <v>0.4</v>
      </c>
      <c r="D33" s="12">
        <v>3</v>
      </c>
      <c r="E33" s="12">
        <v>4.4000000000000004</v>
      </c>
      <c r="F33" s="12">
        <v>23</v>
      </c>
      <c r="G33" s="12" t="s">
        <v>142</v>
      </c>
      <c r="I33" s="14"/>
    </row>
    <row r="34" spans="1:9">
      <c r="A34" s="12" t="s">
        <v>115</v>
      </c>
      <c r="B34" s="12" t="s">
        <v>1</v>
      </c>
      <c r="C34" s="13">
        <v>0.4</v>
      </c>
      <c r="D34" s="12">
        <v>3</v>
      </c>
      <c r="E34" s="12">
        <v>4.4000000000000004</v>
      </c>
      <c r="F34" s="12">
        <v>23</v>
      </c>
      <c r="G34" s="12" t="s">
        <v>142</v>
      </c>
      <c r="I34" s="14"/>
    </row>
    <row r="35" spans="1:9">
      <c r="A35" s="12" t="s">
        <v>116</v>
      </c>
      <c r="B35" s="12" t="s">
        <v>1</v>
      </c>
      <c r="C35" s="13">
        <v>1.8</v>
      </c>
      <c r="D35" s="12">
        <v>3</v>
      </c>
      <c r="E35" s="12">
        <v>3.2</v>
      </c>
      <c r="F35" s="12">
        <v>54</v>
      </c>
      <c r="G35" s="12" t="s">
        <v>143</v>
      </c>
      <c r="I35" s="14"/>
    </row>
    <row r="36" spans="1:9">
      <c r="A36" s="12" t="s">
        <v>117</v>
      </c>
      <c r="B36" s="12" t="s">
        <v>1</v>
      </c>
      <c r="C36" s="13">
        <v>1.8</v>
      </c>
      <c r="D36" s="12">
        <v>3</v>
      </c>
      <c r="E36" s="12">
        <v>3.2</v>
      </c>
      <c r="F36" s="12">
        <v>54</v>
      </c>
      <c r="G36" s="12" t="s">
        <v>143</v>
      </c>
      <c r="I36" s="14"/>
    </row>
    <row r="37" spans="1:9">
      <c r="A37" s="12" t="s">
        <v>118</v>
      </c>
      <c r="B37" s="12" t="s">
        <v>1</v>
      </c>
      <c r="C37" s="13">
        <v>0.2</v>
      </c>
      <c r="D37" s="12">
        <v>3</v>
      </c>
      <c r="E37" s="12">
        <v>4.5</v>
      </c>
      <c r="F37" s="12">
        <v>25</v>
      </c>
      <c r="G37" s="12" t="s">
        <v>142</v>
      </c>
      <c r="I37" s="14"/>
    </row>
    <row r="38" spans="1:9">
      <c r="A38" s="12" t="s">
        <v>119</v>
      </c>
      <c r="B38" s="12" t="s">
        <v>1</v>
      </c>
      <c r="C38" s="13">
        <v>0.2</v>
      </c>
      <c r="D38" s="12">
        <v>3</v>
      </c>
      <c r="E38" s="12">
        <v>4.5</v>
      </c>
      <c r="F38" s="12">
        <v>25</v>
      </c>
      <c r="G38" s="12" t="s">
        <v>142</v>
      </c>
      <c r="I38" s="14"/>
    </row>
    <row r="39" spans="1:9">
      <c r="A39" s="12" t="s">
        <v>120</v>
      </c>
      <c r="B39" s="12" t="s">
        <v>1</v>
      </c>
      <c r="C39" s="13">
        <v>0.3</v>
      </c>
      <c r="D39" s="12">
        <v>3</v>
      </c>
      <c r="E39" s="12">
        <v>4.3</v>
      </c>
      <c r="F39" s="12">
        <v>60</v>
      </c>
      <c r="G39" s="12" t="s">
        <v>141</v>
      </c>
      <c r="I39" s="14"/>
    </row>
    <row r="40" spans="1:9">
      <c r="A40" s="12" t="s">
        <v>121</v>
      </c>
      <c r="B40" s="12" t="s">
        <v>1</v>
      </c>
      <c r="C40" s="13">
        <v>0.3</v>
      </c>
      <c r="D40" s="12">
        <v>3</v>
      </c>
      <c r="E40" s="12">
        <v>4.3</v>
      </c>
      <c r="F40" s="12">
        <v>60</v>
      </c>
      <c r="G40" s="12" t="s">
        <v>141</v>
      </c>
      <c r="I40" s="14"/>
    </row>
    <row r="41" spans="1:9">
      <c r="A41" s="12" t="s">
        <v>122</v>
      </c>
      <c r="B41" s="12" t="s">
        <v>1</v>
      </c>
      <c r="C41" s="13">
        <v>0.5</v>
      </c>
      <c r="D41" s="12">
        <v>1</v>
      </c>
      <c r="E41" s="12">
        <v>4</v>
      </c>
      <c r="F41" s="12">
        <v>161</v>
      </c>
      <c r="G41" s="12" t="s">
        <v>139</v>
      </c>
      <c r="I41" s="14"/>
    </row>
    <row r="42" spans="1:9">
      <c r="A42" s="12" t="s">
        <v>123</v>
      </c>
      <c r="B42" s="12" t="s">
        <v>1</v>
      </c>
      <c r="C42" s="13">
        <v>0.5</v>
      </c>
      <c r="D42" s="12">
        <v>1</v>
      </c>
      <c r="E42" s="12">
        <v>4</v>
      </c>
      <c r="F42" s="12">
        <v>161</v>
      </c>
      <c r="G42" s="12" t="s">
        <v>139</v>
      </c>
      <c r="I42" s="14"/>
    </row>
    <row r="43" spans="1:9">
      <c r="A43" s="12" t="s">
        <v>124</v>
      </c>
      <c r="B43" s="12" t="s">
        <v>1</v>
      </c>
      <c r="C43" s="13">
        <v>1.6</v>
      </c>
      <c r="D43" s="12">
        <v>4</v>
      </c>
      <c r="E43" s="12">
        <v>4.3</v>
      </c>
      <c r="F43" s="12">
        <v>137</v>
      </c>
      <c r="G43" s="12" t="s">
        <v>139</v>
      </c>
      <c r="I43" s="14"/>
    </row>
    <row r="44" spans="1:9">
      <c r="A44" s="12" t="s">
        <v>125</v>
      </c>
      <c r="B44" s="12" t="s">
        <v>1</v>
      </c>
      <c r="C44" s="13">
        <v>1.6</v>
      </c>
      <c r="D44" s="12">
        <v>4</v>
      </c>
      <c r="E44" s="12">
        <v>4.3</v>
      </c>
      <c r="F44" s="12">
        <v>137</v>
      </c>
      <c r="G44" s="12" t="s">
        <v>139</v>
      </c>
      <c r="I44" s="14"/>
    </row>
    <row r="45" spans="1:9">
      <c r="A45" s="12" t="s">
        <v>126</v>
      </c>
      <c r="B45" s="12" t="s">
        <v>1</v>
      </c>
      <c r="C45" s="13">
        <v>1.1000000000000001</v>
      </c>
      <c r="D45" s="12">
        <v>2</v>
      </c>
      <c r="E45" s="12">
        <v>4.3</v>
      </c>
      <c r="F45" s="12">
        <v>43</v>
      </c>
      <c r="G45" s="12" t="s">
        <v>139</v>
      </c>
      <c r="I45" s="14"/>
    </row>
    <row r="46" spans="1:9">
      <c r="A46" s="12" t="s">
        <v>127</v>
      </c>
      <c r="B46" s="12" t="s">
        <v>1</v>
      </c>
      <c r="C46" s="13">
        <v>1.1000000000000001</v>
      </c>
      <c r="D46" s="12">
        <v>2</v>
      </c>
      <c r="E46" s="12">
        <v>4.3</v>
      </c>
      <c r="F46" s="12">
        <v>43</v>
      </c>
      <c r="G46" s="12" t="s">
        <v>139</v>
      </c>
      <c r="I46" s="14"/>
    </row>
    <row r="47" spans="1:9">
      <c r="A47" s="12" t="s">
        <v>128</v>
      </c>
      <c r="B47" s="12" t="s">
        <v>1</v>
      </c>
      <c r="C47" s="13">
        <v>1.6</v>
      </c>
      <c r="D47" s="12">
        <v>3</v>
      </c>
      <c r="E47" s="12">
        <v>3.7</v>
      </c>
      <c r="F47" s="12">
        <v>208</v>
      </c>
      <c r="G47" s="12" t="s">
        <v>139</v>
      </c>
      <c r="I47" s="14"/>
    </row>
    <row r="48" spans="1:9">
      <c r="A48" s="12" t="s">
        <v>129</v>
      </c>
      <c r="B48" s="12" t="s">
        <v>1</v>
      </c>
      <c r="C48" s="13">
        <v>1.6</v>
      </c>
      <c r="D48" s="12">
        <v>3</v>
      </c>
      <c r="E48" s="12">
        <v>3.7</v>
      </c>
      <c r="F48" s="12">
        <v>208</v>
      </c>
      <c r="G48" s="12" t="s">
        <v>139</v>
      </c>
      <c r="I48" s="14"/>
    </row>
    <row r="49" spans="1:9">
      <c r="A49" s="12" t="s">
        <v>130</v>
      </c>
      <c r="B49" s="12" t="s">
        <v>1</v>
      </c>
      <c r="C49" s="13">
        <v>2</v>
      </c>
      <c r="D49" s="12">
        <v>3</v>
      </c>
      <c r="E49" s="12">
        <v>3.4</v>
      </c>
      <c r="F49" s="12">
        <v>204</v>
      </c>
      <c r="G49" s="12" t="s">
        <v>139</v>
      </c>
      <c r="I49" s="14"/>
    </row>
    <row r="50" spans="1:9">
      <c r="A50" s="12" t="s">
        <v>131</v>
      </c>
      <c r="B50" s="12" t="s">
        <v>1</v>
      </c>
      <c r="C50" s="13">
        <v>2</v>
      </c>
      <c r="D50" s="12">
        <v>3</v>
      </c>
      <c r="E50" s="12">
        <v>3.4</v>
      </c>
      <c r="F50" s="12">
        <v>204</v>
      </c>
      <c r="G50" s="12" t="s">
        <v>139</v>
      </c>
      <c r="I50" s="14"/>
    </row>
  </sheetData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E6CCB37C-C404-47F7-BFA2-06ECD0115869}">
            <x14:iconSet iconSet="4RedToBlack" custom="1">
              <x14:cfvo type="percent">
                <xm:f>0</xm:f>
              </x14:cfvo>
              <x14:cfvo type="percent">
                <xm:f>75</xm:f>
              </x14:cfvo>
              <x14:cfvo type="percent">
                <xm:f>80</xm:f>
              </x14:cfvo>
              <x14:cfvo type="percent">
                <xm:f>95</xm:f>
              </x14:cfvo>
              <x14:cfIcon iconSet="3Symbols" iconId="0"/>
              <x14:cfIcon iconSet="3TrafficLights1" iconId="1"/>
              <x14:cfIcon iconSet="3Flags" iconId="2"/>
              <x14:cfIcon iconSet="3Symbols2" iconId="2"/>
            </x14:iconSet>
          </x14:cfRule>
          <xm:sqref>D2:D50</xm:sqref>
        </x14:conditionalFormatting>
        <x14:conditionalFormatting xmlns:xm="http://schemas.microsoft.com/office/excel/2006/main">
          <x14:cfRule type="expression" priority="1" id="{C9B4C7C9-97A2-48DC-8C48-FEE8998915E3}">
            <xm:f>AND(_xlfn.MINIFS(Repülőjáratok!$N$2:$N$139,Repülőjáratok!$A$2:$A$139,$B2)&lt;40000,COUNTIF(Repülőjáratok!$A$2:$A$139,$B2)&gt;0)</xm:f>
            <x14:dxf>
              <fill>
                <patternFill>
                  <bgColor theme="9" tint="0.39994506668294322"/>
                </patternFill>
              </fill>
            </x14:dxf>
          </x14:cfRule>
          <xm:sqref>A2:G50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4DD1-9769-44C0-B8BF-1797F29DDD79}">
  <dimension ref="A3:J19"/>
  <sheetViews>
    <sheetView zoomScaleNormal="100" workbookViewId="0">
      <selection activeCell="J21" sqref="J21"/>
    </sheetView>
  </sheetViews>
  <sheetFormatPr defaultColWidth="17.5" defaultRowHeight="14.25"/>
  <cols>
    <col min="2" max="2" width="16.5" bestFit="1" customWidth="1"/>
    <col min="3" max="3" width="11.375" bestFit="1" customWidth="1"/>
    <col min="4" max="4" width="13.875" bestFit="1" customWidth="1"/>
    <col min="5" max="5" width="10.625" bestFit="1" customWidth="1"/>
    <col min="6" max="6" width="11.375" bestFit="1" customWidth="1"/>
    <col min="7" max="7" width="13.875" bestFit="1" customWidth="1"/>
    <col min="8" max="8" width="10.625" bestFit="1" customWidth="1"/>
    <col min="9" max="9" width="11.375" bestFit="1" customWidth="1"/>
    <col min="10" max="10" width="17.375" customWidth="1"/>
    <col min="12" max="12" width="18.875" bestFit="1" customWidth="1"/>
    <col min="13" max="13" width="21.375" bestFit="1" customWidth="1"/>
  </cols>
  <sheetData>
    <row r="3" spans="1:10">
      <c r="B3" s="17" t="s">
        <v>149</v>
      </c>
    </row>
    <row r="4" spans="1:10">
      <c r="B4" t="s">
        <v>60</v>
      </c>
      <c r="E4" t="s">
        <v>54</v>
      </c>
      <c r="H4" t="s">
        <v>53</v>
      </c>
    </row>
    <row r="5" spans="1:10">
      <c r="A5" s="17" t="s">
        <v>146</v>
      </c>
      <c r="B5" s="23" t="s">
        <v>148</v>
      </c>
      <c r="C5" s="19" t="s">
        <v>150</v>
      </c>
      <c r="D5" s="21" t="s">
        <v>151</v>
      </c>
      <c r="E5" s="23" t="s">
        <v>148</v>
      </c>
      <c r="F5" s="19" t="s">
        <v>150</v>
      </c>
      <c r="G5" s="21" t="s">
        <v>151</v>
      </c>
      <c r="H5" s="23" t="s">
        <v>148</v>
      </c>
      <c r="I5" s="19" t="s">
        <v>150</v>
      </c>
      <c r="J5" s="21" t="s">
        <v>151</v>
      </c>
    </row>
    <row r="6" spans="1:10">
      <c r="A6" s="18" t="s">
        <v>10</v>
      </c>
      <c r="B6" s="24"/>
      <c r="C6" s="20"/>
      <c r="D6" s="22">
        <v>0</v>
      </c>
      <c r="E6" s="24">
        <v>94282</v>
      </c>
      <c r="F6" s="20">
        <v>75323</v>
      </c>
      <c r="G6" s="22">
        <v>1.0454460292078758</v>
      </c>
      <c r="H6" s="24">
        <v>604024.25</v>
      </c>
      <c r="I6" s="20">
        <v>68030</v>
      </c>
      <c r="J6" s="22">
        <v>3.2096334391791319</v>
      </c>
    </row>
    <row r="7" spans="1:10">
      <c r="A7" s="18" t="s">
        <v>12</v>
      </c>
      <c r="B7" s="24">
        <v>128810.66666666667</v>
      </c>
      <c r="C7" s="20">
        <v>115763</v>
      </c>
      <c r="D7" s="22">
        <v>1.7854010274343557</v>
      </c>
      <c r="E7" s="24"/>
      <c r="F7" s="20"/>
      <c r="G7" s="22">
        <v>0</v>
      </c>
      <c r="H7" s="24">
        <v>124045.625</v>
      </c>
      <c r="I7" s="20">
        <v>104753</v>
      </c>
      <c r="J7" s="22">
        <v>0.6591473537426269</v>
      </c>
    </row>
    <row r="8" spans="1:10">
      <c r="A8" s="18" t="s">
        <v>9</v>
      </c>
      <c r="B8" s="24">
        <v>107557.8</v>
      </c>
      <c r="C8" s="20">
        <v>68946</v>
      </c>
      <c r="D8" s="22">
        <v>1.4908222400984825</v>
      </c>
      <c r="E8" s="24">
        <v>118365.8</v>
      </c>
      <c r="F8" s="20">
        <v>88234</v>
      </c>
      <c r="G8" s="22">
        <v>1.3124992639529665</v>
      </c>
      <c r="H8" s="24"/>
      <c r="I8" s="20"/>
      <c r="J8" s="22">
        <v>0</v>
      </c>
    </row>
    <row r="9" spans="1:10">
      <c r="A9" s="18" t="s">
        <v>11</v>
      </c>
      <c r="B9" s="24"/>
      <c r="C9" s="20"/>
      <c r="D9" s="22">
        <v>0</v>
      </c>
      <c r="E9" s="24">
        <v>106122.5</v>
      </c>
      <c r="F9" s="20">
        <v>102062</v>
      </c>
      <c r="G9" s="22">
        <v>1.1767394225261747</v>
      </c>
      <c r="H9" s="24">
        <v>109236.11111111111</v>
      </c>
      <c r="I9" s="20">
        <v>87891</v>
      </c>
      <c r="J9" s="22">
        <v>0.58045330959495312</v>
      </c>
    </row>
    <row r="10" spans="1:10">
      <c r="A10" s="18" t="s">
        <v>6</v>
      </c>
      <c r="B10" s="24">
        <v>111691</v>
      </c>
      <c r="C10" s="20">
        <v>74993</v>
      </c>
      <c r="D10" s="22">
        <v>1.54811112554217</v>
      </c>
      <c r="E10" s="24">
        <v>94574.5</v>
      </c>
      <c r="F10" s="20">
        <v>91640</v>
      </c>
      <c r="G10" s="22">
        <v>1.0486894156818931</v>
      </c>
      <c r="H10" s="24">
        <v>109360.5</v>
      </c>
      <c r="I10" s="20">
        <v>104800</v>
      </c>
      <c r="J10" s="22">
        <v>0.58111428096694706</v>
      </c>
    </row>
    <row r="11" spans="1:10">
      <c r="A11" s="18" t="s">
        <v>7</v>
      </c>
      <c r="B11" s="24"/>
      <c r="C11" s="20"/>
      <c r="D11" s="22">
        <v>0</v>
      </c>
      <c r="E11" s="24">
        <v>102889.60000000001</v>
      </c>
      <c r="F11" s="20">
        <v>57044</v>
      </c>
      <c r="G11" s="22">
        <v>1.1408914084001895</v>
      </c>
      <c r="H11" s="24"/>
      <c r="I11" s="20"/>
      <c r="J11" s="22">
        <v>0</v>
      </c>
    </row>
    <row r="12" spans="1:10">
      <c r="A12" s="18" t="s">
        <v>2</v>
      </c>
      <c r="B12" s="24">
        <v>74307</v>
      </c>
      <c r="C12" s="20">
        <v>54715</v>
      </c>
      <c r="D12" s="22">
        <v>1.0299441620691194</v>
      </c>
      <c r="E12" s="24">
        <v>128081</v>
      </c>
      <c r="F12" s="20">
        <v>96677</v>
      </c>
      <c r="G12" s="22">
        <v>1.4202262665935592</v>
      </c>
      <c r="H12" s="24"/>
      <c r="I12" s="20"/>
      <c r="J12" s="22">
        <v>0</v>
      </c>
    </row>
    <row r="13" spans="1:10">
      <c r="A13" s="18" t="s">
        <v>8</v>
      </c>
      <c r="B13" s="24"/>
      <c r="C13" s="20"/>
      <c r="D13" s="22">
        <v>0</v>
      </c>
      <c r="E13" s="24">
        <v>85858.71428571429</v>
      </c>
      <c r="F13" s="20">
        <v>51469</v>
      </c>
      <c r="G13" s="22">
        <v>0.95204441911386617</v>
      </c>
      <c r="H13" s="24">
        <v>94219.666666666672</v>
      </c>
      <c r="I13" s="20">
        <v>83003</v>
      </c>
      <c r="J13" s="22">
        <v>0.50065968835132824</v>
      </c>
    </row>
    <row r="14" spans="1:10">
      <c r="A14" s="18" t="s">
        <v>5</v>
      </c>
      <c r="B14" s="24">
        <v>114286</v>
      </c>
      <c r="C14" s="20">
        <v>114286</v>
      </c>
      <c r="D14" s="22">
        <v>1.5840795417152003</v>
      </c>
      <c r="E14" s="24">
        <v>80889.5</v>
      </c>
      <c r="F14" s="20">
        <v>75800</v>
      </c>
      <c r="G14" s="22">
        <v>0.8969432827009447</v>
      </c>
      <c r="H14" s="24"/>
      <c r="I14" s="20"/>
      <c r="J14" s="22">
        <v>0</v>
      </c>
    </row>
    <row r="15" spans="1:10">
      <c r="A15" s="18" t="s">
        <v>4</v>
      </c>
      <c r="B15" s="24">
        <v>75289</v>
      </c>
      <c r="C15" s="20">
        <v>65537</v>
      </c>
      <c r="D15" s="22">
        <v>1.0435553315033836</v>
      </c>
      <c r="E15" s="24">
        <v>73696.625</v>
      </c>
      <c r="F15" s="20">
        <v>53391</v>
      </c>
      <c r="G15" s="22">
        <v>0.81718508275462831</v>
      </c>
      <c r="H15" s="24"/>
      <c r="I15" s="20"/>
      <c r="J15" s="22">
        <v>0</v>
      </c>
    </row>
    <row r="16" spans="1:10">
      <c r="A16" s="18" t="s">
        <v>3</v>
      </c>
      <c r="B16" s="24">
        <v>57970.666666666664</v>
      </c>
      <c r="C16" s="20">
        <v>38595</v>
      </c>
      <c r="D16" s="22">
        <v>0.80351177822531161</v>
      </c>
      <c r="E16" s="24">
        <v>51822.2</v>
      </c>
      <c r="F16" s="20">
        <v>39109</v>
      </c>
      <c r="G16" s="22">
        <v>0.57463050438913454</v>
      </c>
      <c r="H16" s="24"/>
      <c r="I16" s="20"/>
      <c r="J16" s="22">
        <v>0</v>
      </c>
    </row>
    <row r="17" spans="1:10">
      <c r="A17" s="18" t="s">
        <v>0</v>
      </c>
      <c r="B17" s="24">
        <v>53067.545454545456</v>
      </c>
      <c r="C17" s="20">
        <v>46587</v>
      </c>
      <c r="D17" s="22">
        <v>0.73555127560319655</v>
      </c>
      <c r="E17" s="24"/>
      <c r="F17" s="20"/>
      <c r="G17" s="22">
        <v>0</v>
      </c>
      <c r="H17" s="24"/>
      <c r="I17" s="20"/>
      <c r="J17" s="22">
        <v>0</v>
      </c>
    </row>
    <row r="18" spans="1:10">
      <c r="A18" s="18" t="s">
        <v>1</v>
      </c>
      <c r="B18" s="24">
        <v>39579.545454545456</v>
      </c>
      <c r="C18" s="20">
        <v>5</v>
      </c>
      <c r="D18" s="22">
        <v>0.54859867547146901</v>
      </c>
      <c r="E18" s="24"/>
      <c r="F18" s="20"/>
      <c r="G18" s="22">
        <v>0</v>
      </c>
      <c r="H18" s="24"/>
      <c r="I18" s="20"/>
      <c r="J18" s="22">
        <v>0</v>
      </c>
    </row>
    <row r="19" spans="1:10">
      <c r="A19" s="18" t="s">
        <v>147</v>
      </c>
      <c r="B19" s="24">
        <v>72146.629629629635</v>
      </c>
      <c r="C19" s="20">
        <v>5</v>
      </c>
      <c r="D19" s="22">
        <v>1</v>
      </c>
      <c r="E19" s="24">
        <v>90183.517241379304</v>
      </c>
      <c r="F19" s="20">
        <v>39109</v>
      </c>
      <c r="G19" s="22">
        <v>1</v>
      </c>
      <c r="H19" s="24">
        <v>188191.03846153847</v>
      </c>
      <c r="I19" s="20">
        <v>68030</v>
      </c>
      <c r="J19" s="22">
        <v>1</v>
      </c>
    </row>
  </sheetData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FF0C0BA2DF316B4E8279A013E619E468" ma:contentTypeVersion="39" ma:contentTypeDescription="Új dokumentum létrehozása." ma:contentTypeScope="" ma:versionID="3850397537e23d2fe904cf2f56616ed2">
  <xsd:schema xmlns:xsd="http://www.w3.org/2001/XMLSchema" xmlns:xs="http://www.w3.org/2001/XMLSchema" xmlns:p="http://schemas.microsoft.com/office/2006/metadata/properties" xmlns:ns3="7687c97c-17fa-498e-8a13-4c52db7b02c1" xmlns:ns4="3b717420-81fa-46d3-8cd3-94c3496b19ad" targetNamespace="http://schemas.microsoft.com/office/2006/metadata/properties" ma:root="true" ma:fieldsID="c7d66276881a8d372eca9e1374409b60" ns3:_="" ns4:_="">
    <xsd:import namespace="7687c97c-17fa-498e-8a13-4c52db7b02c1"/>
    <xsd:import namespace="3b717420-81fa-46d3-8cd3-94c3496b19ad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Distribution_Groups" minOccurs="0"/>
                <xsd:element ref="ns3:LMS_Mappings" minOccurs="0"/>
                <xsd:element ref="ns3:Teams_Channel_Section_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7c97c-17fa-498e-8a13-4c52db7b02c1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2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2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4" nillable="true" ma:displayName="Is Collaboration Space Locked" ma:internalName="Is_Collaboration_Space_Locked">
      <xsd:simpleType>
        <xsd:restriction base="dms:Boolean"/>
      </xsd:simpleType>
    </xsd:element>
    <xsd:element name="IsNotebookLocked" ma:index="25" nillable="true" ma:displayName="Is Notebook Locked" ma:internalName="IsNotebookLocked">
      <xsd:simpleType>
        <xsd:restriction base="dms:Boolean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Tags" ma:internalName="MediaServiceAutoTags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6" nillable="true" ma:displayName="Location" ma:internalName="MediaServiceLocation" ma:readOnly="true">
      <xsd:simpleType>
        <xsd:restriction base="dms:Text"/>
      </xsd:simple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  <xsd:element name="Teams_Channel_Section_Location" ma:index="39" nillable="true" ma:displayName="Teams Channel Section Location" ma:internalName="Teams_Channel_Section_Location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42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43" nillable="true" ma:displayName="_activity" ma:hidden="true" ma:internalName="_activity">
      <xsd:simpleType>
        <xsd:restriction base="dms:Note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4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46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17420-81fa-46d3-8cd3-94c3496b19ad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8" nillable="true" ma:displayName="Megosztási tipp kivonat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7687c97c-17fa-498e-8a13-4c52db7b02c1">
      <UserInfo>
        <DisplayName/>
        <AccountId xsi:nil="true"/>
        <AccountType/>
      </UserInfo>
    </Owner>
    <Has_Teacher_Only_SectionGroup xmlns="7687c97c-17fa-498e-8a13-4c52db7b02c1" xsi:nil="true"/>
    <DefaultSectionNames xmlns="7687c97c-17fa-498e-8a13-4c52db7b02c1" xsi:nil="true"/>
    <Is_Collaboration_Space_Locked xmlns="7687c97c-17fa-498e-8a13-4c52db7b02c1" xsi:nil="true"/>
    <FolderType xmlns="7687c97c-17fa-498e-8a13-4c52db7b02c1" xsi:nil="true"/>
    <CultureName xmlns="7687c97c-17fa-498e-8a13-4c52db7b02c1" xsi:nil="true"/>
    <Templates xmlns="7687c97c-17fa-498e-8a13-4c52db7b02c1" xsi:nil="true"/>
    <Invited_Students xmlns="7687c97c-17fa-498e-8a13-4c52db7b02c1" xsi:nil="true"/>
    <LMS_Mappings xmlns="7687c97c-17fa-498e-8a13-4c52db7b02c1" xsi:nil="true"/>
    <Math_Settings xmlns="7687c97c-17fa-498e-8a13-4c52db7b02c1" xsi:nil="true"/>
    <_activity xmlns="7687c97c-17fa-498e-8a13-4c52db7b02c1" xsi:nil="true"/>
    <AppVersion xmlns="7687c97c-17fa-498e-8a13-4c52db7b02c1" xsi:nil="true"/>
    <Distribution_Groups xmlns="7687c97c-17fa-498e-8a13-4c52db7b02c1" xsi:nil="true"/>
    <Self_Registration_Enabled xmlns="7687c97c-17fa-498e-8a13-4c52db7b02c1" xsi:nil="true"/>
    <Invited_Teachers xmlns="7687c97c-17fa-498e-8a13-4c52db7b02c1" xsi:nil="true"/>
    <IsNotebookLocked xmlns="7687c97c-17fa-498e-8a13-4c52db7b02c1" xsi:nil="true"/>
    <NotebookType xmlns="7687c97c-17fa-498e-8a13-4c52db7b02c1" xsi:nil="true"/>
    <Teachers xmlns="7687c97c-17fa-498e-8a13-4c52db7b02c1">
      <UserInfo>
        <DisplayName/>
        <AccountId xsi:nil="true"/>
        <AccountType/>
      </UserInfo>
    </Teachers>
    <Students xmlns="7687c97c-17fa-498e-8a13-4c52db7b02c1">
      <UserInfo>
        <DisplayName/>
        <AccountId xsi:nil="true"/>
        <AccountType/>
      </UserInfo>
    </Students>
    <Student_Groups xmlns="7687c97c-17fa-498e-8a13-4c52db7b02c1">
      <UserInfo>
        <DisplayName/>
        <AccountId xsi:nil="true"/>
        <AccountType/>
      </UserInfo>
    </Student_Groups>
    <Teams_Channel_Section_Location xmlns="7687c97c-17fa-498e-8a13-4c52db7b02c1" xsi:nil="true"/>
    <TeamsChannelId xmlns="7687c97c-17fa-498e-8a13-4c52db7b02c1" xsi:nil="true"/>
  </documentManagement>
</p:properties>
</file>

<file path=customXml/itemProps1.xml><?xml version="1.0" encoding="utf-8"?>
<ds:datastoreItem xmlns:ds="http://schemas.openxmlformats.org/officeDocument/2006/customXml" ds:itemID="{A690FBDF-BAB2-442D-836B-FFBBD31592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8B035A-3514-471B-AEB0-6664CF5D6B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87c97c-17fa-498e-8a13-4c52db7b02c1"/>
    <ds:schemaRef ds:uri="3b717420-81fa-46d3-8cd3-94c3496b19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DC8CAF-F17F-43F4-BC12-32748056DBD2}">
  <ds:schemaRefs>
    <ds:schemaRef ds:uri="http://schemas.microsoft.com/office/2006/documentManagement/types"/>
    <ds:schemaRef ds:uri="7687c97c-17fa-498e-8a13-4c52db7b02c1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3b717420-81fa-46d3-8cd3-94c3496b19ad"/>
    <ds:schemaRef ds:uri="http://purl.org/dc/elements/1.1/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3</vt:i4>
      </vt:variant>
      <vt:variant>
        <vt:lpstr>Névvel ellátott tartományok</vt:lpstr>
      </vt:variant>
      <vt:variant>
        <vt:i4>4</vt:i4>
      </vt:variant>
    </vt:vector>
  </HeadingPairs>
  <TitlesOfParts>
    <vt:vector size="7" baseType="lpstr">
      <vt:lpstr>Repülőjáratok</vt:lpstr>
      <vt:lpstr>Szállások</vt:lpstr>
      <vt:lpstr>Munka1</vt:lpstr>
      <vt:lpstr>Repülőjáratok!Feltetelek</vt:lpstr>
      <vt:lpstr>Szállások!Feltetelek</vt:lpstr>
      <vt:lpstr>Repülőjáratok!Kigyűjtés</vt:lpstr>
      <vt:lpstr>Szállások!Kigyűjtés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2024-12-20T15:11:58Z</dcterms:created>
  <dcterms:modified xsi:type="dcterms:W3CDTF">2026-03-03T12:35:03Z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0x010100FF0C0BA2DF316B4E8279A013E619E468</vt:lpwstr>
  </property>
</Properties>
</file>