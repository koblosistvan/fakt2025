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odora\OneDrive\Dokumentumok\fakt2025\Ódor Artúr\excel\"/>
    </mc:Choice>
  </mc:AlternateContent>
  <xr:revisionPtr revIDLastSave="12" documentId="8_{4F0DADB7-2500-4CA8-9D32-62BFA5681731}" xr6:coauthVersionLast="36" xr6:coauthVersionMax="47" xr10:uidLastSave="{2363EEF9-6993-4DD3-8B89-98064DB518FF}"/>
  <bookViews>
    <workbookView xWindow="-120" yWindow="-120" windowWidth="29040" windowHeight="15840" xr2:uid="{004FAEA1-ED58-462E-B04D-B25CDFB5F839}"/>
  </bookViews>
  <sheets>
    <sheet name="kínálat" sheetId="1" r:id="rId1"/>
    <sheet name="időtöltés" sheetId="2" r:id="rId2"/>
  </sheets>
  <definedNames>
    <definedName name="_xlnm._FilterDatabase" localSheetId="0" hidden="1">kínálat!$A$1:$I$152</definedName>
    <definedName name="évszak">kínálat!$I$2:$I$152</definedName>
    <definedName name="évszám">kínálat!$A$2:$A$152</definedName>
    <definedName name="halmaz">kínálat!$A$1:$I$152</definedName>
    <definedName name="hossz">kínálat!$E$2:$E$152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A9" i="1"/>
  <c r="A10" i="1"/>
  <c r="A20" i="1"/>
  <c r="A23" i="1"/>
  <c r="A24" i="1"/>
  <c r="A31" i="1"/>
  <c r="A40" i="1"/>
  <c r="A42" i="1"/>
  <c r="A62" i="1"/>
  <c r="A80" i="1"/>
  <c r="A111" i="1"/>
  <c r="A11" i="1"/>
  <c r="A124" i="1"/>
  <c r="A12" i="1"/>
  <c r="A13" i="1"/>
  <c r="A14" i="1"/>
  <c r="A16" i="1"/>
  <c r="A17" i="1"/>
  <c r="A18" i="1"/>
  <c r="A19" i="1"/>
  <c r="A21" i="1"/>
  <c r="A22" i="1"/>
  <c r="A26" i="1"/>
  <c r="A27" i="1"/>
  <c r="A28" i="1"/>
  <c r="A29" i="1"/>
  <c r="A32" i="1"/>
  <c r="A35" i="1"/>
  <c r="A36" i="1"/>
  <c r="A39" i="1"/>
  <c r="A49" i="1"/>
  <c r="A54" i="1"/>
  <c r="A58" i="1"/>
  <c r="A63" i="1"/>
  <c r="A66" i="1"/>
  <c r="A70" i="1"/>
  <c r="A82" i="1"/>
  <c r="A83" i="1"/>
  <c r="A88" i="1"/>
  <c r="A97" i="1"/>
  <c r="A106" i="1"/>
  <c r="A109" i="1"/>
  <c r="A129" i="1"/>
  <c r="A134" i="1"/>
  <c r="A139" i="1"/>
  <c r="A142" i="1"/>
  <c r="A143" i="1"/>
  <c r="A149" i="1"/>
  <c r="A150" i="1"/>
  <c r="A2" i="1"/>
  <c r="A3" i="1"/>
  <c r="A4" i="1"/>
  <c r="A15" i="1"/>
  <c r="A25" i="1"/>
  <c r="A30" i="1"/>
  <c r="A38" i="1"/>
  <c r="A41" i="1"/>
  <c r="A43" i="1"/>
  <c r="A44" i="1"/>
  <c r="A45" i="1"/>
  <c r="A46" i="1"/>
  <c r="A50" i="1"/>
  <c r="A51" i="1"/>
  <c r="A56" i="1"/>
  <c r="A59" i="1"/>
  <c r="A60" i="1"/>
  <c r="A64" i="1"/>
  <c r="A69" i="1"/>
  <c r="A71" i="1"/>
  <c r="A72" i="1"/>
  <c r="A73" i="1"/>
  <c r="A77" i="1"/>
  <c r="A84" i="1"/>
  <c r="A85" i="1"/>
  <c r="A86" i="1"/>
  <c r="A87" i="1"/>
  <c r="A89" i="1"/>
  <c r="A92" i="1"/>
  <c r="A94" i="1"/>
  <c r="A98" i="1"/>
  <c r="A99" i="1"/>
  <c r="A107" i="1"/>
  <c r="A112" i="1"/>
  <c r="A113" i="1"/>
  <c r="A114" i="1"/>
  <c r="A116" i="1"/>
  <c r="A117" i="1"/>
  <c r="A120" i="1"/>
  <c r="A121" i="1"/>
  <c r="A122" i="1"/>
  <c r="A126" i="1"/>
  <c r="A127" i="1"/>
  <c r="A130" i="1"/>
  <c r="A131" i="1"/>
  <c r="A144" i="1"/>
  <c r="A145" i="1"/>
  <c r="A147" i="1"/>
  <c r="A74" i="1"/>
  <c r="A75" i="1"/>
  <c r="A90" i="1"/>
  <c r="A128" i="1"/>
  <c r="A135" i="1"/>
  <c r="A47" i="1"/>
  <c r="A57" i="1"/>
  <c r="A132" i="1"/>
  <c r="A52" i="1"/>
  <c r="A76" i="1"/>
  <c r="A53" i="1"/>
  <c r="A123" i="1"/>
  <c r="A133" i="1"/>
  <c r="A37" i="1"/>
  <c r="A115" i="1"/>
  <c r="A146" i="1"/>
  <c r="A5" i="1"/>
  <c r="A55" i="1"/>
  <c r="A125" i="1"/>
  <c r="A100" i="1"/>
  <c r="A151" i="1"/>
  <c r="A91" i="1"/>
  <c r="A148" i="1"/>
  <c r="A67" i="1"/>
  <c r="A136" i="1"/>
  <c r="A68" i="1"/>
  <c r="A78" i="1"/>
  <c r="A101" i="1"/>
  <c r="A152" i="1"/>
  <c r="A48" i="1"/>
  <c r="A79" i="1"/>
  <c r="A95" i="1"/>
  <c r="A102" i="1"/>
  <c r="A137" i="1"/>
  <c r="A140" i="1"/>
  <c r="A6" i="1"/>
  <c r="A33" i="1"/>
  <c r="A65" i="1"/>
  <c r="A103" i="1"/>
  <c r="A118" i="1"/>
  <c r="A141" i="1"/>
  <c r="A34" i="1"/>
  <c r="A61" i="1"/>
  <c r="A81" i="1"/>
  <c r="A93" i="1"/>
  <c r="A104" i="1"/>
  <c r="A105" i="1"/>
  <c r="A108" i="1"/>
  <c r="A110" i="1"/>
  <c r="A119" i="1"/>
  <c r="A138" i="1"/>
  <c r="A7" i="1"/>
  <c r="A8" i="1"/>
  <c r="A96" i="1"/>
</calcChain>
</file>

<file path=xl/sharedStrings.xml><?xml version="1.0" encoding="utf-8"?>
<sst xmlns="http://schemas.openxmlformats.org/spreadsheetml/2006/main" count="742" uniqueCount="494">
  <si>
    <t>Évszám</t>
  </si>
  <si>
    <t>Hazai bemutató</t>
  </si>
  <si>
    <t>Cím</t>
  </si>
  <si>
    <t>Műfaj</t>
  </si>
  <si>
    <t>Hossz</t>
  </si>
  <si>
    <t>Rendező</t>
  </si>
  <si>
    <t>Szereplők</t>
  </si>
  <si>
    <t>Értékelés</t>
  </si>
  <si>
    <t>Évszak</t>
  </si>
  <si>
    <t>Bonus Trip</t>
  </si>
  <si>
    <t>akcióvígjáték</t>
  </si>
  <si>
    <t>Martin Csaba</t>
  </si>
  <si>
    <t>Spencer Vaughn Kelly, Camryn Jackson, Vanessa Aleksander, Bruce Lester Johnson, Matthew Simpson, Glenn Wrage, Janis Ahern, Ónodi Eszter, Árpa Attila, Simor Olivér, Czukor Balázs</t>
  </si>
  <si>
    <t>A kuflik és az Akármi</t>
  </si>
  <si>
    <t>animációs film</t>
  </si>
  <si>
    <t>Jurik Kristóf</t>
  </si>
  <si>
    <t>Bogyó és Babóca 4. – Tündérkártyák</t>
  </si>
  <si>
    <t>Antonin Krizsanics, M. Tóth Géza</t>
  </si>
  <si>
    <t>Bogyó és Babóca 5. – Hónapok meséi</t>
  </si>
  <si>
    <t>Fazakas Kinga, M. Tóth Géza</t>
  </si>
  <si>
    <t>Bogyó és Babóca 6. – Csengettyűk</t>
  </si>
  <si>
    <t>Családi legendák</t>
  </si>
  <si>
    <t>Glaser Katalin</t>
  </si>
  <si>
    <t>Kék Pelikan</t>
  </si>
  <si>
    <t>Csáki László</t>
  </si>
  <si>
    <t>Kojot négy lelke</t>
  </si>
  <si>
    <t>Gauder Áron</t>
  </si>
  <si>
    <t>Legendárium – Mesék Székelyföldről</t>
  </si>
  <si>
    <t>Fazakas Szabolcs</t>
  </si>
  <si>
    <t>Műanyag égbolt</t>
  </si>
  <si>
    <t>Bánóczki Tibor, Szabó Sarolta</t>
  </si>
  <si>
    <t>Toldi – A mozifilm</t>
  </si>
  <si>
    <t>Csákovics Lajos, Jankovics Marcell</t>
  </si>
  <si>
    <t>Tomi, Polli és a varázsfény</t>
  </si>
  <si>
    <t>Filip Posivac</t>
  </si>
  <si>
    <t>Semmi – Báb-film-színház</t>
  </si>
  <si>
    <t>bábfilm</t>
  </si>
  <si>
    <t>Csonka Maresz, Hoffer Károly, Moll Zoltán</t>
  </si>
  <si>
    <t>Spiegl Anna, Pájer Alma Virág, Pallai Mara, Ács Norbert, Tatai Zsolt, Teszárek Csaba, Pethő Gergő, Szolár Tibor, Blasek Gyöngyi</t>
  </si>
  <si>
    <t>El a kezekkel a Papámtól!</t>
  </si>
  <si>
    <t>családi film</t>
  </si>
  <si>
    <t>Dobó Kata, Gulyás Buda</t>
  </si>
  <si>
    <t>Csobot Adél, Bokor Barna, Elek Ferenc, Gubás Gabi, Járai Máté, Nagypál Gábor, Pálmai Anna, Pindroch Csaba</t>
  </si>
  <si>
    <t>dokumentumfilm</t>
  </si>
  <si>
    <t>Mándi Ferenc</t>
  </si>
  <si>
    <t>A boldogság ügynöke</t>
  </si>
  <si>
    <t>Arun Bhattarai, Zurbó Dorottya</t>
  </si>
  <si>
    <t>A legbelsőbb Ázsia – Magyarok nyomában Mongolországban</t>
  </si>
  <si>
    <t>Füredi Zoltán</t>
  </si>
  <si>
    <t>A mi Kodályunk</t>
  </si>
  <si>
    <t>Petrovics Eszter</t>
  </si>
  <si>
    <t>A mi Kodályunk 2. – Psalmus Hungaricus</t>
  </si>
  <si>
    <t>A nemzet aranyai</t>
  </si>
  <si>
    <t>Zákonyi S. Tamás</t>
  </si>
  <si>
    <t>Aki legyőzte az időt – Keleti Ágnes</t>
  </si>
  <si>
    <t>Oláh Kata</t>
  </si>
  <si>
    <t>Akkord</t>
  </si>
  <si>
    <t>Kempf Márta Anna</t>
  </si>
  <si>
    <t>Barta Tamás – Siess haza, vár a mama!</t>
  </si>
  <si>
    <t>Hajdú Eszter</t>
  </si>
  <si>
    <t>Béke – A nemzetek felett</t>
  </si>
  <si>
    <t>Babos Tamás, Tősér Ádám</t>
  </si>
  <si>
    <t>Bereményi kalapja</t>
  </si>
  <si>
    <t>Papp Gábor Zsigmond</t>
  </si>
  <si>
    <t>Carte Rouge – Vörös térkép</t>
  </si>
  <si>
    <t>Gerebics Sándor</t>
  </si>
  <si>
    <t>Emma és Eddie: A képen kívül</t>
  </si>
  <si>
    <t>Hörcher Gábor</t>
  </si>
  <si>
    <t>Hajszra és cselőre</t>
  </si>
  <si>
    <t>Bodnár V. Róbert</t>
  </si>
  <si>
    <t>Hűség</t>
  </si>
  <si>
    <t>Szekeres Csaba</t>
  </si>
  <si>
    <t>Kaláka – A Kárpátoktól a Karib-tengerig</t>
  </si>
  <si>
    <t>Pigniczky Réka</t>
  </si>
  <si>
    <t>Katinka</t>
  </si>
  <si>
    <t>Pálinkás Norbert</t>
  </si>
  <si>
    <t>Keskeny út a boldogság felé</t>
  </si>
  <si>
    <t>Ki kutyája vagyok én?</t>
  </si>
  <si>
    <t>Lakatos Róbert</t>
  </si>
  <si>
    <t>KIX</t>
  </si>
  <si>
    <t>Mikulán Dávid, Révész Bálint</t>
  </si>
  <si>
    <t>n.a.</t>
  </si>
  <si>
    <t>Kövek</t>
  </si>
  <si>
    <t>Dobray György</t>
  </si>
  <si>
    <t>Magyar hangja...</t>
  </si>
  <si>
    <t>Csapó András</t>
  </si>
  <si>
    <t>Mélypont érzés</t>
  </si>
  <si>
    <t>Miklós Ádám</t>
  </si>
  <si>
    <t>Mesék a zárkából</t>
  </si>
  <si>
    <t>Visky Ábel</t>
  </si>
  <si>
    <t>Múlt és jelen – Vizeink az ember kezében</t>
  </si>
  <si>
    <t>Fehér Zoltán</t>
  </si>
  <si>
    <t>Nem halok meg</t>
  </si>
  <si>
    <t>Dér Asia</t>
  </si>
  <si>
    <t>Nemere István: Addig írok, amíg élek</t>
  </si>
  <si>
    <t>Szalma Sándor</t>
  </si>
  <si>
    <t>Nincs parancs!</t>
  </si>
  <si>
    <t>Szalay Péter</t>
  </si>
  <si>
    <t>Ott torony volt</t>
  </si>
  <si>
    <t>Kécza András</t>
  </si>
  <si>
    <t>Polonia akció 1920</t>
  </si>
  <si>
    <t>Kiss Sándor, Kussinszky Kornél</t>
  </si>
  <si>
    <t>Saját erdő</t>
  </si>
  <si>
    <t>Kárpáti György Mór</t>
  </si>
  <si>
    <t>Szent Ignác útja</t>
  </si>
  <si>
    <t>Tolvaly Ferenc</t>
  </si>
  <si>
    <t>Tisza-tó, az ember alkotta paradicsom</t>
  </si>
  <si>
    <t>Szendőfi Balázs</t>
  </si>
  <si>
    <t>Tobi színei</t>
  </si>
  <si>
    <t>Bakony Alexa</t>
  </si>
  <si>
    <t>Vad erdők, vad bércek – A fantom nyomában</t>
  </si>
  <si>
    <t>Mosonyi Szabolcs, Bagladi Erika</t>
  </si>
  <si>
    <t>Vad víz: Aqua Hungarica</t>
  </si>
  <si>
    <t>Vadlovak – Hortobágyi mese</t>
  </si>
  <si>
    <t>Török Zoltán</t>
  </si>
  <si>
    <t>Varrat</t>
  </si>
  <si>
    <t>Védelem alatt</t>
  </si>
  <si>
    <t>Schwechtje Mihály</t>
  </si>
  <si>
    <t>A másik érintése</t>
  </si>
  <si>
    <t>dráma</t>
  </si>
  <si>
    <t>Buvári Tamás</t>
  </si>
  <si>
    <t>Trill Zsolt, Nagy Katica, Farkas Franciska, Epres Attila, Danis Lídia, Trokán Anna, Máté Gábor, Cservák Zoltán</t>
  </si>
  <si>
    <t>Árni</t>
  </si>
  <si>
    <t>Vermes Dorka</t>
  </si>
  <si>
    <t>Székely B. Miklós, Spolarics Andrea, Turi Péter, Gyöngyösi Zoltán, Kovács Botond, Dino Benjamin</t>
  </si>
  <si>
    <t>Az első kettő</t>
  </si>
  <si>
    <t>Szövényi-Lux Balázs</t>
  </si>
  <si>
    <t>Nyakó Júlia, Drahota Andrea, Hannah Saxby, Bergendi Barnabás, Fazakas Bendegúz, Fazekas Géza, Heim Vilmos</t>
  </si>
  <si>
    <t>Az unoka</t>
  </si>
  <si>
    <t>Deák Kristóf</t>
  </si>
  <si>
    <t>Blahó Gergely, Jordán Tamás, Jászberényi Gábor, Pogány Judit, Bárdos Judit, Döbrösi Laura, Papp János, Hámori Ildikó, Tordai Teri, Szalay Krisztina, Hűvösvölgyi Ildikó, Keszég László, Voith Ági</t>
  </si>
  <si>
    <t>Békeidő</t>
  </si>
  <si>
    <t>Hajdu Szabolcs</t>
  </si>
  <si>
    <t>Sárosdi Lilla, Wrochna Fanni, Szabó Domokos, Földeáki Nóra, Schilling Árpád, Hajdu Szabolcs, Török-Illyés Orsolya</t>
  </si>
  <si>
    <t>Blokád</t>
  </si>
  <si>
    <t>Tősér Ádám</t>
  </si>
  <si>
    <t>Vidnyánszky Attila, Seress Zoltán, Gáspár Tibor, Szacsvay László, Tóth Ildikó, Sütő András, Végh Zsolt</t>
  </si>
  <si>
    <t>Bolond Istók</t>
  </si>
  <si>
    <t>Hegedűs Georgina, Rohonyi Gábor</t>
  </si>
  <si>
    <t>Pál András, Liber Ágoston, Gellért Dorottya, Jordán Adél, Hajdu Steve</t>
  </si>
  <si>
    <t>Éden</t>
  </si>
  <si>
    <t>Kocsis Ágnes</t>
  </si>
  <si>
    <t>Lana Barić, Daan Stuyven, Bocskor-Salló Lóránt, Maja Roberti, Makranczi Zalán, Kardos Róbert</t>
  </si>
  <si>
    <t>Egy százalék indián</t>
  </si>
  <si>
    <t>Hajdu Szabolcs, Tóth Orsi, Pető Kata, Gelányi Imre, Szabó Domokos, Tankó Erika</t>
  </si>
  <si>
    <t>Éjjeli őrjárat</t>
  </si>
  <si>
    <t>Demian József</t>
  </si>
  <si>
    <t>Mátray László, Bogdán Zsolt, Nemes Levente, Ilinca Harnut, Manuela Hărăbor, Ada Condeescu, Simona Bondoc</t>
  </si>
  <si>
    <t>Elfogy a levegő</t>
  </si>
  <si>
    <t>Moldovai Katalin</t>
  </si>
  <si>
    <t>Krasznahorkai Ágnes, Skovrán Tünde, Sándor Soma, Dimény Áron, Bölönyi Zsolt, Lőrincz Ágnes</t>
  </si>
  <si>
    <t>Eltörölni Frankot</t>
  </si>
  <si>
    <t>Fabricius Gábor</t>
  </si>
  <si>
    <t>Fuchs Benjámin, Blénesi Kincső, Waskovics Andrea, Lénárt István, Székely B. Miklós, Frenák Pál</t>
  </si>
  <si>
    <t>És mi van Tomival?</t>
  </si>
  <si>
    <t>Till Attila</t>
  </si>
  <si>
    <t>Thuróczy Szabolcs, Polgár Tamás, Sodró Eliza, Fodor Annamária, Tóth Zsófia, Patkós Márton, Básti Juli</t>
  </si>
  <si>
    <t>Evolúció</t>
  </si>
  <si>
    <t>Mundruczó Kornél</t>
  </si>
  <si>
    <t>Padmé Hamdemir, Láng Annamária, Monori Lili, Goya Rego</t>
  </si>
  <si>
    <t>Fekete pont</t>
  </si>
  <si>
    <t>Szimler Bálint</t>
  </si>
  <si>
    <t>Mészöly Anna, Paul Mátis, Kovács Ákos, Mátis Inez, Lőkös Ildikó, Marozsán Erika, Nádasi László</t>
  </si>
  <si>
    <t>Felkészülés meghatározatlan ideig tartó együttlétre</t>
  </si>
  <si>
    <t>Horvát Lili</t>
  </si>
  <si>
    <t>Stork Natasa, Bodó Viktor, Vilmányi Benett</t>
  </si>
  <si>
    <t>Fűzfa</t>
  </si>
  <si>
    <t>Milčo Mančevski</t>
  </si>
  <si>
    <t>Sara Klimoska, Natalija Teodosieva, Kamka Tocinovski, Jelena Jovanova</t>
  </si>
  <si>
    <t>Háromezer számozott darab</t>
  </si>
  <si>
    <t>Császi Ádám</t>
  </si>
  <si>
    <t>Farkas Franciska, Horváth Kristóf, Pászik Krisztofer</t>
  </si>
  <si>
    <t>Hasadék</t>
  </si>
  <si>
    <t>Krasznahorkai Balázs</t>
  </si>
  <si>
    <t>Molnár Levente, Orbán Levente, Kovács Lajos, Lovas Rozi</t>
  </si>
  <si>
    <t>Hat hét</t>
  </si>
  <si>
    <t>Szakonyi Noémi Veronika</t>
  </si>
  <si>
    <t>Román Katalin, Járó Zsuzsa, Balsai Móni, Mészáros András, Györgyi Anna, Keresztesi Kitty, Takács Katalin</t>
  </si>
  <si>
    <t>Hét kis véletlen</t>
  </si>
  <si>
    <t>Gothár Péter</t>
  </si>
  <si>
    <t>Rezes Judit, Mészáros Blanka, Mészáros Máté, Börcsök Olivér</t>
  </si>
  <si>
    <t>Hétköznapi kudarcok</t>
  </si>
  <si>
    <t>Grosan Cristina</t>
  </si>
  <si>
    <t>Kerekes Vica, Petra Bučková, Jana Stryková</t>
  </si>
  <si>
    <t>Január másodika</t>
  </si>
  <si>
    <t>Szilágyi Zsófia</t>
  </si>
  <si>
    <t>Jóvári Csenge, Konrád Zsuzsanna</t>
  </si>
  <si>
    <t>Jövő nyár</t>
  </si>
  <si>
    <t>Tankó Erika, Brezovszky Dániel, Krisztik Csaba, Farkas Bianka, Kerekes Márton</t>
  </si>
  <si>
    <t>Kálmán-nap</t>
  </si>
  <si>
    <t>Hajdu Szabolcs, Tóth Orsi, Földeáki Nóra, Gelányi Imre, Szabó Domokos</t>
  </si>
  <si>
    <t>Külön falka</t>
  </si>
  <si>
    <t>Kis Hajni</t>
  </si>
  <si>
    <t>Bandor Éva, Galkó Balázs, Spolarics Andrea, Száger Zsuzsa, Füsti Molnár Éva, Dietz Gusztáv, Horváth Zorka</t>
  </si>
  <si>
    <t>Larry</t>
  </si>
  <si>
    <t>Bernáth Szilárd</t>
  </si>
  <si>
    <t>Thuróczy Szabolcs, Vilmányi Benett</t>
  </si>
  <si>
    <t>Lefkovicsék gyászolnak</t>
  </si>
  <si>
    <t>Breier Ádám</t>
  </si>
  <si>
    <t>Bezerédi Zoltán, Szabó Kimmel Tamás, Máhr Ági, Leo Gagel, Kardos Róbert, Török András, Lőkös Ildikó, Tímár Éva</t>
  </si>
  <si>
    <t>Legénybúcsú Extra</t>
  </si>
  <si>
    <t>Rózsa Gábor</t>
  </si>
  <si>
    <t>Virsinszki Zoltán, Kálloy Molnár Péter, Varga Ádám, Nagy Alexandra, Sütő András</t>
  </si>
  <si>
    <t>Legjobb tudomásom szerint</t>
  </si>
  <si>
    <t>Lőrincz Nándor, Nagy Bálint</t>
  </si>
  <si>
    <t>Bodolai Balázs, Hámori Gabriella, Menszátor-Héresz Attila, Fenyő Iván, Jakab Juli</t>
  </si>
  <si>
    <t>Magasmentés</t>
  </si>
  <si>
    <t>Fésős András</t>
  </si>
  <si>
    <t>Bogdan Dumitrache, Börcsök Olivér, Cserhalmi György, Hegedűs D. Géza, Kovács Lajos, Keszég László, Schneider Zoltán, Bánfalvi Eszter, Takáts Andrea, Keresztes Tamás, Makranczi Zalán</t>
  </si>
  <si>
    <t>Magasságok és mélységek</t>
  </si>
  <si>
    <t>Csoma Sándor</t>
  </si>
  <si>
    <t>Pál Emőke, Trill Zsolt</t>
  </si>
  <si>
    <t>Magdolna</t>
  </si>
  <si>
    <t>Nagy Katica, Buvári Villő</t>
  </si>
  <si>
    <t>Magyar Passió</t>
  </si>
  <si>
    <t>Eperjes Károly</t>
  </si>
  <si>
    <t>Eperjes Károly, Telekes Péter, Gál Tamás</t>
  </si>
  <si>
    <t>Magyarázat mindenre</t>
  </si>
  <si>
    <t>Reisz Gábor</t>
  </si>
  <si>
    <t>Sodró Eliza, Znamenák István, Király Dániel, Kizlinger Lilla, Hatházi András, Kocsis Gergely</t>
  </si>
  <si>
    <t>Melegvizek országa</t>
  </si>
  <si>
    <t>Igor Buharov, Ivan Buharov</t>
  </si>
  <si>
    <t>Bagdi István, Cserhalmi György, Kecskés Karina, Thuróczy Szabolcs, Török-Illyés Orsolya, Hajdu Szabolcs</t>
  </si>
  <si>
    <t>Mellékszereplők</t>
  </si>
  <si>
    <t>Sopsits Árpád</t>
  </si>
  <si>
    <t>Farkas Franciska, Jászberényi Gábor, Telek Tibor Zoltán, Telek Babita, Dömök Edina, Vokó Lili, Sopsits Árpád</t>
  </si>
  <si>
    <t>Mindörökké</t>
  </si>
  <si>
    <t>Pálfi György</t>
  </si>
  <si>
    <t>Polgár Tamás, Ubrankovics Júlia, Menszátor Héresz Attila, Érsek Obádovics Mercédesz</t>
  </si>
  <si>
    <t>Nyersanyag</t>
  </si>
  <si>
    <t>Boross Martin</t>
  </si>
  <si>
    <t>Dér Zsolt, Pál András, Mészáros Blanka, Baki Dániel, Tankó Erika, Szabó Stefi</t>
  </si>
  <si>
    <t>Rengeteg – Mindenhol látlak</t>
  </si>
  <si>
    <t>Fliegauf Bence</t>
  </si>
  <si>
    <t>Sodró Eliza, Gubík Ági, Jakab Juli, Végh Zsolt, Balla Eszter, Keresztes Felícián, Fancsikai Péter</t>
  </si>
  <si>
    <t>Szelíd</t>
  </si>
  <si>
    <t>Csuja László, Nemes Anna</t>
  </si>
  <si>
    <t>Csonka Eszter, Turós György, Krisztik Csaba, Kerekes Éva, Papp János</t>
  </si>
  <si>
    <t>Természetes fény</t>
  </si>
  <si>
    <t>Nagy Dénes</t>
  </si>
  <si>
    <t>Szabó Ferenc, Garbacz Tamás, Bajkó László, Franczia Gyula</t>
  </si>
  <si>
    <t>Toxikoma</t>
  </si>
  <si>
    <t>Herendi Gábor</t>
  </si>
  <si>
    <t>Molnár Áron, Bányai Kelemen Barna, Török-Illyés Orsolya</t>
  </si>
  <si>
    <t>Valami madarak</t>
  </si>
  <si>
    <t>Hevér Dániel</t>
  </si>
  <si>
    <t>Szacsvay László, Kizlinger Lilla</t>
  </si>
  <si>
    <t>Zárójelentés</t>
  </si>
  <si>
    <t>Szabó István</t>
  </si>
  <si>
    <t>Klaus Maria Brandauer, Udvaros Dorottya, Eperjes Károly, Stohl András, Bálint András</t>
  </si>
  <si>
    <t>A legjobb dolgokon bőgni kell</t>
  </si>
  <si>
    <t>dramedy</t>
  </si>
  <si>
    <t>Thuróczy Szabolcs, Hernádi Judit, Bányai Kelemen Barna, Patkós Márton, Takács Katalin, Friedenthal Zoltán</t>
  </si>
  <si>
    <t>Együtt kezdtük</t>
  </si>
  <si>
    <t>Kerékgyártó Yvonne</t>
  </si>
  <si>
    <t>Mucsi Zoltán, Pálmai Anna, Kerekes Éva, Jordán Tamás, Szabó Simon, Zsurzs Kati, Szacsvay László</t>
  </si>
  <si>
    <t>Így vagy tökéletes</t>
  </si>
  <si>
    <t>Varsics Péter</t>
  </si>
  <si>
    <t>Fekete Ernő, Béres Márta, Hais Dorottya, Trokán Nóra, Lengyel Tamás</t>
  </si>
  <si>
    <t>Mentés Másképp</t>
  </si>
  <si>
    <t>Bánovits Vivianne, Sándor Péter, Trokán Péter, Lajos András, Dézsi Darinka, Tóth Krisztina, Virsinszki Zoltán</t>
  </si>
  <si>
    <t>Űrpiknik</t>
  </si>
  <si>
    <t>Badits Ákos</t>
  </si>
  <si>
    <t>Walters Lili, Takács Zalán, Varga Veronika, Lengyel Benjámin</t>
  </si>
  <si>
    <t>A feltaláló</t>
  </si>
  <si>
    <t>életrajzi film</t>
  </si>
  <si>
    <t>Gyöngyössy Bence</t>
  </si>
  <si>
    <t>Gáspár Tibor, Huszárik Kata, Für Anikó, Seress Zoltán, Trill Zsolt</t>
  </si>
  <si>
    <t>Radics Béla – A megátkozott gitáros</t>
  </si>
  <si>
    <t>Klacsán Gábor</t>
  </si>
  <si>
    <t>Rák Zoltán, Bede-Fazekas Szabolcs, Dunai Csenge, Fecske Dávid, Forgács Péter, Király Attila, Szabó Sipos Barnabás, Szemenyei János, Trill Zsolt, Zsurzs Kati</t>
  </si>
  <si>
    <t>Semmelweis</t>
  </si>
  <si>
    <t>Koltai Lajos</t>
  </si>
  <si>
    <t>Vecsei H. Miklós, Nagy Katica, Gálffi László, Kovács Lajos, Lengyel Ferenc, Elek Ferenc, Simon Kornél, Kovács Tamás, Szűcs Nelli, Znamenák István, Hajduk Károly, Mészáros Blanka</t>
  </si>
  <si>
    <t>fantasy</t>
  </si>
  <si>
    <t>Peter Noel</t>
  </si>
  <si>
    <t>Csuja Imre, Törőcsik Franciska, Hevér Gábor, Szabó Erika, Elek Ferenc, Molnár Piroska, Ostorházi Bernadett</t>
  </si>
  <si>
    <t>Elátkozott barlang</t>
  </si>
  <si>
    <t>Mariana Solčanská-Čengel</t>
  </si>
  <si>
    <t>Tereza Bebarová, Predrag Bjelac, Karel Dobrý, Jan Dolanský, Marko Igonda, Václav Kopta, Zuzana Stivínová</t>
  </si>
  <si>
    <t>Szétszakítva</t>
  </si>
  <si>
    <t>háborús film</t>
  </si>
  <si>
    <t>Burján Zsigmond</t>
  </si>
  <si>
    <t>Tűzkő Sándor, Balogh Mihály, Szigeti Anna, Csille Ildikó, Nagy Judit, Udvaros György, Barbély Gábor</t>
  </si>
  <si>
    <t>Holnap meghalok</t>
  </si>
  <si>
    <t>horror</t>
  </si>
  <si>
    <t>Cibulya Nikol</t>
  </si>
  <si>
    <t>Kurta Niké, Meyer Lili, Kerekes Márton, Baki Dániel, Makranczi Zalán, Wrochna Fanni, Hárshegyi Ilma</t>
  </si>
  <si>
    <t>Post Mortem</t>
  </si>
  <si>
    <t>Bergendy Péter</t>
  </si>
  <si>
    <t>Klem Viktor, Hais Fruzsina, Schell Judit</t>
  </si>
  <si>
    <t>Hadik</t>
  </si>
  <si>
    <t>kalandfilm</t>
  </si>
  <si>
    <t>Szikora János</t>
  </si>
  <si>
    <t>Szabó Győző, Trill Zsolt, Molnár Áron, Szalma Tamás, Julia Jakubowska, Horváth Lili, Madár Tamás</t>
  </si>
  <si>
    <t>Jóreménység-sziget</t>
  </si>
  <si>
    <t>Ljasuk Dimitry</t>
  </si>
  <si>
    <t>Ljasuk Dimitry, Baranyák Béla, Dorogi Fernanda, Papp János, Molnár Barnabás</t>
  </si>
  <si>
    <t>Most vagy soha!</t>
  </si>
  <si>
    <t>Lóth Balázs</t>
  </si>
  <si>
    <t>Berettyán Nándor, Mosolygó Sára, Horváth Lajos Ottó, Jászberényi Gábor, Szerednyey Béla, Lukács Sándor, Fehér Tibor, Bergendi Barnabás, Bordás Roland</t>
  </si>
  <si>
    <t>A szerenád</t>
  </si>
  <si>
    <t>kísérleti film</t>
  </si>
  <si>
    <t>Máté P. Gábor</t>
  </si>
  <si>
    <t>Szelle Dávid, Buvári Lilla, Módri Györgyi, Kricsár Kamill, Langer Soma, Főző Ditta, Szalay Bence, Pap Lívia, Dér Mária, Trokán Anna</t>
  </si>
  <si>
    <t>A játszma</t>
  </si>
  <si>
    <t>krimi</t>
  </si>
  <si>
    <t>Fazakas Péter</t>
  </si>
  <si>
    <t>Nagy Zsolt, Kulka János, Hámori Gabriella, Scherer Péter, Staub Viktória</t>
  </si>
  <si>
    <t>Éger</t>
  </si>
  <si>
    <t>Nagy Borús Levente</t>
  </si>
  <si>
    <t>Kálid Artúr, Kovács Tamás, Nagy Zsolt, Péterfy Bori, Schmied Zoltán, Szilágyi Csenge, Zsótér Sándor</t>
  </si>
  <si>
    <t>Nyugati nyaralás</t>
  </si>
  <si>
    <t>krimi vígjáték</t>
  </si>
  <si>
    <t>Lévai Balázs, Tiszeker Dániel</t>
  </si>
  <si>
    <t>Mészáros Máté, Pokorny Lia, Szőke Abigél, Tóth Mátyás, Patkós Márton, Orosz Ákos, Ötvös András, Katona Péter Dániel, Szervét Tibor, Péterfy Bori, Kuttner Bálint</t>
  </si>
  <si>
    <t>Elk*rtuk</t>
  </si>
  <si>
    <t>krimi-dráma</t>
  </si>
  <si>
    <t>Keith English</t>
  </si>
  <si>
    <t>Bánovits Vivianne, Mózes András, Trill Zsolt, Őze Áron, Zayzon Zsolt, Bede-Fazekas Szabolcs, Szikszai Rémusz</t>
  </si>
  <si>
    <t>Ma este gyilkolunk</t>
  </si>
  <si>
    <t>krimi-vígjáték</t>
  </si>
  <si>
    <t>Kern András, Hermányi Mariann, Jordán Tamás, Bodrogi Gyula, Bánsági Ildikó, Koltai Róbert, Pogány Judit, Takács Katalin, Bálint András, Bánki Gergely, Stefanovics Angéla, Pál András, Keresztes Tamás, Hámori Ildikó, Elek Ferenc, Gyöngyösi Zoltán, Herczeg Adrienn, Závodszky Noémi</t>
  </si>
  <si>
    <t>A Karantén Zóna</t>
  </si>
  <si>
    <t>misztikus film</t>
  </si>
  <si>
    <t>Zsótér Indi Dániel</t>
  </si>
  <si>
    <t>Pásztor Erzsi, Makranczi Zalán, Ujréti László, Ónodi Eszter, Tankó Erika, Tolnai Klára, Krausz Gergő, Majsai-Nyilas Tünde, Lakatos Máté, Muchichka László</t>
  </si>
  <si>
    <t>Hatalom</t>
  </si>
  <si>
    <t>politikai thriller</t>
  </si>
  <si>
    <t>Prikler Mátyás</t>
  </si>
  <si>
    <t>Hajdu Szabolcs, Jan Kačer, Kormos Mihály, Mokos Attila, Bandor Éva, Lucia Kasová, Ingrid Timková, Miroslav Krobot</t>
  </si>
  <si>
    <t>Szent</t>
  </si>
  <si>
    <t>Sebastian Buttny</t>
  </si>
  <si>
    <t>Mateusz Kosciukiewicz, Lena Gora, Dobromir Dymecki, Leszek Lichota</t>
  </si>
  <si>
    <t>Mesterjátszma</t>
  </si>
  <si>
    <t>pszichothriller</t>
  </si>
  <si>
    <t>Tóth Barnabás</t>
  </si>
  <si>
    <t>Varga-Járó Sára, Váradi Gergely, Hajduk Károly, Péterfy Bori, Mácsai Pál, Szirtes Ági, Váry Károly, David Yengibarian, Orbán Levente, Dóra Béla</t>
  </si>
  <si>
    <t>A feleségem története</t>
  </si>
  <si>
    <t>romantikus film</t>
  </si>
  <si>
    <t>Enyedi Ildikó</t>
  </si>
  <si>
    <t>Gijs Naber, Léa Seydoux, Louis Garrel, Hajduk Károly, Rujder Vivien</t>
  </si>
  <si>
    <t>Az almafa virága</t>
  </si>
  <si>
    <t>Szűcs Dóra</t>
  </si>
  <si>
    <t>Koltai-Nagy Balázs, Nari Nguyen, Sütő András, Kálloy Molnár Péter, Takács Katalin, Dunai Tamás, Juhász Jázmin, Dzhuliya Lam</t>
  </si>
  <si>
    <t>Tíz perc múlva három</t>
  </si>
  <si>
    <t>Dézsy Zoltán</t>
  </si>
  <si>
    <t>Kassai Ilona, Andorai Péter Krisztián, Vészabó Noémi, Pánovics Raymund, Dézsy Zoltán, Farkas Viktória</t>
  </si>
  <si>
    <t>Átjáróház</t>
  </si>
  <si>
    <t>romantikus vígjáték</t>
  </si>
  <si>
    <t>Madarász Isti</t>
  </si>
  <si>
    <t>Rujder Vivien, Bárnai Péter, Kútvölgyi Erzsébet, Kulka János</t>
  </si>
  <si>
    <t>Becsúszó szerelem</t>
  </si>
  <si>
    <t>Nagy Viktor Oszkár</t>
  </si>
  <si>
    <t>Ötvös András, Gombó Viola Lotti, Stefanovics Angéla, Thuróczy Szabolcs</t>
  </si>
  <si>
    <t>Cicaverzum</t>
  </si>
  <si>
    <t>Szeleczki Rozália</t>
  </si>
  <si>
    <t>Törőcsik Franciska, Polgár Csaba, Udvaros Dorottya, Csobot Adél, Alföldi Róbert, Tordai Teri, Martin Márta, Blahó Gergely, Patkós Márton</t>
  </si>
  <si>
    <t>Futni mentem</t>
  </si>
  <si>
    <t>Udvaros Dorottya, Lovas Rozi, Tenki Réka, Trill Beatrix, Bányai Kelemen Barna, Csányi Sándor, Ember Márk, Csuja Imre, Schmied Zoltán, Gálffi László, Hevér Gábor, Trokán Péter, Góg Anikó</t>
  </si>
  <si>
    <t>Nagykarácsony</t>
  </si>
  <si>
    <t>Tiszeker Dániel</t>
  </si>
  <si>
    <t>Ötvös András, Zsigmond Emőke, Scherer Péter, Pokorny Lia, Szabó Kimmel Tamás, Csuja Imre, Szerednyey Béla</t>
  </si>
  <si>
    <t>Veszélyes lehet a fagyi</t>
  </si>
  <si>
    <t>Szilágyi Fanni</t>
  </si>
  <si>
    <t>Stork Natasa, Patkós Márton, Szabó Máté, Bódi Magdi</t>
  </si>
  <si>
    <t>Zanox – Kockázatok és mellékhatások</t>
  </si>
  <si>
    <t>Baranyi Gábor Benő</t>
  </si>
  <si>
    <t>Hatházi András, Sólyom Katalin, Krisztik Csaba, Dráfi Mátyás, Máhr Ági, Vasvári Emese, Danis Lídia, Kósa Béla</t>
  </si>
  <si>
    <t>Látom, amit látsz</t>
  </si>
  <si>
    <t>sci-fi</t>
  </si>
  <si>
    <t>Szabó Mátyás</t>
  </si>
  <si>
    <t>Lukáts Andor, Nagy Mari, Hartai Petra, Vilmányi Benett, Lestyán Attila</t>
  </si>
  <si>
    <t>Zenit</t>
  </si>
  <si>
    <t>Kristóf György</t>
  </si>
  <si>
    <t>Judith State, Ladányi Andrea, Egyed Beáta, Tristan Sagon, Feicht Zoltán, Bitó Katalin, Szilvási Anna, Lőrincz Katalin, Kelemen Patrik, Jacsó Anna, Samuel Caleb, Evegenia Turushkina, Till Jenewein, Paulína Smatláková, Linus Janser</t>
  </si>
  <si>
    <t>Patthelyzet</t>
  </si>
  <si>
    <t>thriller</t>
  </si>
  <si>
    <t>Kálloy Molnár Péter, Szalay Bence, Szabó Erika, Szabó Máté, Kádár L. Gellért, Ráckevei Anna</t>
  </si>
  <si>
    <t>Spirál</t>
  </si>
  <si>
    <t>Felméri Cecília</t>
  </si>
  <si>
    <t>Bogdan Dumitrche, Borbély Alexandra, Kiss Diána Magdolna</t>
  </si>
  <si>
    <t>Végtelen víztükör</t>
  </si>
  <si>
    <t>Brandon Cronenberg</t>
  </si>
  <si>
    <t>Alexander Skarsgård, Mia Goth, Cleopatra Coleman, Thomas Kretschmann, Caroline Boulton, Jalil Lespert, Amanda Brugel</t>
  </si>
  <si>
    <t>Libertate’89 – Nagyszeben</t>
  </si>
  <si>
    <t>történelmi dráma</t>
  </si>
  <si>
    <t>Tudor Giurgiu</t>
  </si>
  <si>
    <t>Bíró József, Dimény Áron, Deák Zoltán, Ionuţ Caras, Alexandru Papadopol, Mirela Oprişor</t>
  </si>
  <si>
    <t>Boszorkányház</t>
  </si>
  <si>
    <t>vígjáték</t>
  </si>
  <si>
    <t>Nyíri Kovács István</t>
  </si>
  <si>
    <t>Bakos Éva, Fazakas Júlia, Kuna Kata, Mészáros Piroska, Nagypál Gábor, Árvai Péter, Szabó Győző, Börcsök Enikő</t>
  </si>
  <si>
    <t>Hab</t>
  </si>
  <si>
    <t>Lakos Nóra</t>
  </si>
  <si>
    <t>Kerekes Vica, Mátray László, Gyarmati Erik, Zsigmond Emőke, Bányai Miklós</t>
  </si>
  <si>
    <t>Kilakoltatás</t>
  </si>
  <si>
    <t>Fazekas Máté</t>
  </si>
  <si>
    <t>Orosz Ákos, Nagy Mari, Mészáros Blanka, Láng Annamária, Znamenák István, Péter Kata, Pál András, Egger Géza, Török-Illyés Orsolya, Péterfy Bori, Váradi Gergely, Trill Zsolt</t>
  </si>
  <si>
    <t>Lepattanó</t>
  </si>
  <si>
    <t>Vékes Csaba</t>
  </si>
  <si>
    <t>Scherer Péter, Derzsi Dezső, Waskovics Andrea, Patrick Duffy, Elek Ferenc, Harmath Imre, Valcz Péter, Gyuricza István, Rába Roland, Mucsi Zoltán, Gáspár Sándor, Györgyi Anna, Ónodi Gábor, Katona László, Petrik Andrea, Németh Klára, Fekete-Lovas Zsolt</t>
  </si>
  <si>
    <t>Macska a betonban</t>
  </si>
  <si>
    <t>Dalnoky Ferenc</t>
  </si>
  <si>
    <t>Erdei Péter, Tar Sándorné, Bérczesi Márton, Nagyné Szőke Krisztina, Kovács Attila, Somogyi Ferenc</t>
  </si>
  <si>
    <t>Pesti balhé</t>
  </si>
  <si>
    <t>Mészáros Béla, Petrik Andrea, Elek Ferenc, Inotay Ákos, Szabó Simon, Jászberényi Gábor, Reviczky Gábor, Hegedűs D. Géza</t>
  </si>
  <si>
    <t>Szia, Életem!</t>
  </si>
  <si>
    <t>Rohonyi Gábor, Vékes Csaba</t>
  </si>
  <si>
    <t>Thuróczy Szabolcs, Mucsi Zoltán, Básti Juli, Kovács Patrícia, Vékes Csaba, Tasnádi Bence, Pálmai Anna</t>
  </si>
  <si>
    <t>Szimpla manus</t>
  </si>
  <si>
    <t>Magyar Attila</t>
  </si>
  <si>
    <t>Sütő András, Györgyi Anna, Kálloy Molnár Péter, Zsurzs Kati, Harsányi Gábor, Cserna Antal, Dengyel Iván, Sári Éva, Hajdu Steve</t>
  </si>
  <si>
    <t>Tékasztorik 2.</t>
  </si>
  <si>
    <t>Martin Csaba, Czupi Kéla</t>
  </si>
  <si>
    <t>Elek Ferenc, Kamarás Iván, Pindroch Csaba, Bihari Viktória, Csuja Imre, Nagy Adri, Varga Viktor</t>
  </si>
  <si>
    <t>Mi vagyunk Azahriah</t>
  </si>
  <si>
    <t>zenés film</t>
  </si>
  <si>
    <t>Mazzag Izabella</t>
  </si>
  <si>
    <t>Azahriah, Ionescu Raul, Juniki Noémi</t>
  </si>
  <si>
    <t>Hogyan tudnék élni nélküled?</t>
  </si>
  <si>
    <t>zenés vígjáték</t>
  </si>
  <si>
    <t>Orosz Dénes</t>
  </si>
  <si>
    <t>Törőcsik Franciska, Ember Márk, Fecske Dávid, Marics Péter, Brasch Bence, Kirády Marcell, Márkus Luca, Kovács Harmat, Varga-Járó Sára, Medveczky Balázs, Markó-Valentyik Anna, Szántó Balázs, Györgyi Anna, Barta Veronika, Seress Zoltán</t>
  </si>
  <si>
    <t>113</t>
  </si>
  <si>
    <t>65</t>
  </si>
  <si>
    <t>80</t>
  </si>
  <si>
    <t>70</t>
  </si>
  <si>
    <t>74</t>
  </si>
  <si>
    <t>79</t>
  </si>
  <si>
    <t>106</t>
  </si>
  <si>
    <t>107</t>
  </si>
  <si>
    <t>110</t>
  </si>
  <si>
    <t>83</t>
  </si>
  <si>
    <t>82</t>
  </si>
  <si>
    <t>101</t>
  </si>
  <si>
    <t>97</t>
  </si>
  <si>
    <t>72</t>
  </si>
  <si>
    <t>87</t>
  </si>
  <si>
    <t>96</t>
  </si>
  <si>
    <t>62</t>
  </si>
  <si>
    <t>90</t>
  </si>
  <si>
    <t>85</t>
  </si>
  <si>
    <t>88</t>
  </si>
  <si>
    <t>149</t>
  </si>
  <si>
    <t>78</t>
  </si>
  <si>
    <t>103</t>
  </si>
  <si>
    <t>71</t>
  </si>
  <si>
    <t>122</t>
  </si>
  <si>
    <t>94</t>
  </si>
  <si>
    <t>60</t>
  </si>
  <si>
    <t>89</t>
  </si>
  <si>
    <t>93</t>
  </si>
  <si>
    <t>81</t>
  </si>
  <si>
    <t>92</t>
  </si>
  <si>
    <t>108</t>
  </si>
  <si>
    <t>100</t>
  </si>
  <si>
    <t>98</t>
  </si>
  <si>
    <t>123</t>
  </si>
  <si>
    <t>115</t>
  </si>
  <si>
    <t>104</t>
  </si>
  <si>
    <t>84</t>
  </si>
  <si>
    <t>95</t>
  </si>
  <si>
    <t>151</t>
  </si>
  <si>
    <t>119</t>
  </si>
  <si>
    <t>124</t>
  </si>
  <si>
    <t>112</t>
  </si>
  <si>
    <t>153</t>
  </si>
  <si>
    <t>73</t>
  </si>
  <si>
    <t>109</t>
  </si>
  <si>
    <t>77</t>
  </si>
  <si>
    <t>105</t>
  </si>
  <si>
    <t>99</t>
  </si>
  <si>
    <t>102</t>
  </si>
  <si>
    <t>120</t>
  </si>
  <si>
    <t>127</t>
  </si>
  <si>
    <t>86</t>
  </si>
  <si>
    <t>128</t>
  </si>
  <si>
    <t>135</t>
  </si>
  <si>
    <t>116</t>
  </si>
  <si>
    <t>125</t>
  </si>
  <si>
    <t>169</t>
  </si>
  <si>
    <t>91</t>
  </si>
  <si>
    <t>117</t>
  </si>
  <si>
    <t>69</t>
  </si>
  <si>
    <t>114</t>
  </si>
  <si>
    <t>75</t>
  </si>
  <si>
    <t>év</t>
  </si>
  <si>
    <t>évszak</t>
  </si>
  <si>
    <t>összhossz</t>
  </si>
  <si>
    <t>tavasz</t>
  </si>
  <si>
    <t>nyár</t>
  </si>
  <si>
    <t>ősz</t>
  </si>
  <si>
    <t>tél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</si>
</sst>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charset val="238"/>
      <scheme val="minor"/>
    </font>
  </fonts>
  <fills count="3">
    <fill>
      <patternFill patternType="none"/>
    </fill>
    <fill>
      <patternFill patternType="gray125"/>
    </fill>
    <fill>
      <patternFill patternType="solid">
        <fgColor rgb="FFF1BE0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2" fontId="0" fillId="0" borderId="1" xfId="0" applyNumberFormat="1" applyBorder="1" applyAlignment="1">
      <alignment horizontal="center" vertical="center"/>
    </xf>
  </cellXfs>
  <cellStyles count="1">
    <cellStyle name="Normál" xfId="0" builtinId="0"/>
  </cellStyles>
  <dxfs count="1">
    <dxf>
      <fill>
        <patternFill>
          <bgColor rgb="FFFF0000"/>
        </patternFill>
      </fill>
    </dxf>
  </dxfs>
  <tableStyles count="0" defaultTableStyle="TableStyleMedium2" defaultPivotStyle="PivotStyleLight16"/>
  <colors>
    <mruColors>
      <color rgb="FFF1BE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35617-2CA0-4699-8DF2-9D9FD5C9CD2F}">
  <dimension ref="A1:I152"/>
  <sheetViews>
    <sheetView tabSelected="1" zoomScaleNormal="100" workbookViewId="0">
      <pane ySplit="1" topLeftCell="A140" activePane="bottomLeft" state="frozen"/>
      <selection pane="bottomLeft" activeCell="M144" sqref="M144"/>
    </sheetView>
  </sheetViews>
  <sheetFormatPr defaultRowHeight="14.25"/>
  <cols>
    <col min="1" max="1" width="9" style="4"/>
    <col min="2" max="2" width="11" style="4" customWidth="1"/>
    <col min="3" max="3" width="32" style="6" customWidth="1"/>
    <col min="4" max="4" width="18.625" style="4" customWidth="1"/>
    <col min="5" max="5" width="9" style="4"/>
    <col min="6" max="6" width="39.25" style="6" customWidth="1"/>
    <col min="7" max="7" width="33.125" style="7" customWidth="1"/>
    <col min="8" max="8" width="10.875" style="4" customWidth="1"/>
    <col min="9" max="9" width="7.875" style="4" customWidth="1"/>
    <col min="10" max="16384" width="9" style="3"/>
  </cols>
  <sheetData>
    <row r="1" spans="1:9" ht="39.75" customHeight="1">
      <c r="A1" s="1" t="s">
        <v>0</v>
      </c>
      <c r="B1" s="2" t="s">
        <v>1</v>
      </c>
      <c r="C1" s="1" t="s">
        <v>2</v>
      </c>
      <c r="D1" s="1" t="s">
        <v>3</v>
      </c>
      <c r="E1" s="1" t="s">
        <v>4</v>
      </c>
      <c r="F1" s="1" t="s">
        <v>5</v>
      </c>
      <c r="G1" s="2" t="s">
        <v>6</v>
      </c>
      <c r="H1" s="1" t="s">
        <v>7</v>
      </c>
      <c r="I1" s="1" t="s">
        <v>8</v>
      </c>
    </row>
    <row r="2" spans="1:9">
      <c r="A2" s="4">
        <f>YEAR(B2)</f>
        <v>2024</v>
      </c>
      <c r="B2" s="5">
        <v>45617</v>
      </c>
      <c r="C2" s="6" t="s">
        <v>79</v>
      </c>
      <c r="D2" s="4" t="s">
        <v>43</v>
      </c>
      <c r="E2" s="8" t="s">
        <v>454</v>
      </c>
      <c r="F2" s="6" t="s">
        <v>80</v>
      </c>
      <c r="H2" s="4" t="s">
        <v>81</v>
      </c>
      <c r="I2" s="4" t="str">
        <f>_xlfn.IFS(OR(MONTH(B2)&gt;11,MONTH(B2)&lt;3),"tél",MONTH(B2)&gt;8,"ősz",MONTH(B2)&gt;5,"nyár",MONTH(B2)&gt;2,"tavasz")</f>
        <v>ősz</v>
      </c>
    </row>
    <row r="3" spans="1:9">
      <c r="A3" s="4">
        <f>YEAR(B3)</f>
        <v>2024</v>
      </c>
      <c r="B3" s="5">
        <v>45631</v>
      </c>
      <c r="C3" s="6" t="s">
        <v>86</v>
      </c>
      <c r="D3" s="4" t="s">
        <v>43</v>
      </c>
      <c r="E3" s="8" t="s">
        <v>442</v>
      </c>
      <c r="F3" s="6" t="s">
        <v>87</v>
      </c>
      <c r="H3" s="4" t="s">
        <v>81</v>
      </c>
      <c r="I3" s="4" t="str">
        <f t="shared" ref="I3:I66" si="0">_xlfn.IFS(OR(MONTH(B3)&gt;11,MONTH(B3)&lt;3),"tél",MONTH(B3)&gt;8,"ősz",MONTH(B3)&gt;5,"nyár",MONTH(B3)&gt;2,"tavasz")</f>
        <v>tél</v>
      </c>
    </row>
    <row r="4" spans="1:9">
      <c r="A4" s="4">
        <f>YEAR(B4)</f>
        <v>2024</v>
      </c>
      <c r="B4" s="5">
        <v>45547</v>
      </c>
      <c r="C4" s="6" t="s">
        <v>94</v>
      </c>
      <c r="D4" s="4" t="s">
        <v>43</v>
      </c>
      <c r="E4" s="8" t="s">
        <v>447</v>
      </c>
      <c r="F4" s="6" t="s">
        <v>95</v>
      </c>
      <c r="H4" s="4" t="s">
        <v>81</v>
      </c>
      <c r="I4" s="4" t="str">
        <f t="shared" si="0"/>
        <v>ősz</v>
      </c>
    </row>
    <row r="5" spans="1:9" ht="57">
      <c r="A5" s="4">
        <f>YEAR(B5)</f>
        <v>2022</v>
      </c>
      <c r="B5" s="5">
        <v>44723</v>
      </c>
      <c r="C5" s="6" t="s">
        <v>301</v>
      </c>
      <c r="D5" s="4" t="s">
        <v>302</v>
      </c>
      <c r="E5" s="8" t="s">
        <v>441</v>
      </c>
      <c r="F5" s="6" t="s">
        <v>303</v>
      </c>
      <c r="G5" s="7" t="s">
        <v>304</v>
      </c>
      <c r="H5" s="4" t="s">
        <v>81</v>
      </c>
      <c r="I5" s="4" t="str">
        <f t="shared" si="0"/>
        <v>nyár</v>
      </c>
    </row>
    <row r="6" spans="1:9" ht="85.5">
      <c r="A6" s="4">
        <f>YEAR(B6)</f>
        <v>2024</v>
      </c>
      <c r="B6" s="5">
        <v>45617</v>
      </c>
      <c r="C6" s="6" t="s">
        <v>358</v>
      </c>
      <c r="D6" s="4" t="s">
        <v>349</v>
      </c>
      <c r="E6" s="8" t="s">
        <v>471</v>
      </c>
      <c r="F6" s="6" t="s">
        <v>242</v>
      </c>
      <c r="G6" s="7" t="s">
        <v>359</v>
      </c>
      <c r="H6" s="4" t="s">
        <v>81</v>
      </c>
      <c r="I6" s="4" t="str">
        <f t="shared" si="0"/>
        <v>ősz</v>
      </c>
    </row>
    <row r="7" spans="1:9">
      <c r="A7" s="4">
        <f>YEAR(B7)</f>
        <v>2024</v>
      </c>
      <c r="B7" s="5">
        <v>45624</v>
      </c>
      <c r="C7" s="6" t="s">
        <v>416</v>
      </c>
      <c r="D7" s="4" t="s">
        <v>417</v>
      </c>
      <c r="E7" s="4" t="s">
        <v>81</v>
      </c>
      <c r="F7" s="6" t="s">
        <v>418</v>
      </c>
      <c r="G7" s="7" t="s">
        <v>419</v>
      </c>
      <c r="H7" s="4" t="s">
        <v>81</v>
      </c>
      <c r="I7" s="4" t="str">
        <f t="shared" si="0"/>
        <v>ősz</v>
      </c>
    </row>
    <row r="8" spans="1:9" ht="99.75">
      <c r="A8" s="4">
        <f>YEAR(B8)</f>
        <v>2024</v>
      </c>
      <c r="B8" s="5">
        <v>45638</v>
      </c>
      <c r="C8" s="6" t="s">
        <v>420</v>
      </c>
      <c r="D8" s="4" t="s">
        <v>421</v>
      </c>
      <c r="E8" s="4" t="s">
        <v>81</v>
      </c>
      <c r="F8" s="6" t="s">
        <v>422</v>
      </c>
      <c r="G8" s="7" t="s">
        <v>423</v>
      </c>
      <c r="H8" s="4" t="s">
        <v>81</v>
      </c>
      <c r="I8" s="4" t="str">
        <f t="shared" si="0"/>
        <v>tél</v>
      </c>
    </row>
    <row r="9" spans="1:9">
      <c r="A9" s="4">
        <f>YEAR(B9)</f>
        <v>2022</v>
      </c>
      <c r="B9" s="5">
        <v>44826</v>
      </c>
      <c r="C9" s="6" t="s">
        <v>21</v>
      </c>
      <c r="D9" s="4" t="s">
        <v>14</v>
      </c>
      <c r="E9" s="8" t="s">
        <v>425</v>
      </c>
      <c r="F9" s="6" t="s">
        <v>22</v>
      </c>
      <c r="H9" s="4">
        <v>10</v>
      </c>
      <c r="I9" s="4" t="str">
        <f t="shared" si="0"/>
        <v>ősz</v>
      </c>
    </row>
    <row r="10" spans="1:9">
      <c r="A10" s="4">
        <f>YEAR(B10)</f>
        <v>2022</v>
      </c>
      <c r="B10" s="5">
        <v>44623</v>
      </c>
      <c r="C10" s="6" t="s">
        <v>27</v>
      </c>
      <c r="D10" s="4" t="s">
        <v>14</v>
      </c>
      <c r="E10" s="8" t="s">
        <v>426</v>
      </c>
      <c r="F10" s="6" t="s">
        <v>28</v>
      </c>
      <c r="H10" s="4">
        <v>10</v>
      </c>
      <c r="I10" s="4" t="str">
        <f t="shared" si="0"/>
        <v>tavasz</v>
      </c>
    </row>
    <row r="11" spans="1:9" ht="57">
      <c r="A11" s="4">
        <f>YEAR(B11)</f>
        <v>2023</v>
      </c>
      <c r="B11" s="5">
        <v>45057</v>
      </c>
      <c r="C11" s="6" t="s">
        <v>35</v>
      </c>
      <c r="D11" s="4" t="s">
        <v>36</v>
      </c>
      <c r="E11" s="8" t="s">
        <v>435</v>
      </c>
      <c r="F11" s="6" t="s">
        <v>37</v>
      </c>
      <c r="G11" s="7" t="s">
        <v>38</v>
      </c>
      <c r="H11" s="4">
        <v>10</v>
      </c>
      <c r="I11" s="4" t="str">
        <f t="shared" si="0"/>
        <v>tavasz</v>
      </c>
    </row>
    <row r="12" spans="1:9">
      <c r="A12" s="4">
        <f>YEAR(B12)</f>
        <v>2024</v>
      </c>
      <c r="B12" s="5">
        <v>45589</v>
      </c>
      <c r="C12" s="6" t="s">
        <v>56</v>
      </c>
      <c r="D12" s="4" t="s">
        <v>43</v>
      </c>
      <c r="E12" s="8" t="s">
        <v>437</v>
      </c>
      <c r="F12" s="6" t="s">
        <v>57</v>
      </c>
      <c r="H12" s="4">
        <v>10</v>
      </c>
      <c r="I12" s="4" t="str">
        <f t="shared" si="0"/>
        <v>ősz</v>
      </c>
    </row>
    <row r="13" spans="1:9">
      <c r="A13" s="4">
        <f>YEAR(B13)</f>
        <v>2021</v>
      </c>
      <c r="B13" s="5">
        <v>44385</v>
      </c>
      <c r="C13" s="6" t="s">
        <v>68</v>
      </c>
      <c r="D13" s="4" t="s">
        <v>43</v>
      </c>
      <c r="E13" s="8" t="s">
        <v>438</v>
      </c>
      <c r="F13" s="6" t="s">
        <v>69</v>
      </c>
      <c r="H13" s="4">
        <v>10</v>
      </c>
      <c r="I13" s="4" t="str">
        <f t="shared" si="0"/>
        <v>nyár</v>
      </c>
    </row>
    <row r="14" spans="1:9">
      <c r="A14" s="4">
        <f>YEAR(B14)</f>
        <v>2024</v>
      </c>
      <c r="B14" s="5">
        <v>45561</v>
      </c>
      <c r="C14" s="6" t="s">
        <v>72</v>
      </c>
      <c r="D14" s="4" t="s">
        <v>43</v>
      </c>
      <c r="E14" s="8" t="s">
        <v>439</v>
      </c>
      <c r="F14" s="6" t="s">
        <v>73</v>
      </c>
      <c r="H14" s="4">
        <v>10</v>
      </c>
      <c r="I14" s="4" t="str">
        <f t="shared" si="0"/>
        <v>ősz</v>
      </c>
    </row>
    <row r="15" spans="1:9" ht="57">
      <c r="A15" s="4">
        <f>YEAR(B15)</f>
        <v>2021</v>
      </c>
      <c r="B15" s="5">
        <v>44497</v>
      </c>
      <c r="C15" s="6" t="s">
        <v>145</v>
      </c>
      <c r="D15" s="4" t="s">
        <v>119</v>
      </c>
      <c r="E15" s="8" t="s">
        <v>424</v>
      </c>
      <c r="F15" s="6" t="s">
        <v>146</v>
      </c>
      <c r="G15" s="7" t="s">
        <v>147</v>
      </c>
      <c r="H15" s="4">
        <v>10</v>
      </c>
      <c r="I15" s="4" t="str">
        <f t="shared" si="0"/>
        <v>ősz</v>
      </c>
    </row>
    <row r="16" spans="1:9">
      <c r="A16" s="4">
        <f>YEAR(B16)</f>
        <v>2020</v>
      </c>
      <c r="B16" s="5">
        <v>44014</v>
      </c>
      <c r="C16" s="6" t="s">
        <v>110</v>
      </c>
      <c r="D16" s="4" t="s">
        <v>43</v>
      </c>
      <c r="E16" s="8" t="s">
        <v>440</v>
      </c>
      <c r="F16" s="6" t="s">
        <v>111</v>
      </c>
      <c r="H16" s="4">
        <v>9.6999999999999993</v>
      </c>
      <c r="I16" s="4" t="str">
        <f t="shared" si="0"/>
        <v>nyár</v>
      </c>
    </row>
    <row r="17" spans="1:9">
      <c r="A17" s="4">
        <f>YEAR(B17)</f>
        <v>2020</v>
      </c>
      <c r="B17" s="5">
        <v>44021</v>
      </c>
      <c r="C17" s="6" t="s">
        <v>49</v>
      </c>
      <c r="D17" s="4" t="s">
        <v>43</v>
      </c>
      <c r="E17" s="8" t="s">
        <v>441</v>
      </c>
      <c r="F17" s="6" t="s">
        <v>50</v>
      </c>
      <c r="H17" s="4">
        <v>9.6</v>
      </c>
      <c r="I17" s="4" t="str">
        <f t="shared" si="0"/>
        <v>nyár</v>
      </c>
    </row>
    <row r="18" spans="1:9">
      <c r="A18" s="4">
        <f>YEAR(B18)</f>
        <v>2022</v>
      </c>
      <c r="B18" s="5">
        <v>44847</v>
      </c>
      <c r="C18" s="6" t="s">
        <v>90</v>
      </c>
      <c r="D18" s="4" t="s">
        <v>43</v>
      </c>
      <c r="E18" s="8" t="s">
        <v>426</v>
      </c>
      <c r="F18" s="6" t="s">
        <v>91</v>
      </c>
      <c r="H18" s="4">
        <v>9.6</v>
      </c>
      <c r="I18" s="4" t="str">
        <f t="shared" si="0"/>
        <v>ősz</v>
      </c>
    </row>
    <row r="19" spans="1:9">
      <c r="A19" s="4">
        <f>YEAR(B19)</f>
        <v>2023</v>
      </c>
      <c r="B19" s="5">
        <v>45204</v>
      </c>
      <c r="C19" s="6" t="s">
        <v>106</v>
      </c>
      <c r="D19" s="4" t="s">
        <v>43</v>
      </c>
      <c r="E19" s="8" t="s">
        <v>442</v>
      </c>
      <c r="F19" s="6" t="s">
        <v>107</v>
      </c>
      <c r="H19" s="4">
        <v>9.6</v>
      </c>
      <c r="I19" s="4" t="str">
        <f t="shared" si="0"/>
        <v>ősz</v>
      </c>
    </row>
    <row r="20" spans="1:9">
      <c r="A20" s="4">
        <f>YEAR(B20)</f>
        <v>2024</v>
      </c>
      <c r="B20" s="5">
        <v>45379</v>
      </c>
      <c r="C20" s="6" t="s">
        <v>20</v>
      </c>
      <c r="D20" s="4" t="s">
        <v>14</v>
      </c>
      <c r="E20" s="8" t="s">
        <v>427</v>
      </c>
      <c r="F20" s="6" t="s">
        <v>19</v>
      </c>
      <c r="H20" s="4">
        <v>9.5</v>
      </c>
      <c r="I20" s="4" t="str">
        <f t="shared" si="0"/>
        <v>tavasz</v>
      </c>
    </row>
    <row r="21" spans="1:9">
      <c r="A21" s="4">
        <f>YEAR(B21)</f>
        <v>2022</v>
      </c>
      <c r="B21" s="5">
        <v>44840</v>
      </c>
      <c r="C21" s="6" t="s">
        <v>70</v>
      </c>
      <c r="D21" s="4" t="s">
        <v>43</v>
      </c>
      <c r="E21" s="8" t="s">
        <v>442</v>
      </c>
      <c r="F21" s="6" t="s">
        <v>71</v>
      </c>
      <c r="H21" s="4">
        <v>9.5</v>
      </c>
      <c r="I21" s="4" t="str">
        <f t="shared" si="0"/>
        <v>ősz</v>
      </c>
    </row>
    <row r="22" spans="1:9">
      <c r="A22" s="4">
        <f>YEAR(B22)</f>
        <v>2022</v>
      </c>
      <c r="B22" s="5">
        <v>44819</v>
      </c>
      <c r="C22" s="6" t="s">
        <v>84</v>
      </c>
      <c r="D22" s="4" t="s">
        <v>43</v>
      </c>
      <c r="E22" s="8" t="s">
        <v>426</v>
      </c>
      <c r="F22" s="6" t="s">
        <v>85</v>
      </c>
      <c r="H22" s="4">
        <v>9.4</v>
      </c>
      <c r="I22" s="4" t="str">
        <f t="shared" si="0"/>
        <v>ősz</v>
      </c>
    </row>
    <row r="23" spans="1:9">
      <c r="A23" s="4">
        <f>YEAR(B23)</f>
        <v>2020</v>
      </c>
      <c r="B23" s="5">
        <v>44021</v>
      </c>
      <c r="C23" s="6" t="s">
        <v>16</v>
      </c>
      <c r="D23" s="4" t="s">
        <v>14</v>
      </c>
      <c r="E23" s="8" t="s">
        <v>428</v>
      </c>
      <c r="F23" s="6" t="s">
        <v>17</v>
      </c>
      <c r="H23" s="4">
        <v>9.3000000000000007</v>
      </c>
      <c r="I23" s="4" t="str">
        <f t="shared" si="0"/>
        <v>nyár</v>
      </c>
    </row>
    <row r="24" spans="1:9">
      <c r="A24" s="4">
        <f>YEAR(B24)</f>
        <v>2024</v>
      </c>
      <c r="B24" s="5">
        <v>45386</v>
      </c>
      <c r="C24" s="6" t="s">
        <v>23</v>
      </c>
      <c r="D24" s="4" t="s">
        <v>14</v>
      </c>
      <c r="E24" s="8" t="s">
        <v>429</v>
      </c>
      <c r="F24" s="6" t="s">
        <v>24</v>
      </c>
      <c r="H24" s="4">
        <v>9.3000000000000007</v>
      </c>
      <c r="I24" s="4" t="str">
        <f t="shared" si="0"/>
        <v>tavasz</v>
      </c>
    </row>
    <row r="25" spans="1:9" ht="42.75">
      <c r="A25" s="4">
        <f>YEAR(B25)</f>
        <v>2024</v>
      </c>
      <c r="B25" s="5">
        <v>45337</v>
      </c>
      <c r="C25" s="6" t="s">
        <v>229</v>
      </c>
      <c r="D25" s="4" t="s">
        <v>119</v>
      </c>
      <c r="E25" s="8" t="s">
        <v>455</v>
      </c>
      <c r="F25" s="6" t="s">
        <v>230</v>
      </c>
      <c r="G25" s="7" t="s">
        <v>231</v>
      </c>
      <c r="H25" s="4">
        <v>9.3000000000000007</v>
      </c>
      <c r="I25" s="4" t="str">
        <f t="shared" si="0"/>
        <v>tél</v>
      </c>
    </row>
    <row r="26" spans="1:9">
      <c r="A26" s="4">
        <f>YEAR(B26)</f>
        <v>2024</v>
      </c>
      <c r="B26" s="5">
        <v>45435</v>
      </c>
      <c r="C26" s="6">
        <v>2550</v>
      </c>
      <c r="D26" s="4" t="s">
        <v>43</v>
      </c>
      <c r="E26" s="8" t="s">
        <v>440</v>
      </c>
      <c r="F26" s="6" t="s">
        <v>44</v>
      </c>
      <c r="H26" s="4">
        <v>9.1999999999999993</v>
      </c>
      <c r="I26" s="4" t="str">
        <f t="shared" si="0"/>
        <v>tavasz</v>
      </c>
    </row>
    <row r="27" spans="1:9">
      <c r="A27" s="4">
        <f>YEAR(B27)</f>
        <v>2021</v>
      </c>
      <c r="B27" s="5">
        <v>44504</v>
      </c>
      <c r="C27" s="6" t="s">
        <v>113</v>
      </c>
      <c r="D27" s="4" t="s">
        <v>43</v>
      </c>
      <c r="E27" s="8" t="s">
        <v>443</v>
      </c>
      <c r="F27" s="6" t="s">
        <v>114</v>
      </c>
      <c r="H27" s="4">
        <v>9.1999999999999993</v>
      </c>
      <c r="I27" s="4" t="str">
        <f t="shared" si="0"/>
        <v>ősz</v>
      </c>
    </row>
    <row r="28" spans="1:9">
      <c r="A28" s="4">
        <f>YEAR(B28)</f>
        <v>2023</v>
      </c>
      <c r="B28" s="5">
        <v>45015</v>
      </c>
      <c r="C28" s="6" t="s">
        <v>102</v>
      </c>
      <c r="D28" s="4" t="s">
        <v>43</v>
      </c>
      <c r="E28" s="8" t="s">
        <v>425</v>
      </c>
      <c r="F28" s="6" t="s">
        <v>103</v>
      </c>
      <c r="H28" s="4">
        <v>9.1</v>
      </c>
      <c r="I28" s="4" t="str">
        <f t="shared" si="0"/>
        <v>tavasz</v>
      </c>
    </row>
    <row r="29" spans="1:9">
      <c r="A29" s="4">
        <f>YEAR(B29)</f>
        <v>2023</v>
      </c>
      <c r="B29" s="5">
        <v>45183</v>
      </c>
      <c r="C29" s="6" t="s">
        <v>115</v>
      </c>
      <c r="D29" s="4" t="s">
        <v>43</v>
      </c>
      <c r="E29" s="8" t="s">
        <v>439</v>
      </c>
      <c r="F29" s="6" t="s">
        <v>57</v>
      </c>
      <c r="H29" s="4">
        <v>9.1</v>
      </c>
      <c r="I29" s="4" t="str">
        <f t="shared" si="0"/>
        <v>ősz</v>
      </c>
    </row>
    <row r="30" spans="1:9" ht="42.75">
      <c r="A30" s="4">
        <f>YEAR(B30)</f>
        <v>2024</v>
      </c>
      <c r="B30" s="5">
        <v>45596</v>
      </c>
      <c r="C30" s="6" t="s">
        <v>154</v>
      </c>
      <c r="D30" s="4" t="s">
        <v>119</v>
      </c>
      <c r="E30" s="8" t="s">
        <v>456</v>
      </c>
      <c r="F30" s="6" t="s">
        <v>155</v>
      </c>
      <c r="G30" s="7" t="s">
        <v>156</v>
      </c>
      <c r="H30" s="4">
        <v>9.1</v>
      </c>
      <c r="I30" s="4" t="str">
        <f t="shared" si="0"/>
        <v>ősz</v>
      </c>
    </row>
    <row r="31" spans="1:9">
      <c r="A31" s="4">
        <f>YEAR(B31)</f>
        <v>2023</v>
      </c>
      <c r="B31" s="5">
        <v>45001</v>
      </c>
      <c r="C31" s="6" t="s">
        <v>25</v>
      </c>
      <c r="D31" s="4" t="s">
        <v>14</v>
      </c>
      <c r="E31" s="8" t="s">
        <v>430</v>
      </c>
      <c r="F31" s="6" t="s">
        <v>26</v>
      </c>
      <c r="H31" s="4">
        <v>9</v>
      </c>
      <c r="I31" s="4" t="str">
        <f t="shared" si="0"/>
        <v>tavasz</v>
      </c>
    </row>
    <row r="32" spans="1:9">
      <c r="A32" s="4">
        <f>YEAR(B32)</f>
        <v>2023</v>
      </c>
      <c r="B32" s="5">
        <v>45036</v>
      </c>
      <c r="C32" s="6" t="s">
        <v>52</v>
      </c>
      <c r="D32" s="4" t="s">
        <v>43</v>
      </c>
      <c r="E32" s="8" t="s">
        <v>444</v>
      </c>
      <c r="F32" s="6" t="s">
        <v>53</v>
      </c>
      <c r="H32" s="4">
        <v>9</v>
      </c>
      <c r="I32" s="4" t="str">
        <f t="shared" si="0"/>
        <v>tavasz</v>
      </c>
    </row>
    <row r="33" spans="1:9" ht="99.75">
      <c r="A33" s="4">
        <f>YEAR(B33)</f>
        <v>2024</v>
      </c>
      <c r="B33" s="5">
        <v>45547</v>
      </c>
      <c r="C33" s="6" t="s">
        <v>373</v>
      </c>
      <c r="D33" s="4" t="s">
        <v>370</v>
      </c>
      <c r="E33" s="8" t="s">
        <v>428</v>
      </c>
      <c r="F33" s="6" t="s">
        <v>374</v>
      </c>
      <c r="G33" s="7" t="s">
        <v>375</v>
      </c>
      <c r="H33" s="4">
        <v>9</v>
      </c>
      <c r="I33" s="4" t="str">
        <f t="shared" si="0"/>
        <v>ősz</v>
      </c>
    </row>
    <row r="34" spans="1:9" ht="42.75">
      <c r="A34" s="4">
        <f>YEAR(B34)</f>
        <v>2023</v>
      </c>
      <c r="B34" s="5">
        <v>45246</v>
      </c>
      <c r="C34" s="6" t="s">
        <v>385</v>
      </c>
      <c r="D34" s="4" t="s">
        <v>386</v>
      </c>
      <c r="E34" s="8" t="s">
        <v>469</v>
      </c>
      <c r="F34" s="6" t="s">
        <v>387</v>
      </c>
      <c r="G34" s="7" t="s">
        <v>388</v>
      </c>
      <c r="H34" s="4">
        <v>9</v>
      </c>
      <c r="I34" s="4" t="str">
        <f t="shared" si="0"/>
        <v>ősz</v>
      </c>
    </row>
    <row r="35" spans="1:9">
      <c r="A35" s="4">
        <f>YEAR(B35)</f>
        <v>2022</v>
      </c>
      <c r="B35" s="5">
        <v>44903</v>
      </c>
      <c r="C35" s="6" t="s">
        <v>54</v>
      </c>
      <c r="D35" s="4" t="s">
        <v>43</v>
      </c>
      <c r="E35" s="8" t="s">
        <v>445</v>
      </c>
      <c r="F35" s="6" t="s">
        <v>55</v>
      </c>
      <c r="H35" s="4">
        <v>8.9</v>
      </c>
      <c r="I35" s="4" t="str">
        <f t="shared" si="0"/>
        <v>tél</v>
      </c>
    </row>
    <row r="36" spans="1:9">
      <c r="A36" s="4">
        <f>YEAR(B36)</f>
        <v>2020</v>
      </c>
      <c r="B36" s="5">
        <v>44035</v>
      </c>
      <c r="C36" s="6" t="s">
        <v>58</v>
      </c>
      <c r="D36" s="4" t="s">
        <v>43</v>
      </c>
      <c r="E36" s="8" t="s">
        <v>442</v>
      </c>
      <c r="F36" s="6" t="s">
        <v>59</v>
      </c>
      <c r="H36" s="4">
        <v>8.9</v>
      </c>
      <c r="I36" s="4" t="str">
        <f t="shared" si="0"/>
        <v>nyár</v>
      </c>
    </row>
    <row r="37" spans="1:9" ht="42.75">
      <c r="A37" s="4">
        <f>YEAR(B37)</f>
        <v>2022</v>
      </c>
      <c r="B37" s="5">
        <v>44882</v>
      </c>
      <c r="C37" s="6" t="s">
        <v>295</v>
      </c>
      <c r="D37" s="4" t="s">
        <v>292</v>
      </c>
      <c r="E37" s="8" t="s">
        <v>477</v>
      </c>
      <c r="F37" s="6" t="s">
        <v>296</v>
      </c>
      <c r="G37" s="7" t="s">
        <v>297</v>
      </c>
      <c r="H37" s="4">
        <v>8.9</v>
      </c>
      <c r="I37" s="4" t="str">
        <f t="shared" si="0"/>
        <v>ősz</v>
      </c>
    </row>
    <row r="38" spans="1:9" ht="28.5">
      <c r="A38" s="4">
        <f>YEAR(B38)</f>
        <v>2024</v>
      </c>
      <c r="B38" s="5">
        <v>45365</v>
      </c>
      <c r="C38" s="6" t="s">
        <v>189</v>
      </c>
      <c r="D38" s="4" t="s">
        <v>119</v>
      </c>
      <c r="E38" s="8" t="s">
        <v>447</v>
      </c>
      <c r="F38" s="6" t="s">
        <v>132</v>
      </c>
      <c r="G38" s="7" t="s">
        <v>190</v>
      </c>
      <c r="H38" s="4">
        <v>8.6999999999999993</v>
      </c>
      <c r="I38" s="4" t="str">
        <f t="shared" si="0"/>
        <v>tavasz</v>
      </c>
    </row>
    <row r="39" spans="1:9">
      <c r="A39" s="4">
        <f>YEAR(B39)</f>
        <v>2021</v>
      </c>
      <c r="B39" s="5">
        <v>44350</v>
      </c>
      <c r="C39" s="6" t="s">
        <v>112</v>
      </c>
      <c r="D39" s="4" t="s">
        <v>43</v>
      </c>
      <c r="E39" s="8" t="s">
        <v>437</v>
      </c>
      <c r="F39" s="6" t="s">
        <v>91</v>
      </c>
      <c r="H39" s="4">
        <v>8.6</v>
      </c>
      <c r="I39" s="4" t="str">
        <f t="shared" si="0"/>
        <v>nyár</v>
      </c>
    </row>
    <row r="40" spans="1:9">
      <c r="A40" s="4">
        <f>YEAR(B40)</f>
        <v>2023</v>
      </c>
      <c r="B40" s="5">
        <v>45022</v>
      </c>
      <c r="C40" s="6" t="s">
        <v>18</v>
      </c>
      <c r="D40" s="4" t="s">
        <v>14</v>
      </c>
      <c r="E40" s="8" t="s">
        <v>427</v>
      </c>
      <c r="F40" s="6" t="s">
        <v>19</v>
      </c>
      <c r="H40" s="4">
        <v>8.5</v>
      </c>
      <c r="I40" s="4" t="str">
        <f t="shared" si="0"/>
        <v>tavasz</v>
      </c>
    </row>
    <row r="41" spans="1:9" ht="42.75">
      <c r="A41" s="4">
        <f>YEAR(B41)</f>
        <v>2021</v>
      </c>
      <c r="B41" s="5">
        <v>44469</v>
      </c>
      <c r="C41" s="6" t="s">
        <v>191</v>
      </c>
      <c r="D41" s="4" t="s">
        <v>119</v>
      </c>
      <c r="E41" s="8" t="s">
        <v>457</v>
      </c>
      <c r="F41" s="6" t="s">
        <v>192</v>
      </c>
      <c r="G41" s="7" t="s">
        <v>193</v>
      </c>
      <c r="H41" s="4">
        <v>8.4</v>
      </c>
      <c r="I41" s="4" t="str">
        <f t="shared" si="0"/>
        <v>ősz</v>
      </c>
    </row>
    <row r="42" spans="1:9">
      <c r="A42" s="4">
        <f>YEAR(B42)</f>
        <v>2022</v>
      </c>
      <c r="B42" s="5">
        <v>44854</v>
      </c>
      <c r="C42" s="6" t="s">
        <v>31</v>
      </c>
      <c r="D42" s="4" t="s">
        <v>14</v>
      </c>
      <c r="E42" s="8" t="s">
        <v>431</v>
      </c>
      <c r="F42" s="6" t="s">
        <v>32</v>
      </c>
      <c r="H42" s="4">
        <v>8.3000000000000007</v>
      </c>
      <c r="I42" s="4" t="str">
        <f t="shared" si="0"/>
        <v>ősz</v>
      </c>
    </row>
    <row r="43" spans="1:9">
      <c r="A43" s="4">
        <f>YEAR(B43)</f>
        <v>2023</v>
      </c>
      <c r="B43" s="5">
        <v>45274</v>
      </c>
      <c r="C43" s="6" t="s">
        <v>244</v>
      </c>
      <c r="D43" s="4" t="s">
        <v>119</v>
      </c>
      <c r="E43" s="8" t="s">
        <v>441</v>
      </c>
      <c r="F43" s="6" t="s">
        <v>245</v>
      </c>
      <c r="G43" s="7" t="s">
        <v>246</v>
      </c>
      <c r="H43" s="4">
        <v>8.3000000000000007</v>
      </c>
      <c r="I43" s="4" t="str">
        <f t="shared" si="0"/>
        <v>tél</v>
      </c>
    </row>
    <row r="44" spans="1:9" ht="42.75">
      <c r="A44" s="4">
        <f>YEAR(B44)</f>
        <v>2024</v>
      </c>
      <c r="B44" s="5">
        <v>45330</v>
      </c>
      <c r="C44" s="6" t="s">
        <v>122</v>
      </c>
      <c r="D44" s="4" t="s">
        <v>119</v>
      </c>
      <c r="E44" s="8" t="s">
        <v>446</v>
      </c>
      <c r="F44" s="6" t="s">
        <v>123</v>
      </c>
      <c r="G44" s="7" t="s">
        <v>124</v>
      </c>
      <c r="H44" s="4">
        <v>8.1999999999999993</v>
      </c>
      <c r="I44" s="4" t="str">
        <f t="shared" si="0"/>
        <v>tél</v>
      </c>
    </row>
    <row r="45" spans="1:9">
      <c r="A45" s="4">
        <f>YEAR(B45)</f>
        <v>2022</v>
      </c>
      <c r="B45" s="5">
        <v>44896</v>
      </c>
      <c r="C45" s="6" t="s">
        <v>194</v>
      </c>
      <c r="D45" s="4" t="s">
        <v>119</v>
      </c>
      <c r="E45" s="8" t="s">
        <v>455</v>
      </c>
      <c r="F45" s="6" t="s">
        <v>195</v>
      </c>
      <c r="G45" s="7" t="s">
        <v>196</v>
      </c>
      <c r="H45" s="4">
        <v>8.1</v>
      </c>
      <c r="I45" s="4" t="str">
        <f t="shared" si="0"/>
        <v>tél</v>
      </c>
    </row>
    <row r="46" spans="1:9" ht="42.75">
      <c r="A46" s="4">
        <f>YEAR(B46)</f>
        <v>2021</v>
      </c>
      <c r="B46" s="5">
        <v>44546</v>
      </c>
      <c r="C46" s="6" t="s">
        <v>203</v>
      </c>
      <c r="D46" s="4" t="s">
        <v>119</v>
      </c>
      <c r="E46" s="8" t="s">
        <v>458</v>
      </c>
      <c r="F46" s="6" t="s">
        <v>204</v>
      </c>
      <c r="G46" s="7" t="s">
        <v>205</v>
      </c>
      <c r="H46" s="4">
        <v>8.1</v>
      </c>
      <c r="I46" s="4" t="str">
        <f t="shared" si="0"/>
        <v>tél</v>
      </c>
    </row>
    <row r="47" spans="1:9" ht="28.5">
      <c r="A47" s="4">
        <f>YEAR(B47)</f>
        <v>2020</v>
      </c>
      <c r="B47" s="5">
        <v>43867</v>
      </c>
      <c r="C47" s="6" t="s">
        <v>264</v>
      </c>
      <c r="D47" s="4" t="s">
        <v>265</v>
      </c>
      <c r="E47" s="8" t="s">
        <v>474</v>
      </c>
      <c r="F47" s="6" t="s">
        <v>266</v>
      </c>
      <c r="G47" s="7" t="s">
        <v>267</v>
      </c>
      <c r="H47" s="4">
        <v>8.1</v>
      </c>
      <c r="I47" s="4" t="str">
        <f t="shared" si="0"/>
        <v>tél</v>
      </c>
    </row>
    <row r="48" spans="1:9" ht="57">
      <c r="A48" s="4">
        <f>YEAR(B48)</f>
        <v>2022</v>
      </c>
      <c r="B48" s="5">
        <v>44707</v>
      </c>
      <c r="C48" s="6" t="s">
        <v>366</v>
      </c>
      <c r="D48" s="4" t="s">
        <v>349</v>
      </c>
      <c r="E48" s="8" t="s">
        <v>442</v>
      </c>
      <c r="F48" s="6" t="s">
        <v>367</v>
      </c>
      <c r="G48" s="7" t="s">
        <v>368</v>
      </c>
      <c r="H48" s="4">
        <v>8.1</v>
      </c>
      <c r="I48" s="4" t="str">
        <f t="shared" si="0"/>
        <v>tavasz</v>
      </c>
    </row>
    <row r="49" spans="1:9">
      <c r="A49" s="4">
        <f>YEAR(B49)</f>
        <v>2022</v>
      </c>
      <c r="B49" s="5">
        <v>44875</v>
      </c>
      <c r="C49" s="6" t="s">
        <v>60</v>
      </c>
      <c r="D49" s="4" t="s">
        <v>43</v>
      </c>
      <c r="E49" s="8" t="s">
        <v>441</v>
      </c>
      <c r="F49" s="6" t="s">
        <v>61</v>
      </c>
      <c r="H49" s="4">
        <v>8</v>
      </c>
      <c r="I49" s="4" t="str">
        <f t="shared" si="0"/>
        <v>ősz</v>
      </c>
    </row>
    <row r="50" spans="1:9" ht="85.5">
      <c r="A50" s="4">
        <f>YEAR(B50)</f>
        <v>2022</v>
      </c>
      <c r="B50" s="5">
        <v>44567</v>
      </c>
      <c r="C50" s="6" t="s">
        <v>128</v>
      </c>
      <c r="D50" s="4" t="s">
        <v>119</v>
      </c>
      <c r="E50" s="8" t="s">
        <v>459</v>
      </c>
      <c r="F50" s="6" t="s">
        <v>129</v>
      </c>
      <c r="G50" s="7" t="s">
        <v>130</v>
      </c>
      <c r="H50" s="4">
        <v>8</v>
      </c>
      <c r="I50" s="4" t="str">
        <f t="shared" si="0"/>
        <v>tél</v>
      </c>
    </row>
    <row r="51" spans="1:9" ht="42.75">
      <c r="A51" s="4">
        <f>YEAR(B51)</f>
        <v>2024</v>
      </c>
      <c r="B51" s="5">
        <v>45575</v>
      </c>
      <c r="C51" s="6" t="s">
        <v>143</v>
      </c>
      <c r="D51" s="4" t="s">
        <v>119</v>
      </c>
      <c r="E51" s="8" t="s">
        <v>434</v>
      </c>
      <c r="F51" s="6" t="s">
        <v>132</v>
      </c>
      <c r="G51" s="7" t="s">
        <v>144</v>
      </c>
      <c r="H51" s="4">
        <v>8</v>
      </c>
      <c r="I51" s="4" t="str">
        <f t="shared" si="0"/>
        <v>ősz</v>
      </c>
    </row>
    <row r="52" spans="1:9" ht="57">
      <c r="A52" s="4">
        <f>YEAR(B52)</f>
        <v>2022</v>
      </c>
      <c r="B52" s="5">
        <v>44826</v>
      </c>
      <c r="C52" s="6" t="s">
        <v>277</v>
      </c>
      <c r="D52" s="4" t="s">
        <v>274</v>
      </c>
      <c r="E52" s="8" t="s">
        <v>457</v>
      </c>
      <c r="F52" s="6" t="s">
        <v>278</v>
      </c>
      <c r="G52" s="7" t="s">
        <v>279</v>
      </c>
      <c r="H52" s="4">
        <v>8</v>
      </c>
      <c r="I52" s="4" t="str">
        <f t="shared" si="0"/>
        <v>ősz</v>
      </c>
    </row>
    <row r="53" spans="1:9" ht="42.75">
      <c r="A53" s="4">
        <f>YEAR(B53)</f>
        <v>2023</v>
      </c>
      <c r="B53" s="5">
        <v>44987</v>
      </c>
      <c r="C53" s="6" t="s">
        <v>280</v>
      </c>
      <c r="D53" s="4" t="s">
        <v>281</v>
      </c>
      <c r="E53" s="8" t="s">
        <v>470</v>
      </c>
      <c r="F53" s="6" t="s">
        <v>282</v>
      </c>
      <c r="G53" s="7" t="s">
        <v>283</v>
      </c>
      <c r="H53" s="4">
        <v>8</v>
      </c>
      <c r="I53" s="4" t="str">
        <f t="shared" si="0"/>
        <v>tavasz</v>
      </c>
    </row>
    <row r="54" spans="1:9">
      <c r="A54" s="4">
        <f>YEAR(B54)</f>
        <v>2022</v>
      </c>
      <c r="B54" s="5">
        <v>44805</v>
      </c>
      <c r="C54" s="6" t="s">
        <v>98</v>
      </c>
      <c r="D54" s="4" t="s">
        <v>43</v>
      </c>
      <c r="E54" s="8" t="s">
        <v>446</v>
      </c>
      <c r="F54" s="6" t="s">
        <v>99</v>
      </c>
      <c r="H54" s="4">
        <v>7.9</v>
      </c>
      <c r="I54" s="4" t="str">
        <f t="shared" si="0"/>
        <v>ősz</v>
      </c>
    </row>
    <row r="55" spans="1:9" ht="28.5">
      <c r="A55" s="4">
        <f>YEAR(B55)</f>
        <v>2022</v>
      </c>
      <c r="B55" s="5">
        <v>44721</v>
      </c>
      <c r="C55" s="6" t="s">
        <v>305</v>
      </c>
      <c r="D55" s="4" t="s">
        <v>306</v>
      </c>
      <c r="E55" s="8" t="s">
        <v>466</v>
      </c>
      <c r="F55" s="6" t="s">
        <v>307</v>
      </c>
      <c r="G55" s="7" t="s">
        <v>308</v>
      </c>
      <c r="H55" s="4">
        <v>7.9</v>
      </c>
      <c r="I55" s="4" t="str">
        <f t="shared" si="0"/>
        <v>nyár</v>
      </c>
    </row>
    <row r="56" spans="1:9" ht="42.75">
      <c r="A56" s="4">
        <f>YEAR(B56)</f>
        <v>2023</v>
      </c>
      <c r="B56" s="5">
        <v>45232</v>
      </c>
      <c r="C56" s="6" t="s">
        <v>148</v>
      </c>
      <c r="D56" s="4" t="s">
        <v>119</v>
      </c>
      <c r="E56" s="8" t="s">
        <v>460</v>
      </c>
      <c r="F56" s="6" t="s">
        <v>149</v>
      </c>
      <c r="G56" s="7" t="s">
        <v>150</v>
      </c>
      <c r="H56" s="4">
        <v>7.8</v>
      </c>
      <c r="I56" s="4" t="str">
        <f t="shared" si="0"/>
        <v>ősz</v>
      </c>
    </row>
    <row r="57" spans="1:9" ht="71.25">
      <c r="A57" s="4">
        <f>YEAR(B57)</f>
        <v>2023</v>
      </c>
      <c r="B57" s="5">
        <v>45260</v>
      </c>
      <c r="C57" s="6" t="s">
        <v>271</v>
      </c>
      <c r="D57" s="4" t="s">
        <v>265</v>
      </c>
      <c r="E57" s="8" t="s">
        <v>475</v>
      </c>
      <c r="F57" s="6" t="s">
        <v>272</v>
      </c>
      <c r="G57" s="7" t="s">
        <v>273</v>
      </c>
      <c r="H57" s="4">
        <v>7.8</v>
      </c>
      <c r="I57" s="4" t="str">
        <f t="shared" si="0"/>
        <v>ősz</v>
      </c>
    </row>
    <row r="58" spans="1:9">
      <c r="A58" s="4">
        <f>YEAR(B58)</f>
        <v>2020</v>
      </c>
      <c r="B58" s="5">
        <v>44091</v>
      </c>
      <c r="C58" s="6" t="s">
        <v>96</v>
      </c>
      <c r="D58" s="4" t="s">
        <v>43</v>
      </c>
      <c r="E58" s="8" t="s">
        <v>447</v>
      </c>
      <c r="F58" s="6" t="s">
        <v>97</v>
      </c>
      <c r="H58" s="4">
        <v>7.7</v>
      </c>
      <c r="I58" s="4" t="str">
        <f t="shared" si="0"/>
        <v>ősz</v>
      </c>
    </row>
    <row r="59" spans="1:9" ht="57">
      <c r="A59" s="4">
        <f>YEAR(B59)</f>
        <v>2023</v>
      </c>
      <c r="B59" s="5">
        <v>45029</v>
      </c>
      <c r="C59" s="6" t="s">
        <v>125</v>
      </c>
      <c r="D59" s="4" t="s">
        <v>119</v>
      </c>
      <c r="E59" s="8" t="s">
        <v>461</v>
      </c>
      <c r="F59" s="6" t="s">
        <v>126</v>
      </c>
      <c r="G59" s="7" t="s">
        <v>127</v>
      </c>
      <c r="H59" s="4">
        <v>7.7</v>
      </c>
      <c r="I59" s="4" t="str">
        <f t="shared" si="0"/>
        <v>tavasz</v>
      </c>
    </row>
    <row r="60" spans="1:9" ht="57">
      <c r="A60" s="4">
        <f>YEAR(B60)</f>
        <v>2024</v>
      </c>
      <c r="B60" s="5">
        <v>45344</v>
      </c>
      <c r="C60" s="6" t="s">
        <v>197</v>
      </c>
      <c r="D60" s="4" t="s">
        <v>119</v>
      </c>
      <c r="E60" s="8" t="s">
        <v>442</v>
      </c>
      <c r="F60" s="6" t="s">
        <v>198</v>
      </c>
      <c r="G60" s="7" t="s">
        <v>199</v>
      </c>
      <c r="H60" s="4">
        <v>7.7</v>
      </c>
      <c r="I60" s="4" t="str">
        <f t="shared" si="0"/>
        <v>tél</v>
      </c>
    </row>
    <row r="61" spans="1:9" ht="71.25">
      <c r="A61" s="4">
        <f>YEAR(B61)</f>
        <v>2022</v>
      </c>
      <c r="B61" s="5">
        <v>44637</v>
      </c>
      <c r="C61" s="6" t="s">
        <v>396</v>
      </c>
      <c r="D61" s="4" t="s">
        <v>390</v>
      </c>
      <c r="E61" s="8" t="s">
        <v>442</v>
      </c>
      <c r="F61" s="6" t="s">
        <v>397</v>
      </c>
      <c r="G61" s="7" t="s">
        <v>398</v>
      </c>
      <c r="H61" s="4">
        <v>7.7</v>
      </c>
      <c r="I61" s="4" t="str">
        <f t="shared" si="0"/>
        <v>tavasz</v>
      </c>
    </row>
    <row r="62" spans="1:9">
      <c r="A62" s="4">
        <f>YEAR(B62)</f>
        <v>2023</v>
      </c>
      <c r="B62" s="5">
        <v>45015</v>
      </c>
      <c r="C62" s="6" t="s">
        <v>29</v>
      </c>
      <c r="D62" s="4" t="s">
        <v>14</v>
      </c>
      <c r="E62" s="8" t="s">
        <v>432</v>
      </c>
      <c r="F62" s="6" t="s">
        <v>30</v>
      </c>
      <c r="H62" s="4">
        <v>7.6</v>
      </c>
      <c r="I62" s="4" t="str">
        <f t="shared" si="0"/>
        <v>tavasz</v>
      </c>
    </row>
    <row r="63" spans="1:9">
      <c r="A63" s="4">
        <f>YEAR(B63)</f>
        <v>2022</v>
      </c>
      <c r="B63" s="5">
        <v>44826</v>
      </c>
      <c r="C63" s="6" t="s">
        <v>62</v>
      </c>
      <c r="D63" s="4" t="s">
        <v>43</v>
      </c>
      <c r="E63" s="8" t="s">
        <v>448</v>
      </c>
      <c r="F63" s="6" t="s">
        <v>63</v>
      </c>
      <c r="H63" s="4">
        <v>7.6</v>
      </c>
      <c r="I63" s="4" t="str">
        <f t="shared" si="0"/>
        <v>ősz</v>
      </c>
    </row>
    <row r="64" spans="1:9" ht="42.75">
      <c r="A64" s="4">
        <f>YEAR(B64)</f>
        <v>2023</v>
      </c>
      <c r="B64" s="5">
        <v>45008</v>
      </c>
      <c r="C64" s="6" t="s">
        <v>175</v>
      </c>
      <c r="D64" s="4" t="s">
        <v>119</v>
      </c>
      <c r="E64" s="8" t="s">
        <v>462</v>
      </c>
      <c r="F64" s="6" t="s">
        <v>176</v>
      </c>
      <c r="G64" s="7" t="s">
        <v>177</v>
      </c>
      <c r="H64" s="4">
        <v>7.6</v>
      </c>
      <c r="I64" s="4" t="str">
        <f t="shared" si="0"/>
        <v>tavasz</v>
      </c>
    </row>
    <row r="65" spans="1:9" ht="28.5">
      <c r="A65" s="4">
        <f>YEAR(B65)</f>
        <v>2023</v>
      </c>
      <c r="B65" s="5">
        <v>45099</v>
      </c>
      <c r="C65" s="6" t="s">
        <v>369</v>
      </c>
      <c r="D65" s="4" t="s">
        <v>370</v>
      </c>
      <c r="E65" s="8" t="s">
        <v>473</v>
      </c>
      <c r="F65" s="6" t="s">
        <v>371</v>
      </c>
      <c r="G65" s="7" t="s">
        <v>372</v>
      </c>
      <c r="H65" s="4">
        <v>7.6</v>
      </c>
      <c r="I65" s="4" t="str">
        <f t="shared" si="0"/>
        <v>nyár</v>
      </c>
    </row>
    <row r="66" spans="1:9">
      <c r="A66" s="4">
        <f>YEAR(B66)</f>
        <v>2024</v>
      </c>
      <c r="B66" s="5">
        <v>45414</v>
      </c>
      <c r="C66" s="6" t="s">
        <v>45</v>
      </c>
      <c r="D66" s="4" t="s">
        <v>43</v>
      </c>
      <c r="E66" s="8" t="s">
        <v>449</v>
      </c>
      <c r="F66" s="6" t="s">
        <v>46</v>
      </c>
      <c r="H66" s="4">
        <v>7.5</v>
      </c>
      <c r="I66" s="4" t="str">
        <f t="shared" si="0"/>
        <v>tavasz</v>
      </c>
    </row>
    <row r="67" spans="1:9" ht="57">
      <c r="A67" s="4">
        <f>YEAR(B67)</f>
        <v>2024</v>
      </c>
      <c r="B67" s="5">
        <v>45309</v>
      </c>
      <c r="C67" s="6" t="s">
        <v>327</v>
      </c>
      <c r="D67" s="4" t="s">
        <v>328</v>
      </c>
      <c r="E67" s="8" t="s">
        <v>443</v>
      </c>
      <c r="F67" s="6" t="s">
        <v>329</v>
      </c>
      <c r="G67" s="7" t="s">
        <v>330</v>
      </c>
      <c r="H67" s="4">
        <v>7.5</v>
      </c>
      <c r="I67" s="4" t="str">
        <f t="shared" ref="I67:I130" si="1">_xlfn.IFS(OR(MONTH(B67)&gt;11,MONTH(B67)&lt;3),"tél",MONTH(B67)&gt;8,"ősz",MONTH(B67)&gt;5,"nyár",MONTH(B67)&gt;2,"tavasz")</f>
        <v>tél</v>
      </c>
    </row>
    <row r="68" spans="1:9" ht="57">
      <c r="A68" s="4">
        <f>YEAR(B68)</f>
        <v>2023</v>
      </c>
      <c r="B68" s="5">
        <v>45239</v>
      </c>
      <c r="C68" s="6" t="s">
        <v>334</v>
      </c>
      <c r="D68" s="4" t="s">
        <v>335</v>
      </c>
      <c r="E68" s="8" t="s">
        <v>441</v>
      </c>
      <c r="F68" s="6" t="s">
        <v>336</v>
      </c>
      <c r="G68" s="7" t="s">
        <v>337</v>
      </c>
      <c r="H68" s="4">
        <v>7.5</v>
      </c>
      <c r="I68" s="4" t="str">
        <f t="shared" si="1"/>
        <v>ősz</v>
      </c>
    </row>
    <row r="69" spans="1:9" ht="42.75">
      <c r="A69" s="4">
        <f>YEAR(B69)</f>
        <v>2023</v>
      </c>
      <c r="B69" s="5">
        <v>45204</v>
      </c>
      <c r="C69" s="6" t="s">
        <v>217</v>
      </c>
      <c r="D69" s="4" t="s">
        <v>119</v>
      </c>
      <c r="E69" s="8" t="s">
        <v>463</v>
      </c>
      <c r="F69" s="6" t="s">
        <v>218</v>
      </c>
      <c r="G69" s="7" t="s">
        <v>219</v>
      </c>
      <c r="H69" s="4">
        <v>7.4</v>
      </c>
      <c r="I69" s="4" t="str">
        <f t="shared" si="1"/>
        <v>ősz</v>
      </c>
    </row>
    <row r="70" spans="1:9">
      <c r="A70" s="4">
        <f>YEAR(B70)</f>
        <v>2024</v>
      </c>
      <c r="B70" s="5">
        <v>45393</v>
      </c>
      <c r="C70" s="6" t="s">
        <v>64</v>
      </c>
      <c r="D70" s="4" t="s">
        <v>43</v>
      </c>
      <c r="E70" s="8" t="s">
        <v>450</v>
      </c>
      <c r="F70" s="6" t="s">
        <v>65</v>
      </c>
      <c r="H70" s="4">
        <v>7.3</v>
      </c>
      <c r="I70" s="4" t="str">
        <f t="shared" si="1"/>
        <v>tavasz</v>
      </c>
    </row>
    <row r="71" spans="1:9" ht="42.75">
      <c r="A71" s="4">
        <f>YEAR(B71)</f>
        <v>2024</v>
      </c>
      <c r="B71" s="5">
        <v>45554</v>
      </c>
      <c r="C71" s="6" t="s">
        <v>160</v>
      </c>
      <c r="D71" s="4" t="s">
        <v>119</v>
      </c>
      <c r="E71" s="8" t="s">
        <v>464</v>
      </c>
      <c r="F71" s="6" t="s">
        <v>161</v>
      </c>
      <c r="G71" s="7" t="s">
        <v>162</v>
      </c>
      <c r="H71" s="4">
        <v>7.3</v>
      </c>
      <c r="I71" s="4" t="str">
        <f t="shared" si="1"/>
        <v>ősz</v>
      </c>
    </row>
    <row r="72" spans="1:9">
      <c r="A72" s="4">
        <f>YEAR(B72)</f>
        <v>2024</v>
      </c>
      <c r="B72" s="5">
        <v>45568</v>
      </c>
      <c r="C72" s="6" t="s">
        <v>184</v>
      </c>
      <c r="D72" s="4" t="s">
        <v>119</v>
      </c>
      <c r="E72" s="8" t="s">
        <v>443</v>
      </c>
      <c r="F72" s="6" t="s">
        <v>185</v>
      </c>
      <c r="G72" s="7" t="s">
        <v>186</v>
      </c>
      <c r="H72" s="4">
        <v>7.3</v>
      </c>
      <c r="I72" s="4" t="str">
        <f t="shared" si="1"/>
        <v>ősz</v>
      </c>
    </row>
    <row r="73" spans="1:9" ht="42.75">
      <c r="A73" s="4">
        <f>YEAR(B73)</f>
        <v>2020</v>
      </c>
      <c r="B73" s="5">
        <v>43888</v>
      </c>
      <c r="C73" s="6" t="s">
        <v>247</v>
      </c>
      <c r="D73" s="4" t="s">
        <v>119</v>
      </c>
      <c r="E73" s="8" t="s">
        <v>459</v>
      </c>
      <c r="F73" s="6" t="s">
        <v>248</v>
      </c>
      <c r="G73" s="7" t="s">
        <v>249</v>
      </c>
      <c r="H73" s="4">
        <v>7.3</v>
      </c>
      <c r="I73" s="4" t="str">
        <f t="shared" si="1"/>
        <v>tél</v>
      </c>
    </row>
    <row r="74" spans="1:9" ht="42.75">
      <c r="A74" s="4">
        <f>YEAR(B74)</f>
        <v>2022</v>
      </c>
      <c r="B74" s="5">
        <v>44777</v>
      </c>
      <c r="C74" s="6" t="s">
        <v>253</v>
      </c>
      <c r="D74" s="4" t="s">
        <v>251</v>
      </c>
      <c r="E74" s="8" t="s">
        <v>435</v>
      </c>
      <c r="F74" s="6" t="s">
        <v>254</v>
      </c>
      <c r="G74" s="7" t="s">
        <v>255</v>
      </c>
      <c r="H74" s="4">
        <v>7.3</v>
      </c>
      <c r="I74" s="4" t="str">
        <f t="shared" si="1"/>
        <v>nyár</v>
      </c>
    </row>
    <row r="75" spans="1:9" ht="57">
      <c r="A75" s="4">
        <f>YEAR(B75)</f>
        <v>2021</v>
      </c>
      <c r="B75" s="5">
        <v>44434</v>
      </c>
      <c r="C75" s="6" t="s">
        <v>259</v>
      </c>
      <c r="D75" s="4" t="s">
        <v>251</v>
      </c>
      <c r="E75" s="8" t="s">
        <v>432</v>
      </c>
      <c r="F75" s="6" t="s">
        <v>201</v>
      </c>
      <c r="G75" s="7" t="s">
        <v>260</v>
      </c>
      <c r="H75" s="4">
        <v>7.3</v>
      </c>
      <c r="I75" s="4" t="str">
        <f t="shared" si="1"/>
        <v>nyár</v>
      </c>
    </row>
    <row r="76" spans="1:9" ht="42.75">
      <c r="A76" s="4">
        <f>YEAR(B76)</f>
        <v>2023</v>
      </c>
      <c r="B76" s="5">
        <v>44987</v>
      </c>
      <c r="C76" s="6">
        <v>129</v>
      </c>
      <c r="D76" s="4" t="s">
        <v>274</v>
      </c>
      <c r="E76" s="8" t="s">
        <v>476</v>
      </c>
      <c r="F76" s="6" t="s">
        <v>275</v>
      </c>
      <c r="G76" s="7" t="s">
        <v>276</v>
      </c>
      <c r="H76" s="4">
        <v>7.3</v>
      </c>
      <c r="I76" s="4" t="str">
        <f t="shared" si="1"/>
        <v>tavasz</v>
      </c>
    </row>
    <row r="77" spans="1:9" ht="28.5">
      <c r="A77" s="4">
        <f>YEAR(B77)</f>
        <v>2021</v>
      </c>
      <c r="B77" s="5">
        <v>44504</v>
      </c>
      <c r="C77" s="6" t="s">
        <v>214</v>
      </c>
      <c r="D77" s="4" t="s">
        <v>119</v>
      </c>
      <c r="E77" s="8" t="s">
        <v>462</v>
      </c>
      <c r="F77" s="6" t="s">
        <v>215</v>
      </c>
      <c r="G77" s="7" t="s">
        <v>216</v>
      </c>
      <c r="H77" s="4">
        <v>7.2</v>
      </c>
      <c r="I77" s="4" t="str">
        <f t="shared" si="1"/>
        <v>ősz</v>
      </c>
    </row>
    <row r="78" spans="1:9" ht="28.5">
      <c r="A78" s="4">
        <f>YEAR(B78)</f>
        <v>2021</v>
      </c>
      <c r="B78" s="5">
        <v>44462</v>
      </c>
      <c r="C78" s="6" t="s">
        <v>338</v>
      </c>
      <c r="D78" s="4" t="s">
        <v>339</v>
      </c>
      <c r="E78" s="8" t="s">
        <v>481</v>
      </c>
      <c r="F78" s="6" t="s">
        <v>340</v>
      </c>
      <c r="G78" s="7" t="s">
        <v>341</v>
      </c>
      <c r="H78" s="4">
        <v>7.2</v>
      </c>
      <c r="I78" s="4" t="str">
        <f t="shared" si="1"/>
        <v>ősz</v>
      </c>
    </row>
    <row r="79" spans="1:9" ht="28.5">
      <c r="A79" s="4">
        <f>YEAR(B79)</f>
        <v>2022</v>
      </c>
      <c r="B79" s="5">
        <v>44903</v>
      </c>
      <c r="C79" s="6" t="s">
        <v>348</v>
      </c>
      <c r="D79" s="4" t="s">
        <v>349</v>
      </c>
      <c r="E79" s="8" t="s">
        <v>441</v>
      </c>
      <c r="F79" s="6" t="s">
        <v>350</v>
      </c>
      <c r="G79" s="7" t="s">
        <v>351</v>
      </c>
      <c r="H79" s="4">
        <v>7.2</v>
      </c>
      <c r="I79" s="4" t="str">
        <f t="shared" si="1"/>
        <v>tél</v>
      </c>
    </row>
    <row r="80" spans="1:9">
      <c r="A80" s="4">
        <f>YEAR(B80)</f>
        <v>2021</v>
      </c>
      <c r="B80" s="5">
        <v>44420</v>
      </c>
      <c r="C80" s="6" t="s">
        <v>13</v>
      </c>
      <c r="D80" s="4" t="s">
        <v>14</v>
      </c>
      <c r="E80" s="8" t="s">
        <v>433</v>
      </c>
      <c r="F80" s="6" t="s">
        <v>15</v>
      </c>
      <c r="H80" s="4">
        <v>7.1</v>
      </c>
      <c r="I80" s="4" t="str">
        <f t="shared" si="1"/>
        <v>nyár</v>
      </c>
    </row>
    <row r="81" spans="1:9" ht="42.75">
      <c r="A81" s="4">
        <f>YEAR(B81)</f>
        <v>2022</v>
      </c>
      <c r="B81" s="5">
        <v>44798</v>
      </c>
      <c r="C81" s="6" t="s">
        <v>407</v>
      </c>
      <c r="D81" s="4" t="s">
        <v>390</v>
      </c>
      <c r="E81" s="8" t="s">
        <v>485</v>
      </c>
      <c r="F81" s="6" t="s">
        <v>408</v>
      </c>
      <c r="G81" s="7" t="s">
        <v>409</v>
      </c>
      <c r="H81" s="4">
        <v>7.1</v>
      </c>
      <c r="I81" s="4" t="str">
        <f t="shared" si="1"/>
        <v>nyár</v>
      </c>
    </row>
    <row r="82" spans="1:9">
      <c r="A82" s="4">
        <f>YEAR(B82)</f>
        <v>2024</v>
      </c>
      <c r="B82" s="5">
        <v>45295</v>
      </c>
      <c r="C82" s="6" t="s">
        <v>92</v>
      </c>
      <c r="D82" s="4" t="s">
        <v>43</v>
      </c>
      <c r="E82" s="8" t="s">
        <v>441</v>
      </c>
      <c r="F82" s="6" t="s">
        <v>93</v>
      </c>
      <c r="H82" s="4">
        <v>7</v>
      </c>
      <c r="I82" s="4" t="str">
        <f t="shared" si="1"/>
        <v>tél</v>
      </c>
    </row>
    <row r="83" spans="1:9">
      <c r="A83" s="4">
        <f>YEAR(B83)</f>
        <v>2022</v>
      </c>
      <c r="B83" s="5">
        <v>44812</v>
      </c>
      <c r="C83" s="6" t="s">
        <v>116</v>
      </c>
      <c r="D83" s="4" t="s">
        <v>43</v>
      </c>
      <c r="E83" s="8" t="s">
        <v>451</v>
      </c>
      <c r="F83" s="6" t="s">
        <v>117</v>
      </c>
      <c r="H83" s="4">
        <v>7</v>
      </c>
      <c r="I83" s="4" t="str">
        <f t="shared" si="1"/>
        <v>ősz</v>
      </c>
    </row>
    <row r="84" spans="1:9" ht="28.5">
      <c r="A84" s="4">
        <f>YEAR(B84)</f>
        <v>2021</v>
      </c>
      <c r="B84" s="5">
        <v>44441</v>
      </c>
      <c r="C84" s="6" t="s">
        <v>241</v>
      </c>
      <c r="D84" s="4" t="s">
        <v>119</v>
      </c>
      <c r="E84" s="8" t="s">
        <v>465</v>
      </c>
      <c r="F84" s="6" t="s">
        <v>242</v>
      </c>
      <c r="G84" s="7" t="s">
        <v>243</v>
      </c>
      <c r="H84" s="4">
        <v>7</v>
      </c>
      <c r="I84" s="4" t="str">
        <f t="shared" si="1"/>
        <v>ősz</v>
      </c>
    </row>
    <row r="85" spans="1:9" ht="28.5">
      <c r="A85" s="4">
        <f>YEAR(B85)</f>
        <v>2022</v>
      </c>
      <c r="B85" s="5">
        <v>44861</v>
      </c>
      <c r="C85" s="6" t="s">
        <v>181</v>
      </c>
      <c r="D85" s="4" t="s">
        <v>119</v>
      </c>
      <c r="E85" s="8" t="s">
        <v>461</v>
      </c>
      <c r="F85" s="6" t="s">
        <v>182</v>
      </c>
      <c r="G85" s="7" t="s">
        <v>183</v>
      </c>
      <c r="H85" s="4">
        <v>6.9</v>
      </c>
      <c r="I85" s="4" t="str">
        <f t="shared" si="1"/>
        <v>ősz</v>
      </c>
    </row>
    <row r="86" spans="1:9" ht="42.75">
      <c r="A86" s="4">
        <f>YEAR(B86)</f>
        <v>2021</v>
      </c>
      <c r="B86" s="5">
        <v>44380</v>
      </c>
      <c r="C86" s="6" t="s">
        <v>232</v>
      </c>
      <c r="D86" s="4" t="s">
        <v>119</v>
      </c>
      <c r="E86" s="8" t="s">
        <v>466</v>
      </c>
      <c r="F86" s="6" t="s">
        <v>233</v>
      </c>
      <c r="G86" s="7" t="s">
        <v>234</v>
      </c>
      <c r="H86" s="4">
        <v>6.9</v>
      </c>
      <c r="I86" s="4" t="str">
        <f t="shared" si="1"/>
        <v>nyár</v>
      </c>
    </row>
    <row r="87" spans="1:9" ht="28.5">
      <c r="A87" s="4">
        <f>YEAR(B87)</f>
        <v>2022</v>
      </c>
      <c r="B87" s="5">
        <v>44658</v>
      </c>
      <c r="C87" s="6" t="s">
        <v>235</v>
      </c>
      <c r="D87" s="4" t="s">
        <v>119</v>
      </c>
      <c r="E87" s="8" t="s">
        <v>454</v>
      </c>
      <c r="F87" s="6" t="s">
        <v>236</v>
      </c>
      <c r="G87" s="7" t="s">
        <v>237</v>
      </c>
      <c r="H87" s="4">
        <v>6.9</v>
      </c>
      <c r="I87" s="4" t="str">
        <f t="shared" si="1"/>
        <v>tavasz</v>
      </c>
    </row>
    <row r="88" spans="1:9">
      <c r="A88" s="4">
        <f>YEAR(B88)</f>
        <v>2024</v>
      </c>
      <c r="B88" s="5">
        <v>45407</v>
      </c>
      <c r="C88" s="6" t="s">
        <v>66</v>
      </c>
      <c r="D88" s="4" t="s">
        <v>43</v>
      </c>
      <c r="E88" s="8" t="s">
        <v>452</v>
      </c>
      <c r="F88" s="6" t="s">
        <v>67</v>
      </c>
      <c r="H88" s="4">
        <v>6.8</v>
      </c>
      <c r="I88" s="4" t="str">
        <f t="shared" si="1"/>
        <v>tavasz</v>
      </c>
    </row>
    <row r="89" spans="1:9">
      <c r="A89" s="4">
        <f>YEAR(B89)</f>
        <v>2022</v>
      </c>
      <c r="B89" s="5">
        <v>44826</v>
      </c>
      <c r="C89" s="6" t="s">
        <v>209</v>
      </c>
      <c r="D89" s="4" t="s">
        <v>119</v>
      </c>
      <c r="E89" s="8" t="s">
        <v>457</v>
      </c>
      <c r="F89" s="6" t="s">
        <v>210</v>
      </c>
      <c r="G89" s="7" t="s">
        <v>211</v>
      </c>
      <c r="H89" s="4">
        <v>6.8</v>
      </c>
      <c r="I89" s="4" t="str">
        <f t="shared" si="1"/>
        <v>ősz</v>
      </c>
    </row>
    <row r="90" spans="1:9" ht="28.5">
      <c r="A90" s="4">
        <f>YEAR(B90)</f>
        <v>2021</v>
      </c>
      <c r="B90" s="5">
        <v>44427</v>
      </c>
      <c r="C90" s="6" t="s">
        <v>256</v>
      </c>
      <c r="D90" s="4" t="s">
        <v>251</v>
      </c>
      <c r="E90" s="8" t="s">
        <v>473</v>
      </c>
      <c r="F90" s="6" t="s">
        <v>257</v>
      </c>
      <c r="G90" s="7" t="s">
        <v>258</v>
      </c>
      <c r="H90" s="4">
        <v>6.8</v>
      </c>
      <c r="I90" s="4" t="str">
        <f t="shared" si="1"/>
        <v>nyár</v>
      </c>
    </row>
    <row r="91" spans="1:9" ht="114">
      <c r="A91" s="4">
        <f>YEAR(B91)</f>
        <v>2024</v>
      </c>
      <c r="B91" s="5">
        <v>45596</v>
      </c>
      <c r="C91" s="6" t="s">
        <v>320</v>
      </c>
      <c r="D91" s="4" t="s">
        <v>321</v>
      </c>
      <c r="E91" s="8" t="s">
        <v>441</v>
      </c>
      <c r="F91" s="6" t="s">
        <v>307</v>
      </c>
      <c r="G91" s="7" t="s">
        <v>322</v>
      </c>
      <c r="H91" s="4">
        <v>6.8</v>
      </c>
      <c r="I91" s="4" t="str">
        <f t="shared" si="1"/>
        <v>ősz</v>
      </c>
    </row>
    <row r="92" spans="1:9" ht="42.75">
      <c r="A92" s="4">
        <f>YEAR(B92)</f>
        <v>2022</v>
      </c>
      <c r="B92" s="5">
        <v>44854</v>
      </c>
      <c r="C92" s="6" t="s">
        <v>134</v>
      </c>
      <c r="D92" s="4" t="s">
        <v>119</v>
      </c>
      <c r="E92" s="8" t="s">
        <v>441</v>
      </c>
      <c r="F92" s="6" t="s">
        <v>135</v>
      </c>
      <c r="G92" s="7" t="s">
        <v>136</v>
      </c>
      <c r="H92" s="4">
        <v>6.7</v>
      </c>
      <c r="I92" s="4" t="str">
        <f t="shared" si="1"/>
        <v>ősz</v>
      </c>
    </row>
    <row r="93" spans="1:9" ht="114">
      <c r="A93" s="4">
        <f>YEAR(B93)</f>
        <v>2024</v>
      </c>
      <c r="B93" s="5">
        <v>45561</v>
      </c>
      <c r="C93" s="6" t="s">
        <v>399</v>
      </c>
      <c r="D93" s="4" t="s">
        <v>390</v>
      </c>
      <c r="E93" s="8" t="s">
        <v>471</v>
      </c>
      <c r="F93" s="6" t="s">
        <v>400</v>
      </c>
      <c r="G93" s="7" t="s">
        <v>401</v>
      </c>
      <c r="H93" s="4">
        <v>6.7</v>
      </c>
      <c r="I93" s="4" t="str">
        <f t="shared" si="1"/>
        <v>ősz</v>
      </c>
    </row>
    <row r="94" spans="1:9" ht="42.75">
      <c r="A94" s="4">
        <f>YEAR(B94)</f>
        <v>2023</v>
      </c>
      <c r="B94" s="5">
        <v>45225</v>
      </c>
      <c r="C94" s="6" t="s">
        <v>223</v>
      </c>
      <c r="D94" s="4" t="s">
        <v>119</v>
      </c>
      <c r="E94" s="8" t="s">
        <v>432</v>
      </c>
      <c r="F94" s="6" t="s">
        <v>224</v>
      </c>
      <c r="G94" s="7" t="s">
        <v>225</v>
      </c>
      <c r="H94" s="4">
        <v>6.6</v>
      </c>
      <c r="I94" s="4" t="str">
        <f t="shared" si="1"/>
        <v>ősz</v>
      </c>
    </row>
    <row r="95" spans="1:9" ht="57">
      <c r="A95" s="4">
        <f>YEAR(B95)</f>
        <v>2021</v>
      </c>
      <c r="B95" s="5">
        <v>44525</v>
      </c>
      <c r="C95" s="6" t="s">
        <v>360</v>
      </c>
      <c r="D95" s="4" t="s">
        <v>349</v>
      </c>
      <c r="E95" s="8" t="s">
        <v>469</v>
      </c>
      <c r="F95" s="6" t="s">
        <v>361</v>
      </c>
      <c r="G95" s="7" t="s">
        <v>362</v>
      </c>
      <c r="H95" s="4">
        <v>6.6</v>
      </c>
      <c r="I95" s="4" t="str">
        <f t="shared" si="1"/>
        <v>ősz</v>
      </c>
    </row>
    <row r="96" spans="1:9" ht="85.5">
      <c r="A96" s="4">
        <f>YEAR(B96)</f>
        <v>2024</v>
      </c>
      <c r="B96" s="5">
        <v>45400</v>
      </c>
      <c r="C96" s="6" t="s">
        <v>9</v>
      </c>
      <c r="D96" s="4" t="s">
        <v>10</v>
      </c>
      <c r="E96" s="8" t="s">
        <v>424</v>
      </c>
      <c r="F96" s="6" t="s">
        <v>11</v>
      </c>
      <c r="G96" s="7" t="s">
        <v>12</v>
      </c>
      <c r="H96" s="4">
        <v>6.5</v>
      </c>
      <c r="I96" s="4" t="str">
        <f t="shared" si="1"/>
        <v>tavasz</v>
      </c>
    </row>
    <row r="97" spans="1:9">
      <c r="A97" s="4">
        <f>YEAR(B97)</f>
        <v>2024</v>
      </c>
      <c r="B97" s="5">
        <v>45330</v>
      </c>
      <c r="C97" s="6" t="s">
        <v>76</v>
      </c>
      <c r="D97" s="4" t="s">
        <v>43</v>
      </c>
      <c r="E97" s="8" t="s">
        <v>433</v>
      </c>
      <c r="F97" s="6" t="s">
        <v>55</v>
      </c>
      <c r="H97" s="4">
        <v>6.5</v>
      </c>
      <c r="I97" s="4" t="str">
        <f t="shared" si="1"/>
        <v>tél</v>
      </c>
    </row>
    <row r="98" spans="1:9" ht="28.5">
      <c r="A98" s="4">
        <f>YEAR(B98)</f>
        <v>2024</v>
      </c>
      <c r="B98" s="5">
        <v>45568</v>
      </c>
      <c r="C98" s="6" t="s">
        <v>137</v>
      </c>
      <c r="D98" s="4" t="s">
        <v>119</v>
      </c>
      <c r="E98" s="8" t="s">
        <v>462</v>
      </c>
      <c r="F98" s="6" t="s">
        <v>138</v>
      </c>
      <c r="G98" s="7" t="s">
        <v>139</v>
      </c>
      <c r="H98" s="4">
        <v>6.5</v>
      </c>
      <c r="I98" s="4" t="str">
        <f t="shared" si="1"/>
        <v>ősz</v>
      </c>
    </row>
    <row r="99" spans="1:9" ht="28.5">
      <c r="A99" s="4">
        <f>YEAR(B99)</f>
        <v>2021</v>
      </c>
      <c r="B99" s="5">
        <v>44329</v>
      </c>
      <c r="C99" s="6" t="s">
        <v>166</v>
      </c>
      <c r="D99" s="4" t="s">
        <v>119</v>
      </c>
      <c r="E99" s="8" t="s">
        <v>435</v>
      </c>
      <c r="F99" s="6" t="s">
        <v>167</v>
      </c>
      <c r="G99" s="7" t="s">
        <v>168</v>
      </c>
      <c r="H99" s="4">
        <v>6.5</v>
      </c>
      <c r="I99" s="4" t="str">
        <f t="shared" si="1"/>
        <v>tavasz</v>
      </c>
    </row>
    <row r="100" spans="1:9" ht="71.25">
      <c r="A100" s="4">
        <f>YEAR(B100)</f>
        <v>2022</v>
      </c>
      <c r="B100" s="5">
        <v>44819</v>
      </c>
      <c r="C100" s="6" t="s">
        <v>312</v>
      </c>
      <c r="D100" s="4" t="s">
        <v>313</v>
      </c>
      <c r="E100" s="8" t="s">
        <v>441</v>
      </c>
      <c r="F100" s="6" t="s">
        <v>314</v>
      </c>
      <c r="G100" s="7" t="s">
        <v>315</v>
      </c>
      <c r="H100" s="4">
        <v>6.5</v>
      </c>
      <c r="I100" s="4" t="str">
        <f t="shared" si="1"/>
        <v>ősz</v>
      </c>
    </row>
    <row r="101" spans="1:9" ht="57">
      <c r="A101" s="4">
        <f>YEAR(B101)</f>
        <v>2023</v>
      </c>
      <c r="B101" s="5">
        <v>44973</v>
      </c>
      <c r="C101" s="6" t="s">
        <v>342</v>
      </c>
      <c r="D101" s="4" t="s">
        <v>339</v>
      </c>
      <c r="E101" s="8" t="s">
        <v>432</v>
      </c>
      <c r="F101" s="6" t="s">
        <v>343</v>
      </c>
      <c r="G101" s="7" t="s">
        <v>344</v>
      </c>
      <c r="H101" s="4">
        <v>6.5</v>
      </c>
      <c r="I101" s="4" t="str">
        <f t="shared" si="1"/>
        <v>tél</v>
      </c>
    </row>
    <row r="102" spans="1:9" ht="42.75">
      <c r="A102" s="4">
        <f>YEAR(B102)</f>
        <v>2021</v>
      </c>
      <c r="B102" s="5">
        <v>44392</v>
      </c>
      <c r="C102" s="6" t="s">
        <v>352</v>
      </c>
      <c r="D102" s="4" t="s">
        <v>349</v>
      </c>
      <c r="E102" s="8" t="s">
        <v>439</v>
      </c>
      <c r="F102" s="6" t="s">
        <v>353</v>
      </c>
      <c r="G102" s="7" t="s">
        <v>354</v>
      </c>
      <c r="H102" s="4">
        <v>6.5</v>
      </c>
      <c r="I102" s="4" t="str">
        <f t="shared" si="1"/>
        <v>nyár</v>
      </c>
    </row>
    <row r="103" spans="1:9" ht="28.5">
      <c r="A103" s="4">
        <f>YEAR(B103)</f>
        <v>2021</v>
      </c>
      <c r="B103" s="5">
        <v>44329</v>
      </c>
      <c r="C103" s="6" t="s">
        <v>379</v>
      </c>
      <c r="D103" s="4" t="s">
        <v>377</v>
      </c>
      <c r="E103" s="8" t="s">
        <v>449</v>
      </c>
      <c r="F103" s="6" t="s">
        <v>380</v>
      </c>
      <c r="G103" s="7" t="s">
        <v>381</v>
      </c>
      <c r="H103" s="4">
        <v>6.5</v>
      </c>
      <c r="I103" s="4" t="str">
        <f t="shared" si="1"/>
        <v>tavasz</v>
      </c>
    </row>
    <row r="104" spans="1:9" ht="57">
      <c r="A104" s="4">
        <f>YEAR(B104)</f>
        <v>2022</v>
      </c>
      <c r="B104" s="5">
        <v>44700</v>
      </c>
      <c r="C104" s="6" t="s">
        <v>389</v>
      </c>
      <c r="D104" s="4" t="s">
        <v>390</v>
      </c>
      <c r="E104" s="8" t="s">
        <v>441</v>
      </c>
      <c r="F104" s="6" t="s">
        <v>391</v>
      </c>
      <c r="G104" s="7" t="s">
        <v>392</v>
      </c>
      <c r="H104" s="4">
        <v>6.5</v>
      </c>
      <c r="I104" s="4" t="str">
        <f t="shared" si="1"/>
        <v>tavasz</v>
      </c>
    </row>
    <row r="105" spans="1:9" ht="28.5">
      <c r="A105" s="4">
        <f>YEAR(B105)</f>
        <v>2020</v>
      </c>
      <c r="B105" s="5">
        <v>44084</v>
      </c>
      <c r="C105" s="6" t="s">
        <v>393</v>
      </c>
      <c r="D105" s="4" t="s">
        <v>390</v>
      </c>
      <c r="E105" s="8" t="s">
        <v>441</v>
      </c>
      <c r="F105" s="6" t="s">
        <v>394</v>
      </c>
      <c r="G105" s="7" t="s">
        <v>395</v>
      </c>
      <c r="H105" s="4">
        <v>6.5</v>
      </c>
      <c r="I105" s="4" t="str">
        <f t="shared" si="1"/>
        <v>ősz</v>
      </c>
    </row>
    <row r="106" spans="1:9">
      <c r="A106" s="4">
        <f>YEAR(B106)</f>
        <v>2021</v>
      </c>
      <c r="B106" s="5">
        <v>44378</v>
      </c>
      <c r="C106" s="6" t="s">
        <v>108</v>
      </c>
      <c r="D106" s="4" t="s">
        <v>43</v>
      </c>
      <c r="E106" s="8" t="s">
        <v>453</v>
      </c>
      <c r="F106" s="6" t="s">
        <v>109</v>
      </c>
      <c r="H106" s="4">
        <v>6.4</v>
      </c>
      <c r="I106" s="4" t="str">
        <f t="shared" si="1"/>
        <v>nyár</v>
      </c>
    </row>
    <row r="107" spans="1:9" ht="42.75">
      <c r="A107" s="4">
        <f>YEAR(B107)</f>
        <v>2021</v>
      </c>
      <c r="B107" s="5">
        <v>44343</v>
      </c>
      <c r="C107" s="6" t="s">
        <v>140</v>
      </c>
      <c r="D107" s="4" t="s">
        <v>119</v>
      </c>
      <c r="E107" s="8" t="s">
        <v>467</v>
      </c>
      <c r="F107" s="6" t="s">
        <v>141</v>
      </c>
      <c r="G107" s="7" t="s">
        <v>142</v>
      </c>
      <c r="H107" s="4">
        <v>6.4</v>
      </c>
      <c r="I107" s="4" t="str">
        <f t="shared" si="1"/>
        <v>tavasz</v>
      </c>
    </row>
    <row r="108" spans="1:9" ht="57">
      <c r="A108" s="4">
        <f>YEAR(B108)</f>
        <v>2022</v>
      </c>
      <c r="B108" s="5">
        <v>44868</v>
      </c>
      <c r="C108" s="6" t="s">
        <v>410</v>
      </c>
      <c r="D108" s="4" t="s">
        <v>390</v>
      </c>
      <c r="E108" s="8" t="s">
        <v>486</v>
      </c>
      <c r="F108" s="6" t="s">
        <v>411</v>
      </c>
      <c r="G108" s="7" t="s">
        <v>412</v>
      </c>
      <c r="H108" s="4">
        <v>6.4</v>
      </c>
      <c r="I108" s="4" t="str">
        <f t="shared" si="1"/>
        <v>ősz</v>
      </c>
    </row>
    <row r="109" spans="1:9">
      <c r="A109" s="4">
        <f>YEAR(B109)</f>
        <v>2021</v>
      </c>
      <c r="B109" s="5">
        <v>44448</v>
      </c>
      <c r="C109" s="6" t="s">
        <v>104</v>
      </c>
      <c r="D109" s="4" t="s">
        <v>43</v>
      </c>
      <c r="E109" s="8" t="s">
        <v>441</v>
      </c>
      <c r="F109" s="6" t="s">
        <v>105</v>
      </c>
      <c r="H109" s="4">
        <v>6.3</v>
      </c>
      <c r="I109" s="4" t="str">
        <f t="shared" si="1"/>
        <v>ősz</v>
      </c>
    </row>
    <row r="110" spans="1:9" ht="42.75">
      <c r="A110" s="4">
        <f>YEAR(B110)</f>
        <v>2022</v>
      </c>
      <c r="B110" s="5">
        <v>44742</v>
      </c>
      <c r="C110" s="6" t="s">
        <v>402</v>
      </c>
      <c r="D110" s="4" t="s">
        <v>390</v>
      </c>
      <c r="E110" s="8" t="s">
        <v>439</v>
      </c>
      <c r="F110" s="6" t="s">
        <v>403</v>
      </c>
      <c r="G110" s="7" t="s">
        <v>404</v>
      </c>
      <c r="H110" s="4">
        <v>6.3</v>
      </c>
      <c r="I110" s="4" t="str">
        <f t="shared" si="1"/>
        <v>nyár</v>
      </c>
    </row>
    <row r="111" spans="1:9">
      <c r="A111" s="4">
        <f>YEAR(B111)</f>
        <v>2023</v>
      </c>
      <c r="B111" s="5">
        <v>45281</v>
      </c>
      <c r="C111" s="6" t="s">
        <v>33</v>
      </c>
      <c r="D111" s="4" t="s">
        <v>14</v>
      </c>
      <c r="E111" s="8" t="s">
        <v>434</v>
      </c>
      <c r="F111" s="6" t="s">
        <v>34</v>
      </c>
      <c r="H111" s="4">
        <v>6.2</v>
      </c>
      <c r="I111" s="4" t="str">
        <f t="shared" si="1"/>
        <v>tél</v>
      </c>
    </row>
    <row r="112" spans="1:9" ht="28.5">
      <c r="A112" s="4">
        <f>YEAR(B112)</f>
        <v>2023</v>
      </c>
      <c r="B112" s="5">
        <v>45022</v>
      </c>
      <c r="C112" s="6" t="s">
        <v>169</v>
      </c>
      <c r="D112" s="4" t="s">
        <v>119</v>
      </c>
      <c r="E112" s="8" t="s">
        <v>439</v>
      </c>
      <c r="F112" s="6" t="s">
        <v>170</v>
      </c>
      <c r="G112" s="7" t="s">
        <v>171</v>
      </c>
      <c r="H112" s="4">
        <v>6.2</v>
      </c>
      <c r="I112" s="4" t="str">
        <f t="shared" si="1"/>
        <v>tavasz</v>
      </c>
    </row>
    <row r="113" spans="1:9" ht="42.75">
      <c r="A113" s="4">
        <f>YEAR(B113)</f>
        <v>2023</v>
      </c>
      <c r="B113" s="5">
        <v>44938</v>
      </c>
      <c r="C113" s="6" t="s">
        <v>187</v>
      </c>
      <c r="D113" s="4" t="s">
        <v>119</v>
      </c>
      <c r="E113" s="8" t="s">
        <v>468</v>
      </c>
      <c r="F113" s="6" t="s">
        <v>103</v>
      </c>
      <c r="G113" s="7" t="s">
        <v>188</v>
      </c>
      <c r="H113" s="4">
        <v>6.2</v>
      </c>
      <c r="I113" s="4" t="str">
        <f t="shared" si="1"/>
        <v>tél</v>
      </c>
    </row>
    <row r="114" spans="1:9">
      <c r="A114" s="4">
        <f>YEAR(B114)</f>
        <v>2020</v>
      </c>
      <c r="B114" s="5">
        <v>44091</v>
      </c>
      <c r="C114" s="6" t="s">
        <v>212</v>
      </c>
      <c r="D114" s="4" t="s">
        <v>119</v>
      </c>
      <c r="E114" s="8" t="s">
        <v>436</v>
      </c>
      <c r="F114" s="6" t="s">
        <v>120</v>
      </c>
      <c r="G114" s="7" t="s">
        <v>213</v>
      </c>
      <c r="H114" s="4">
        <v>6.2</v>
      </c>
      <c r="I114" s="4" t="str">
        <f t="shared" si="1"/>
        <v>ősz</v>
      </c>
    </row>
    <row r="115" spans="1:9" ht="42.75">
      <c r="A115" s="4">
        <f>YEAR(B115)</f>
        <v>2023</v>
      </c>
      <c r="B115" s="5">
        <v>44994</v>
      </c>
      <c r="C115" s="6" t="s">
        <v>291</v>
      </c>
      <c r="D115" s="4" t="s">
        <v>292</v>
      </c>
      <c r="E115" s="8" t="s">
        <v>471</v>
      </c>
      <c r="F115" s="6" t="s">
        <v>293</v>
      </c>
      <c r="G115" s="7" t="s">
        <v>294</v>
      </c>
      <c r="H115" s="4">
        <v>6.2</v>
      </c>
      <c r="I115" s="4" t="str">
        <f t="shared" si="1"/>
        <v>tavasz</v>
      </c>
    </row>
    <row r="116" spans="1:9" ht="28.5">
      <c r="A116" s="4">
        <f>YEAR(B116)</f>
        <v>2021</v>
      </c>
      <c r="B116" s="5">
        <v>44525</v>
      </c>
      <c r="C116" s="6" t="s">
        <v>157</v>
      </c>
      <c r="D116" s="4" t="s">
        <v>119</v>
      </c>
      <c r="E116" s="8" t="s">
        <v>436</v>
      </c>
      <c r="F116" s="6" t="s">
        <v>158</v>
      </c>
      <c r="G116" s="7" t="s">
        <v>159</v>
      </c>
      <c r="H116" s="4">
        <v>6.1</v>
      </c>
      <c r="I116" s="4" t="str">
        <f t="shared" si="1"/>
        <v>ősz</v>
      </c>
    </row>
    <row r="117" spans="1:9" ht="28.5">
      <c r="A117" s="4">
        <f>YEAR(B117)</f>
        <v>2020</v>
      </c>
      <c r="B117" s="5">
        <v>44098</v>
      </c>
      <c r="C117" s="6" t="s">
        <v>163</v>
      </c>
      <c r="D117" s="4" t="s">
        <v>119</v>
      </c>
      <c r="E117" s="8" t="s">
        <v>462</v>
      </c>
      <c r="F117" s="6" t="s">
        <v>164</v>
      </c>
      <c r="G117" s="7" t="s">
        <v>165</v>
      </c>
      <c r="H117" s="4">
        <v>6.1</v>
      </c>
      <c r="I117" s="4" t="str">
        <f t="shared" si="1"/>
        <v>ősz</v>
      </c>
    </row>
    <row r="118" spans="1:9" ht="57">
      <c r="A118" s="4">
        <f>YEAR(B118)</f>
        <v>2023</v>
      </c>
      <c r="B118" s="5">
        <v>45190</v>
      </c>
      <c r="C118" s="6" t="s">
        <v>382</v>
      </c>
      <c r="D118" s="4" t="s">
        <v>377</v>
      </c>
      <c r="E118" s="8" t="s">
        <v>483</v>
      </c>
      <c r="F118" s="6" t="s">
        <v>383</v>
      </c>
      <c r="G118" s="7" t="s">
        <v>384</v>
      </c>
      <c r="H118" s="4">
        <v>6.1</v>
      </c>
      <c r="I118" s="4" t="str">
        <f t="shared" si="1"/>
        <v>ősz</v>
      </c>
    </row>
    <row r="119" spans="1:9" ht="42.75">
      <c r="A119" s="4">
        <f>YEAR(B119)</f>
        <v>2020</v>
      </c>
      <c r="B119" s="5">
        <v>43874</v>
      </c>
      <c r="C119" s="6" t="s">
        <v>413</v>
      </c>
      <c r="D119" s="4" t="s">
        <v>390</v>
      </c>
      <c r="E119" s="8" t="s">
        <v>439</v>
      </c>
      <c r="F119" s="6" t="s">
        <v>414</v>
      </c>
      <c r="G119" s="7" t="s">
        <v>415</v>
      </c>
      <c r="H119" s="4">
        <v>6.1</v>
      </c>
      <c r="I119" s="4" t="str">
        <f t="shared" si="1"/>
        <v>tél</v>
      </c>
    </row>
    <row r="120" spans="1:9" ht="57">
      <c r="A120" s="4">
        <f>YEAR(B120)</f>
        <v>2020</v>
      </c>
      <c r="B120" s="5">
        <v>43944</v>
      </c>
      <c r="C120" s="6" t="s">
        <v>131</v>
      </c>
      <c r="D120" s="4" t="s">
        <v>119</v>
      </c>
      <c r="E120" s="8" t="s">
        <v>454</v>
      </c>
      <c r="F120" s="6" t="s">
        <v>132</v>
      </c>
      <c r="G120" s="7" t="s">
        <v>133</v>
      </c>
      <c r="H120" s="4">
        <v>6</v>
      </c>
      <c r="I120" s="4" t="str">
        <f t="shared" si="1"/>
        <v>tavasz</v>
      </c>
    </row>
    <row r="121" spans="1:9" ht="57">
      <c r="A121" s="4">
        <f>YEAR(B121)</f>
        <v>2023</v>
      </c>
      <c r="B121" s="5">
        <v>45197</v>
      </c>
      <c r="C121" s="6" t="s">
        <v>118</v>
      </c>
      <c r="D121" s="4" t="s">
        <v>119</v>
      </c>
      <c r="E121" s="8" t="s">
        <v>439</v>
      </c>
      <c r="F121" s="6" t="s">
        <v>120</v>
      </c>
      <c r="G121" s="7" t="s">
        <v>121</v>
      </c>
      <c r="H121" s="4">
        <v>5.9</v>
      </c>
      <c r="I121" s="4" t="str">
        <f t="shared" si="1"/>
        <v>ősz</v>
      </c>
    </row>
    <row r="122" spans="1:9" ht="85.5">
      <c r="A122" s="4">
        <f>YEAR(B122)</f>
        <v>2023</v>
      </c>
      <c r="B122" s="5">
        <v>45246</v>
      </c>
      <c r="C122" s="6" t="s">
        <v>206</v>
      </c>
      <c r="D122" s="4" t="s">
        <v>119</v>
      </c>
      <c r="E122" s="8" t="s">
        <v>469</v>
      </c>
      <c r="F122" s="6" t="s">
        <v>207</v>
      </c>
      <c r="G122" s="7" t="s">
        <v>208</v>
      </c>
      <c r="H122" s="4">
        <v>5.8</v>
      </c>
      <c r="I122" s="4" t="str">
        <f t="shared" si="1"/>
        <v>ősz</v>
      </c>
    </row>
    <row r="123" spans="1:9" ht="42.75">
      <c r="A123" s="4">
        <f>YEAR(B123)</f>
        <v>2024</v>
      </c>
      <c r="B123" s="5">
        <v>45603</v>
      </c>
      <c r="C123" s="6" t="s">
        <v>284</v>
      </c>
      <c r="D123" s="4" t="s">
        <v>285</v>
      </c>
      <c r="E123" s="8" t="s">
        <v>453</v>
      </c>
      <c r="F123" s="6" t="s">
        <v>286</v>
      </c>
      <c r="G123" s="7" t="s">
        <v>287</v>
      </c>
      <c r="H123" s="4">
        <v>5.8</v>
      </c>
      <c r="I123" s="4" t="str">
        <f t="shared" si="1"/>
        <v>ősz</v>
      </c>
    </row>
    <row r="124" spans="1:9" ht="57">
      <c r="A124" s="4">
        <f>YEAR(B124)</f>
        <v>2021</v>
      </c>
      <c r="B124" s="5">
        <v>44539</v>
      </c>
      <c r="C124" s="6" t="s">
        <v>39</v>
      </c>
      <c r="D124" s="4" t="s">
        <v>40</v>
      </c>
      <c r="E124" s="8" t="s">
        <v>436</v>
      </c>
      <c r="F124" s="6" t="s">
        <v>41</v>
      </c>
      <c r="G124" s="7" t="s">
        <v>42</v>
      </c>
      <c r="H124" s="4">
        <v>5.7</v>
      </c>
      <c r="I124" s="4" t="str">
        <f t="shared" si="1"/>
        <v>tél</v>
      </c>
    </row>
    <row r="125" spans="1:9" ht="42.75">
      <c r="A125" s="4">
        <f>YEAR(B125)</f>
        <v>2023</v>
      </c>
      <c r="B125" s="5">
        <v>45253</v>
      </c>
      <c r="C125" s="6" t="s">
        <v>309</v>
      </c>
      <c r="D125" s="4" t="s">
        <v>306</v>
      </c>
      <c r="E125" s="8" t="s">
        <v>479</v>
      </c>
      <c r="F125" s="6" t="s">
        <v>310</v>
      </c>
      <c r="G125" s="7" t="s">
        <v>311</v>
      </c>
      <c r="H125" s="4">
        <v>5.7</v>
      </c>
      <c r="I125" s="4" t="str">
        <f t="shared" si="1"/>
        <v>ősz</v>
      </c>
    </row>
    <row r="126" spans="1:9" ht="28.5">
      <c r="A126" s="4">
        <f>YEAR(B126)</f>
        <v>2021</v>
      </c>
      <c r="B126" s="5">
        <v>44448</v>
      </c>
      <c r="C126" s="6" t="s">
        <v>172</v>
      </c>
      <c r="D126" s="4" t="s">
        <v>119</v>
      </c>
      <c r="E126" s="8" t="s">
        <v>454</v>
      </c>
      <c r="F126" s="6" t="s">
        <v>173</v>
      </c>
      <c r="G126" s="7" t="s">
        <v>174</v>
      </c>
      <c r="H126" s="4">
        <v>5.6</v>
      </c>
      <c r="I126" s="4" t="str">
        <f t="shared" si="1"/>
        <v>ősz</v>
      </c>
    </row>
    <row r="127" spans="1:9" ht="42.75">
      <c r="A127" s="4">
        <f>YEAR(B127)</f>
        <v>2023</v>
      </c>
      <c r="B127" s="5">
        <v>45057</v>
      </c>
      <c r="C127" s="6" t="s">
        <v>200</v>
      </c>
      <c r="D127" s="4" t="s">
        <v>119</v>
      </c>
      <c r="E127" s="8" t="s">
        <v>468</v>
      </c>
      <c r="F127" s="6" t="s">
        <v>201</v>
      </c>
      <c r="G127" s="7" t="s">
        <v>202</v>
      </c>
      <c r="H127" s="4">
        <v>5.6</v>
      </c>
      <c r="I127" s="4" t="str">
        <f t="shared" si="1"/>
        <v>tavasz</v>
      </c>
    </row>
    <row r="128" spans="1:9" ht="57">
      <c r="A128" s="4">
        <f>YEAR(B128)</f>
        <v>2021</v>
      </c>
      <c r="B128" s="5">
        <v>44455</v>
      </c>
      <c r="C128" s="6" t="s">
        <v>250</v>
      </c>
      <c r="D128" s="4" t="s">
        <v>251</v>
      </c>
      <c r="E128" s="8" t="s">
        <v>433</v>
      </c>
      <c r="F128" s="6" t="s">
        <v>182</v>
      </c>
      <c r="G128" s="7" t="s">
        <v>252</v>
      </c>
      <c r="H128" s="4">
        <v>5.6</v>
      </c>
      <c r="I128" s="4" t="str">
        <f t="shared" si="1"/>
        <v>ősz</v>
      </c>
    </row>
    <row r="129" spans="1:9">
      <c r="A129" s="4">
        <f>YEAR(B129)</f>
        <v>2022</v>
      </c>
      <c r="B129" s="5">
        <v>44875</v>
      </c>
      <c r="C129" s="6" t="s">
        <v>77</v>
      </c>
      <c r="D129" s="4" t="s">
        <v>43</v>
      </c>
      <c r="E129" s="8" t="s">
        <v>426</v>
      </c>
      <c r="F129" s="6" t="s">
        <v>78</v>
      </c>
      <c r="H129" s="4">
        <v>5.5</v>
      </c>
      <c r="I129" s="4" t="str">
        <f t="shared" si="1"/>
        <v>ősz</v>
      </c>
    </row>
    <row r="130" spans="1:9" ht="42.75">
      <c r="A130" s="4">
        <f>YEAR(B130)</f>
        <v>2022</v>
      </c>
      <c r="B130" s="5">
        <v>44614</v>
      </c>
      <c r="C130" s="6" t="s">
        <v>226</v>
      </c>
      <c r="D130" s="4" t="s">
        <v>119</v>
      </c>
      <c r="E130" s="8" t="s">
        <v>470</v>
      </c>
      <c r="F130" s="6" t="s">
        <v>227</v>
      </c>
      <c r="G130" s="7" t="s">
        <v>228</v>
      </c>
      <c r="H130" s="4">
        <v>5.5</v>
      </c>
      <c r="I130" s="4" t="str">
        <f t="shared" si="1"/>
        <v>tél</v>
      </c>
    </row>
    <row r="131" spans="1:9" ht="28.5">
      <c r="A131" s="4">
        <f>YEAR(B131)</f>
        <v>2021</v>
      </c>
      <c r="B131" s="5">
        <v>44455</v>
      </c>
      <c r="C131" s="6" t="s">
        <v>238</v>
      </c>
      <c r="D131" s="4" t="s">
        <v>119</v>
      </c>
      <c r="E131" s="8" t="s">
        <v>446</v>
      </c>
      <c r="F131" s="6" t="s">
        <v>239</v>
      </c>
      <c r="G131" s="7" t="s">
        <v>240</v>
      </c>
      <c r="H131" s="4">
        <v>5.5</v>
      </c>
      <c r="I131" s="4" t="str">
        <f t="shared" ref="I131:I152" si="2">_xlfn.IFS(OR(MONTH(B131)&gt;11,MONTH(B131)&lt;3),"tél",MONTH(B131)&gt;8,"ősz",MONTH(B131)&gt;5,"nyár",MONTH(B131)&gt;2,"tavasz")</f>
        <v>ősz</v>
      </c>
    </row>
    <row r="132" spans="1:9" ht="71.25">
      <c r="A132" s="4">
        <f>YEAR(B132)</f>
        <v>2023</v>
      </c>
      <c r="B132" s="5">
        <v>45050</v>
      </c>
      <c r="C132" s="6" t="s">
        <v>268</v>
      </c>
      <c r="D132" s="4" t="s">
        <v>265</v>
      </c>
      <c r="E132" s="8" t="s">
        <v>456</v>
      </c>
      <c r="F132" s="6" t="s">
        <v>269</v>
      </c>
      <c r="G132" s="7" t="s">
        <v>270</v>
      </c>
      <c r="H132" s="4">
        <v>5.5</v>
      </c>
      <c r="I132" s="4" t="str">
        <f t="shared" si="2"/>
        <v>tavasz</v>
      </c>
    </row>
    <row r="133" spans="1:9" ht="28.5">
      <c r="A133" s="4">
        <f>YEAR(B133)</f>
        <v>2021</v>
      </c>
      <c r="B133" s="5">
        <v>44497</v>
      </c>
      <c r="C133" s="6" t="s">
        <v>288</v>
      </c>
      <c r="D133" s="4" t="s">
        <v>285</v>
      </c>
      <c r="E133" s="8" t="s">
        <v>459</v>
      </c>
      <c r="F133" s="6" t="s">
        <v>289</v>
      </c>
      <c r="G133" s="7" t="s">
        <v>290</v>
      </c>
      <c r="H133" s="4">
        <v>5.5</v>
      </c>
      <c r="I133" s="4" t="str">
        <f t="shared" si="2"/>
        <v>ősz</v>
      </c>
    </row>
    <row r="134" spans="1:9">
      <c r="A134" s="4">
        <f>YEAR(B134)</f>
        <v>2021</v>
      </c>
      <c r="B134" s="5">
        <v>44322</v>
      </c>
      <c r="C134" s="6" t="s">
        <v>88</v>
      </c>
      <c r="D134" s="4" t="s">
        <v>43</v>
      </c>
      <c r="E134" s="8" t="s">
        <v>453</v>
      </c>
      <c r="F134" s="6" t="s">
        <v>89</v>
      </c>
      <c r="H134" s="4">
        <v>5.4</v>
      </c>
      <c r="I134" s="4" t="str">
        <f t="shared" si="2"/>
        <v>tavasz</v>
      </c>
    </row>
    <row r="135" spans="1:9" ht="28.5">
      <c r="A135" s="4">
        <f>YEAR(B135)</f>
        <v>2021</v>
      </c>
      <c r="B135" s="5">
        <v>44378</v>
      </c>
      <c r="C135" s="6" t="s">
        <v>261</v>
      </c>
      <c r="D135" s="4" t="s">
        <v>251</v>
      </c>
      <c r="E135" s="8" t="s">
        <v>426</v>
      </c>
      <c r="F135" s="6" t="s">
        <v>262</v>
      </c>
      <c r="G135" s="7" t="s">
        <v>263</v>
      </c>
      <c r="H135" s="4">
        <v>5.4</v>
      </c>
      <c r="I135" s="4" t="str">
        <f t="shared" si="2"/>
        <v>nyár</v>
      </c>
    </row>
    <row r="136" spans="1:9" ht="28.5">
      <c r="A136" s="4">
        <f>YEAR(B136)</f>
        <v>2024</v>
      </c>
      <c r="B136" s="5">
        <v>45470</v>
      </c>
      <c r="C136" s="6" t="s">
        <v>331</v>
      </c>
      <c r="D136" s="4" t="s">
        <v>328</v>
      </c>
      <c r="E136" s="8" t="s">
        <v>471</v>
      </c>
      <c r="F136" s="6" t="s">
        <v>332</v>
      </c>
      <c r="G136" s="7" t="s">
        <v>333</v>
      </c>
      <c r="H136" s="4">
        <v>5.4</v>
      </c>
      <c r="I136" s="4" t="str">
        <f t="shared" si="2"/>
        <v>nyár</v>
      </c>
    </row>
    <row r="137" spans="1:9" ht="28.5">
      <c r="A137" s="4">
        <f>YEAR(B137)</f>
        <v>2022</v>
      </c>
      <c r="B137" s="5">
        <v>44882</v>
      </c>
      <c r="C137" s="6" t="s">
        <v>363</v>
      </c>
      <c r="D137" s="4" t="s">
        <v>349</v>
      </c>
      <c r="E137" s="8" t="s">
        <v>441</v>
      </c>
      <c r="F137" s="6" t="s">
        <v>364</v>
      </c>
      <c r="G137" s="7" t="s">
        <v>365</v>
      </c>
      <c r="H137" s="4">
        <v>5.4</v>
      </c>
      <c r="I137" s="4" t="str">
        <f t="shared" si="2"/>
        <v>ősz</v>
      </c>
    </row>
    <row r="138" spans="1:9" ht="57">
      <c r="A138" s="4">
        <f>YEAR(B138)</f>
        <v>2020</v>
      </c>
      <c r="B138" s="5">
        <v>44042</v>
      </c>
      <c r="C138" s="6" t="s">
        <v>405</v>
      </c>
      <c r="D138" s="4" t="s">
        <v>390</v>
      </c>
      <c r="E138" s="8" t="s">
        <v>460</v>
      </c>
      <c r="F138" s="6" t="s">
        <v>299</v>
      </c>
      <c r="G138" s="7" t="s">
        <v>406</v>
      </c>
      <c r="H138" s="4">
        <v>5.4</v>
      </c>
      <c r="I138" s="4" t="str">
        <f t="shared" si="2"/>
        <v>nyár</v>
      </c>
    </row>
    <row r="139" spans="1:9">
      <c r="A139" s="4">
        <f>YEAR(B139)</f>
        <v>2021</v>
      </c>
      <c r="B139" s="5">
        <v>44385</v>
      </c>
      <c r="C139" s="6" t="s">
        <v>82</v>
      </c>
      <c r="D139" s="4" t="s">
        <v>43</v>
      </c>
      <c r="E139" s="8" t="s">
        <v>433</v>
      </c>
      <c r="F139" s="6" t="s">
        <v>83</v>
      </c>
      <c r="H139" s="4">
        <v>5.3</v>
      </c>
      <c r="I139" s="4" t="str">
        <f t="shared" si="2"/>
        <v>nyár</v>
      </c>
    </row>
    <row r="140" spans="1:9" ht="57">
      <c r="A140" s="4">
        <f>YEAR(B140)</f>
        <v>2023</v>
      </c>
      <c r="B140" s="5">
        <v>45218</v>
      </c>
      <c r="C140" s="6" t="s">
        <v>355</v>
      </c>
      <c r="D140" s="4" t="s">
        <v>349</v>
      </c>
      <c r="E140" s="8" t="s">
        <v>482</v>
      </c>
      <c r="F140" s="6" t="s">
        <v>356</v>
      </c>
      <c r="G140" s="7" t="s">
        <v>357</v>
      </c>
      <c r="H140" s="4">
        <v>5.3</v>
      </c>
      <c r="I140" s="4" t="str">
        <f t="shared" si="2"/>
        <v>ősz</v>
      </c>
    </row>
    <row r="141" spans="1:9" ht="42.75">
      <c r="A141" s="4">
        <f>YEAR(B141)</f>
        <v>2020</v>
      </c>
      <c r="B141" s="5">
        <v>44049</v>
      </c>
      <c r="C141" s="6" t="s">
        <v>376</v>
      </c>
      <c r="D141" s="4" t="s">
        <v>377</v>
      </c>
      <c r="E141" s="8" t="s">
        <v>484</v>
      </c>
      <c r="F141" s="6" t="s">
        <v>343</v>
      </c>
      <c r="G141" s="7" t="s">
        <v>378</v>
      </c>
      <c r="H141" s="4">
        <v>5.3</v>
      </c>
      <c r="I141" s="4" t="str">
        <f t="shared" si="2"/>
        <v>nyár</v>
      </c>
    </row>
    <row r="142" spans="1:9">
      <c r="A142" s="4">
        <f>YEAR(B142)</f>
        <v>2022</v>
      </c>
      <c r="B142" s="5">
        <v>44896</v>
      </c>
      <c r="C142" s="6" t="s">
        <v>51</v>
      </c>
      <c r="D142" s="4" t="s">
        <v>43</v>
      </c>
      <c r="E142" s="8" t="s">
        <v>453</v>
      </c>
      <c r="F142" s="6" t="s">
        <v>50</v>
      </c>
      <c r="H142" s="4">
        <v>5.2</v>
      </c>
      <c r="I142" s="4" t="str">
        <f t="shared" si="2"/>
        <v>tél</v>
      </c>
    </row>
    <row r="143" spans="1:9">
      <c r="A143" s="4">
        <f>YEAR(B143)</f>
        <v>2022</v>
      </c>
      <c r="B143" s="5">
        <v>44693</v>
      </c>
      <c r="C143" s="6" t="s">
        <v>74</v>
      </c>
      <c r="D143" s="4" t="s">
        <v>43</v>
      </c>
      <c r="E143" s="8" t="s">
        <v>446</v>
      </c>
      <c r="F143" s="6" t="s">
        <v>75</v>
      </c>
      <c r="H143" s="4">
        <v>5.0999999999999996</v>
      </c>
      <c r="I143" s="4" t="str">
        <f t="shared" si="2"/>
        <v>tavasz</v>
      </c>
    </row>
    <row r="144" spans="1:9" ht="42.75">
      <c r="A144" s="4">
        <f>YEAR(B144)</f>
        <v>2022</v>
      </c>
      <c r="B144" s="5">
        <v>44637</v>
      </c>
      <c r="C144" s="6" t="s">
        <v>220</v>
      </c>
      <c r="D144" s="4" t="s">
        <v>119</v>
      </c>
      <c r="E144" s="8" t="s">
        <v>434</v>
      </c>
      <c r="F144" s="6" t="s">
        <v>221</v>
      </c>
      <c r="G144" s="7" t="s">
        <v>222</v>
      </c>
      <c r="H144" s="4">
        <v>4.9000000000000004</v>
      </c>
      <c r="I144" s="4" t="str">
        <f t="shared" si="2"/>
        <v>tavasz</v>
      </c>
    </row>
    <row r="145" spans="1:9" ht="28.5">
      <c r="A145" s="4">
        <f>YEAR(B145)</f>
        <v>2021</v>
      </c>
      <c r="B145" s="5">
        <v>44336</v>
      </c>
      <c r="C145" s="6" t="s">
        <v>178</v>
      </c>
      <c r="D145" s="4" t="s">
        <v>119</v>
      </c>
      <c r="E145" s="8" t="s">
        <v>471</v>
      </c>
      <c r="F145" s="6" t="s">
        <v>179</v>
      </c>
      <c r="G145" s="7" t="s">
        <v>180</v>
      </c>
      <c r="H145" s="4">
        <v>4.8</v>
      </c>
      <c r="I145" s="4" t="str">
        <f t="shared" si="2"/>
        <v>tavasz</v>
      </c>
    </row>
    <row r="146" spans="1:9" ht="71.25">
      <c r="A146" s="4">
        <f>YEAR(B146)</f>
        <v>2024</v>
      </c>
      <c r="B146" s="5">
        <v>45365</v>
      </c>
      <c r="C146" s="6" t="s">
        <v>298</v>
      </c>
      <c r="D146" s="4" t="s">
        <v>292</v>
      </c>
      <c r="E146" s="8" t="s">
        <v>478</v>
      </c>
      <c r="F146" s="6" t="s">
        <v>299</v>
      </c>
      <c r="G146" s="7" t="s">
        <v>300</v>
      </c>
      <c r="H146" s="4">
        <v>4.8</v>
      </c>
      <c r="I146" s="4" t="str">
        <f t="shared" si="2"/>
        <v>tavasz</v>
      </c>
    </row>
    <row r="147" spans="1:9" ht="42.75">
      <c r="A147" s="4">
        <f>YEAR(B147)</f>
        <v>2021</v>
      </c>
      <c r="B147" s="5">
        <v>44476</v>
      </c>
      <c r="C147" s="6" t="s">
        <v>151</v>
      </c>
      <c r="D147" s="4" t="s">
        <v>119</v>
      </c>
      <c r="E147" s="8" t="s">
        <v>472</v>
      </c>
      <c r="F147" s="6" t="s">
        <v>152</v>
      </c>
      <c r="G147" s="7" t="s">
        <v>153</v>
      </c>
      <c r="H147" s="4">
        <v>4.5999999999999996</v>
      </c>
      <c r="I147" s="4" t="str">
        <f t="shared" si="2"/>
        <v>ősz</v>
      </c>
    </row>
    <row r="148" spans="1:9" ht="71.25">
      <c r="A148" s="4">
        <f>YEAR(B148)</f>
        <v>2022</v>
      </c>
      <c r="B148" s="5">
        <v>44737</v>
      </c>
      <c r="C148" s="6" t="s">
        <v>323</v>
      </c>
      <c r="D148" s="4" t="s">
        <v>324</v>
      </c>
      <c r="E148" s="8" t="s">
        <v>445</v>
      </c>
      <c r="F148" s="6" t="s">
        <v>325</v>
      </c>
      <c r="G148" s="7" t="s">
        <v>326</v>
      </c>
      <c r="H148" s="4">
        <v>4.5999999999999996</v>
      </c>
      <c r="I148" s="4" t="str">
        <f t="shared" si="2"/>
        <v>nyár</v>
      </c>
    </row>
    <row r="149" spans="1:9">
      <c r="A149" s="4">
        <f>YEAR(B149)</f>
        <v>2023</v>
      </c>
      <c r="B149" s="5">
        <v>45239</v>
      </c>
      <c r="C149" s="6" t="s">
        <v>100</v>
      </c>
      <c r="D149" s="4" t="s">
        <v>43</v>
      </c>
      <c r="E149" s="8" t="s">
        <v>441</v>
      </c>
      <c r="F149" s="6" t="s">
        <v>101</v>
      </c>
      <c r="H149" s="4">
        <v>4</v>
      </c>
      <c r="I149" s="4" t="str">
        <f t="shared" si="2"/>
        <v>ősz</v>
      </c>
    </row>
    <row r="150" spans="1:9">
      <c r="A150" s="4">
        <f>YEAR(B150)</f>
        <v>2024</v>
      </c>
      <c r="B150" s="5">
        <v>45586</v>
      </c>
      <c r="C150" s="6" t="s">
        <v>47</v>
      </c>
      <c r="D150" s="4" t="s">
        <v>43</v>
      </c>
      <c r="E150" s="8" t="s">
        <v>453</v>
      </c>
      <c r="F150" s="6" t="s">
        <v>48</v>
      </c>
      <c r="H150" s="4">
        <v>3.7</v>
      </c>
      <c r="I150" s="4" t="str">
        <f t="shared" si="2"/>
        <v>ősz</v>
      </c>
    </row>
    <row r="151" spans="1:9" ht="42.75">
      <c r="A151" s="4">
        <f>YEAR(B151)</f>
        <v>2021</v>
      </c>
      <c r="B151" s="5">
        <v>44490</v>
      </c>
      <c r="C151" s="6" t="s">
        <v>316</v>
      </c>
      <c r="D151" s="4" t="s">
        <v>317</v>
      </c>
      <c r="E151" s="8" t="s">
        <v>480</v>
      </c>
      <c r="F151" s="6" t="s">
        <v>318</v>
      </c>
      <c r="G151" s="7" t="s">
        <v>319</v>
      </c>
      <c r="H151" s="4">
        <v>3.7</v>
      </c>
      <c r="I151" s="4" t="str">
        <f t="shared" si="2"/>
        <v>ősz</v>
      </c>
    </row>
    <row r="152" spans="1:9" ht="42.75">
      <c r="A152" s="4">
        <f>YEAR(B152)</f>
        <v>2022</v>
      </c>
      <c r="B152" s="5">
        <v>44623</v>
      </c>
      <c r="C152" s="6" t="s">
        <v>345</v>
      </c>
      <c r="D152" s="4" t="s">
        <v>339</v>
      </c>
      <c r="E152" s="8" t="s">
        <v>451</v>
      </c>
      <c r="F152" s="6" t="s">
        <v>346</v>
      </c>
      <c r="G152" s="7" t="s">
        <v>347</v>
      </c>
      <c r="H152" s="4">
        <v>3.2</v>
      </c>
      <c r="I152" s="4" t="str">
        <f t="shared" si="2"/>
        <v>tavasz</v>
      </c>
    </row>
  </sheetData>
  <sortState ref="A2:I153">
    <sortCondition descending="1" ref="H2:H153"/>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E044-FBD3-4A85-A0CF-E9A6B0B5D551}">
  <dimension ref="A1:C21"/>
  <sheetViews>
    <sheetView workbookViewId="0">
      <selection activeCell="E9" sqref="E9"/>
    </sheetView>
  </sheetViews>
  <sheetFormatPr defaultRowHeight="14.25"/>
  <cols>
    <col min="1" max="1" width="7.875" customWidth="1"/>
    <col min="2" max="2" width="6.625" bestFit="1" customWidth="1"/>
    <col min="3" max="3" width="12.25" customWidth="1"/>
  </cols>
  <sheetData>
    <row r="1" spans="1:3">
      <c r="A1" t="s">
        <v>487</v>
      </c>
      <c r="B1" t="s">
        <v>488</v>
      </c>
      <c r="C1" t="s">
        <v>489</v>
      </c>
    </row>
    <row r="2" spans="1:3">
      <c r="A2">
        <v>2020</v>
      </c>
      <c r="B2" t="s">
        <v>490</v>
      </c>
    </row>
    <row r="3" spans="1:3">
      <c r="A3">
        <v>2020</v>
      </c>
      <c r="B3" t="s">
        <v>491</v>
      </c>
      <c r="C3" t="e">
        <f>SUMIFS(hossz,évszak,A3,év,B3)</f>
        <v>#NAME?</v>
      </c>
    </row>
    <row r="4" spans="1:3">
      <c r="A4">
        <v>2020</v>
      </c>
      <c r="B4" t="s">
        <v>492</v>
      </c>
      <c r="C4" t="e">
        <f>SUMIFS(hossz,évszak,A4,év,B4)</f>
        <v>#NAME?</v>
      </c>
    </row>
    <row r="5" spans="1:3">
      <c r="A5">
        <v>2020</v>
      </c>
      <c r="B5" t="s">
        <v>493</v>
      </c>
      <c r="C5" t="e">
        <f>SUMIFS(hossz,évszak,A5,év,B5)</f>
        <v>#NAME?</v>
      </c>
    </row>
    <row r="6" spans="1:3">
      <c r="A6">
        <v>2021</v>
      </c>
      <c r="B6" t="s">
        <v>490</v>
      </c>
      <c r="C6" t="e">
        <f>SUMIFS(hossz,évszak,A6,év,B6)</f>
        <v>#NAME?</v>
      </c>
    </row>
    <row r="7" spans="1:3">
      <c r="A7">
        <v>2021</v>
      </c>
      <c r="B7" t="s">
        <v>491</v>
      </c>
      <c r="C7" t="e">
        <f>SUMIFS(hossz,évszak,A7,év,B7)</f>
        <v>#NAME?</v>
      </c>
    </row>
    <row r="8" spans="1:3">
      <c r="A8">
        <v>2021</v>
      </c>
      <c r="B8" t="s">
        <v>492</v>
      </c>
      <c r="C8" t="e">
        <f>SUMIFS(hossz,évszak,A8,év,B8)</f>
        <v>#NAME?</v>
      </c>
    </row>
    <row r="9" spans="1:3">
      <c r="A9">
        <v>2021</v>
      </c>
      <c r="B9" t="s">
        <v>493</v>
      </c>
      <c r="C9" t="e">
        <f>SUMIFS(hossz,évszak,A9,év,B9)</f>
        <v>#NAME?</v>
      </c>
    </row>
    <row r="10" spans="1:3">
      <c r="A10">
        <v>2022</v>
      </c>
      <c r="B10" t="s">
        <v>490</v>
      </c>
      <c r="C10" t="e">
        <f>SUMIFS(hossz,évszak,A10,év,B10)</f>
        <v>#NAME?</v>
      </c>
    </row>
    <row r="11" spans="1:3">
      <c r="A11">
        <v>2022</v>
      </c>
      <c r="B11" t="s">
        <v>491</v>
      </c>
      <c r="C11" t="e">
        <f>SUMIFS(hossz,évszak,A11,év,B11)</f>
        <v>#NAME?</v>
      </c>
    </row>
    <row r="12" spans="1:3">
      <c r="A12">
        <v>2022</v>
      </c>
      <c r="B12" t="s">
        <v>492</v>
      </c>
      <c r="C12" t="e">
        <f>SUMIFS(hossz,évszak,A12,év,B12)</f>
        <v>#NAME?</v>
      </c>
    </row>
    <row r="13" spans="1:3">
      <c r="A13">
        <v>2022</v>
      </c>
      <c r="B13" t="s">
        <v>493</v>
      </c>
      <c r="C13" t="e">
        <f>SUMIFS(hossz,évszak,A13,év,B13)</f>
        <v>#NAME?</v>
      </c>
    </row>
    <row r="14" spans="1:3">
      <c r="A14">
        <v>2023</v>
      </c>
      <c r="B14" t="s">
        <v>490</v>
      </c>
      <c r="C14" t="e">
        <f>SUMIFS(hossz,évszak,A14,év,B14)</f>
        <v>#NAME?</v>
      </c>
    </row>
    <row r="15" spans="1:3">
      <c r="A15">
        <v>2023</v>
      </c>
      <c r="B15" t="s">
        <v>491</v>
      </c>
      <c r="C15" t="e">
        <f>SUMIFS(hossz,évszak,A15,év,B15)</f>
        <v>#NAME?</v>
      </c>
    </row>
    <row r="16" spans="1:3">
      <c r="A16">
        <v>2023</v>
      </c>
      <c r="B16" t="s">
        <v>492</v>
      </c>
      <c r="C16" t="e">
        <f>SUMIFS(hossz,évszak,A16,év,B16)</f>
        <v>#NAME?</v>
      </c>
    </row>
    <row r="17" spans="1:3">
      <c r="A17">
        <v>2023</v>
      </c>
      <c r="B17" t="s">
        <v>493</v>
      </c>
      <c r="C17" t="e">
        <f>SUMIFS(hossz,évszak,A17,év,B17)</f>
        <v>#NAME?</v>
      </c>
    </row>
    <row r="18" spans="1:3">
      <c r="A18">
        <v>2024</v>
      </c>
      <c r="B18" t="s">
        <v>490</v>
      </c>
      <c r="C18" t="e">
        <f>SUMIFS(hossz,évszak,A18,év,B18)</f>
        <v>#NAME?</v>
      </c>
    </row>
    <row r="19" spans="1:3">
      <c r="A19">
        <v>2024</v>
      </c>
      <c r="B19" t="s">
        <v>491</v>
      </c>
      <c r="C19" t="e">
        <f>SUMIFS(hossz,évszak,A19,év,B19)</f>
        <v>#NAME?</v>
      </c>
    </row>
    <row r="20" spans="1:3">
      <c r="A20">
        <v>2024</v>
      </c>
      <c r="B20" t="s">
        <v>492</v>
      </c>
      <c r="C20" t="e">
        <f>SUMIFS(hossz,évszak,A20,év,B20)</f>
        <v>#NAME?</v>
      </c>
    </row>
    <row r="21" spans="1:3">
      <c r="A21">
        <v>2024</v>
      </c>
      <c r="B21" t="s">
        <v>493</v>
      </c>
      <c r="C21" t="e">
        <f>SUMIFS(hossz,évszak,A21,év,B21)</f>
        <v>#NAME?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5451ce6-da1a-43ef-88a4-6877fcc04f59" xsi:nil="true"/>
    <lcf76f155ced4ddcb4097134ff3c332f xmlns="bc5bd421-5c1c-4a68-8531-dd4e1d61016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um" ma:contentTypeID="0x0101009114A20620037E42BF8F14E09E72DEDA" ma:contentTypeVersion="12" ma:contentTypeDescription="Új dokumentum létrehozása." ma:contentTypeScope="" ma:versionID="86e5cbd7594ca3bfebb19ac2ff876cd4">
  <xsd:schema xmlns:xsd="http://www.w3.org/2001/XMLSchema" xmlns:xs="http://www.w3.org/2001/XMLSchema" xmlns:p="http://schemas.microsoft.com/office/2006/metadata/properties" xmlns:ns2="bc5bd421-5c1c-4a68-8531-dd4e1d610166" xmlns:ns3="c5451ce6-da1a-43ef-88a4-6877fcc04f59" targetNamespace="http://schemas.microsoft.com/office/2006/metadata/properties" ma:root="true" ma:fieldsID="c4be176a78c87485cfc8678c29d4f674" ns2:_="" ns3:_="">
    <xsd:import namespace="bc5bd421-5c1c-4a68-8531-dd4e1d610166"/>
    <xsd:import namespace="c5451ce6-da1a-43ef-88a4-6877fcc04f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5bd421-5c1c-4a68-8531-dd4e1d6101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Képcímkék" ma:readOnly="false" ma:fieldId="{5cf76f15-5ced-4ddc-b409-7134ff3c332f}" ma:taxonomyMulti="true" ma:sspId="34308edd-cbe0-477a-9645-3c56fd718a8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451ce6-da1a-43ef-88a4-6877fcc04f5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27f878b-9202-42f4-9f59-1f4d92ebce3e}" ma:internalName="TaxCatchAll" ma:showField="CatchAllData" ma:web="c5451ce6-da1a-43ef-88a4-6877fcc04f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5586AC-0C1F-4572-BDA4-D7E19DF8CC87}">
  <ds:schemaRefs>
    <ds:schemaRef ds:uri="http://schemas.microsoft.com/office/2006/metadata/properties"/>
    <ds:schemaRef ds:uri="http://schemas.microsoft.com/office/infopath/2007/PartnerControls"/>
    <ds:schemaRef ds:uri="c5451ce6-da1a-43ef-88a4-6877fcc04f59"/>
    <ds:schemaRef ds:uri="bc5bd421-5c1c-4a68-8531-dd4e1d610166"/>
  </ds:schemaRefs>
</ds:datastoreItem>
</file>

<file path=customXml/itemProps2.xml><?xml version="1.0" encoding="utf-8"?>
<ds:datastoreItem xmlns:ds="http://schemas.openxmlformats.org/officeDocument/2006/customXml" ds:itemID="{197BB68B-B5B8-4321-85DA-DFA160EBD309}">
  <ds:schemaRefs>
    <ds:schemaRef ds:uri="http://schemas.microsoft.com/sharepoint/v3/contenttype/forms"/>
  </ds:schemaRefs>
</ds:datastoreItem>
</file>

<file path=customXml/itemProps3.xml><?xml version="1.0" encoding="utf-8"?>
<ds:datastoreItem xmlns:ds="http://schemas.openxmlformats.org/officeDocument/2006/customXml" ds:itemID="{B0D62165-D61A-4D4C-91C2-52DBEA3F0F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5bd421-5c1c-4a68-8531-dd4e1d610166"/>
    <ds:schemaRef ds:uri="c5451ce6-da1a-43ef-88a4-6877fcc0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Munkalapok</vt:lpstr>
      </vt:variant>
      <vt:variant>
        <vt:i4>2</vt:i4>
      </vt:variant>
      <vt:variant>
        <vt:lpstr>Névvel ellátott tartományok</vt:lpstr>
      </vt:variant>
      <vt:variant>
        <vt:i4>4</vt:i4>
      </vt:variant>
    </vt:vector>
  </HeadingPairs>
  <TitlesOfParts>
    <vt:vector size="6" baseType="lpstr">
      <vt:lpstr>kínálat</vt:lpstr>
      <vt:lpstr>időtöltés</vt:lpstr>
      <vt:lpstr>évszak</vt:lpstr>
      <vt:lpstr>évszám</vt:lpstr>
      <vt:lpstr>halmaz</vt:lpstr>
      <vt:lpstr>hossz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Szabó Zsanett</dc:creator>
  <cp:lastModifiedBy>Ódor Artúr</cp:lastModifiedBy>
  <dcterms:created xsi:type="dcterms:W3CDTF">2024-11-10T00:33:26Z</dcterms:created>
  <dcterms:modified xsi:type="dcterms:W3CDTF">2026-05-23T15:52:57Z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0x0101009114A20620037E42BF8F14E09E72DEDA</vt:lpwstr>
  </property>
</Properties>
</file>