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Python\fakt2025\Sipos Kristóf\Excel\nkp\2.Feladat\"/>
    </mc:Choice>
  </mc:AlternateContent>
  <xr:revisionPtr revIDLastSave="0" documentId="13_ncr:1_{2074534C-CFCE-4D98-BE30-94B038D2B271}" xr6:coauthVersionLast="36" xr6:coauthVersionMax="36" xr10:uidLastSave="{00000000-0000-0000-0000-000000000000}"/>
  <bookViews>
    <workbookView xWindow="0" yWindow="0" windowWidth="16155" windowHeight="5250" xr2:uid="{B94A4CCE-205E-42BD-9BDA-65EA5CE68931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87" i="1"/>
  <c r="A4" i="1"/>
  <c r="A5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N5" i="1" l="1"/>
  <c r="B6" i="1"/>
  <c r="B7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C5" i="1"/>
  <c r="E5" i="1" l="1"/>
  <c r="D5" i="1"/>
  <c r="L11" i="1"/>
  <c r="L12" i="1"/>
  <c r="L18" i="1"/>
  <c r="L17" i="1"/>
  <c r="L14" i="1"/>
  <c r="L19" i="1"/>
  <c r="L83" i="1"/>
  <c r="L16" i="1"/>
  <c r="L99" i="1"/>
  <c r="L15" i="1"/>
  <c r="L82" i="1"/>
  <c r="L98" i="1"/>
  <c r="L35" i="1"/>
  <c r="L67" i="1"/>
  <c r="L51" i="1"/>
  <c r="L50" i="1"/>
  <c r="L34" i="1"/>
  <c r="L66" i="1"/>
  <c r="L5" i="1"/>
  <c r="L33" i="1"/>
  <c r="L65" i="1"/>
  <c r="L97" i="1"/>
  <c r="L94" i="1"/>
  <c r="L79" i="1"/>
  <c r="L61" i="1"/>
  <c r="L29" i="1"/>
  <c r="L13" i="1"/>
  <c r="L48" i="1"/>
  <c r="L96" i="1"/>
  <c r="L77" i="1"/>
  <c r="L95" i="1"/>
  <c r="L93" i="1"/>
  <c r="L60" i="1"/>
  <c r="L58" i="1"/>
  <c r="L42" i="1"/>
  <c r="L26" i="1"/>
  <c r="L10" i="1"/>
  <c r="L49" i="1"/>
  <c r="L63" i="1"/>
  <c r="L78" i="1"/>
  <c r="L76" i="1"/>
  <c r="L59" i="1"/>
  <c r="L90" i="1"/>
  <c r="L89" i="1"/>
  <c r="L73" i="1"/>
  <c r="L57" i="1"/>
  <c r="L41" i="1"/>
  <c r="L25" i="1"/>
  <c r="L9" i="1"/>
  <c r="L47" i="1"/>
  <c r="L45" i="1"/>
  <c r="L43" i="1"/>
  <c r="L27" i="1"/>
  <c r="L88" i="1"/>
  <c r="L72" i="1"/>
  <c r="L56" i="1"/>
  <c r="L40" i="1"/>
  <c r="L24" i="1"/>
  <c r="L8" i="1"/>
  <c r="L81" i="1"/>
  <c r="L31" i="1"/>
  <c r="L92" i="1"/>
  <c r="L91" i="1"/>
  <c r="L74" i="1"/>
  <c r="L71" i="1"/>
  <c r="L39" i="1"/>
  <c r="L23" i="1"/>
  <c r="L7" i="1"/>
  <c r="L80" i="1"/>
  <c r="L62" i="1"/>
  <c r="L75" i="1"/>
  <c r="L70" i="1"/>
  <c r="L6" i="1"/>
  <c r="L32" i="1"/>
  <c r="L30" i="1"/>
  <c r="L44" i="1"/>
  <c r="L104" i="1"/>
  <c r="L87" i="1"/>
  <c r="L102" i="1"/>
  <c r="L54" i="1"/>
  <c r="L22" i="1"/>
  <c r="L101" i="1"/>
  <c r="L85" i="1"/>
  <c r="L69" i="1"/>
  <c r="L53" i="1"/>
  <c r="L37" i="1"/>
  <c r="L21" i="1"/>
  <c r="L64" i="1"/>
  <c r="L46" i="1"/>
  <c r="L28" i="1"/>
  <c r="L103" i="1"/>
  <c r="L55" i="1"/>
  <c r="L86" i="1"/>
  <c r="L38" i="1"/>
  <c r="L100" i="1"/>
  <c r="L84" i="1"/>
  <c r="L68" i="1"/>
  <c r="L52" i="1"/>
  <c r="L36" i="1"/>
  <c r="L20" i="1"/>
  <c r="H5" i="1"/>
  <c r="H104" i="1"/>
  <c r="H98" i="1"/>
  <c r="H92" i="1"/>
  <c r="H7" i="1"/>
  <c r="H91" i="1"/>
  <c r="H67" i="1"/>
  <c r="H102" i="1"/>
  <c r="H99" i="1"/>
  <c r="H93" i="1"/>
  <c r="G87" i="1"/>
  <c r="H81" i="1"/>
  <c r="G75" i="1"/>
  <c r="H69" i="1"/>
  <c r="G63" i="1"/>
  <c r="H57" i="1"/>
  <c r="G51" i="1"/>
  <c r="K45" i="1"/>
  <c r="H39" i="1"/>
  <c r="K33" i="1"/>
  <c r="H27" i="1"/>
  <c r="K21" i="1"/>
  <c r="K15" i="1"/>
  <c r="H9" i="1"/>
  <c r="H73" i="1"/>
  <c r="K36" i="1"/>
  <c r="H24" i="1"/>
  <c r="K18" i="1"/>
  <c r="K43" i="1"/>
  <c r="H97" i="1"/>
  <c r="H79" i="1"/>
  <c r="H55" i="1"/>
  <c r="H96" i="1"/>
  <c r="G84" i="1"/>
  <c r="G66" i="1"/>
  <c r="K42" i="1"/>
  <c r="H95" i="1"/>
  <c r="G89" i="1"/>
  <c r="H77" i="1"/>
  <c r="G71" i="1"/>
  <c r="H59" i="1"/>
  <c r="H53" i="1"/>
  <c r="K35" i="1"/>
  <c r="H17" i="1"/>
  <c r="K7" i="1"/>
  <c r="H103" i="1"/>
  <c r="H85" i="1"/>
  <c r="H61" i="1"/>
  <c r="H90" i="1"/>
  <c r="K72" i="1"/>
  <c r="G60" i="1"/>
  <c r="H48" i="1"/>
  <c r="H101" i="1"/>
  <c r="H100" i="1"/>
  <c r="H94" i="1"/>
  <c r="I78" i="1"/>
  <c r="J78" i="1"/>
  <c r="I54" i="1"/>
  <c r="J54" i="1"/>
  <c r="G30" i="1"/>
  <c r="I30" i="1"/>
  <c r="J30" i="1"/>
  <c r="G104" i="1"/>
  <c r="G98" i="1"/>
  <c r="G96" i="1"/>
  <c r="G94" i="1"/>
  <c r="G90" i="1"/>
  <c r="G76" i="1"/>
  <c r="G72" i="1"/>
  <c r="K40" i="1"/>
  <c r="I83" i="1"/>
  <c r="J83" i="1"/>
  <c r="I65" i="1"/>
  <c r="J65" i="1"/>
  <c r="G47" i="1"/>
  <c r="I47" i="1"/>
  <c r="J47" i="1"/>
  <c r="G23" i="1"/>
  <c r="I23" i="1"/>
  <c r="J23" i="1"/>
  <c r="G11" i="1"/>
  <c r="I11" i="1"/>
  <c r="J11" i="1"/>
  <c r="K91" i="1"/>
  <c r="K85" i="1"/>
  <c r="K83" i="1"/>
  <c r="K75" i="1"/>
  <c r="K69" i="1"/>
  <c r="K61" i="1"/>
  <c r="K57" i="1"/>
  <c r="K53" i="1"/>
  <c r="H49" i="1"/>
  <c r="H43" i="1"/>
  <c r="H37" i="1"/>
  <c r="H28" i="1"/>
  <c r="H10" i="1"/>
  <c r="I88" i="1"/>
  <c r="J88" i="1"/>
  <c r="I82" i="1"/>
  <c r="J82" i="1"/>
  <c r="I76" i="1"/>
  <c r="J76" i="1"/>
  <c r="I70" i="1"/>
  <c r="J70" i="1"/>
  <c r="I64" i="1"/>
  <c r="J64" i="1"/>
  <c r="I58" i="1"/>
  <c r="J58" i="1"/>
  <c r="I52" i="1"/>
  <c r="J52" i="1"/>
  <c r="G46" i="1"/>
  <c r="I46" i="1"/>
  <c r="J46" i="1"/>
  <c r="G40" i="1"/>
  <c r="I40" i="1"/>
  <c r="J40" i="1"/>
  <c r="G34" i="1"/>
  <c r="I34" i="1"/>
  <c r="J34" i="1"/>
  <c r="G28" i="1"/>
  <c r="I28" i="1"/>
  <c r="J28" i="1"/>
  <c r="G22" i="1"/>
  <c r="I22" i="1"/>
  <c r="J22" i="1"/>
  <c r="G16" i="1"/>
  <c r="I16" i="1"/>
  <c r="J16" i="1"/>
  <c r="G10" i="1"/>
  <c r="I10" i="1"/>
  <c r="J10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H89" i="1"/>
  <c r="H87" i="1"/>
  <c r="H83" i="1"/>
  <c r="H75" i="1"/>
  <c r="H71" i="1"/>
  <c r="H65" i="1"/>
  <c r="H63" i="1"/>
  <c r="H51" i="1"/>
  <c r="K48" i="1"/>
  <c r="K39" i="1"/>
  <c r="K30" i="1"/>
  <c r="K27" i="1"/>
  <c r="K24" i="1"/>
  <c r="K12" i="1"/>
  <c r="K9" i="1"/>
  <c r="I84" i="1"/>
  <c r="J84" i="1"/>
  <c r="I66" i="1"/>
  <c r="J66" i="1"/>
  <c r="G42" i="1"/>
  <c r="I42" i="1"/>
  <c r="J42" i="1"/>
  <c r="G18" i="1"/>
  <c r="I18" i="1"/>
  <c r="J18" i="1"/>
  <c r="G103" i="1"/>
  <c r="G102" i="1"/>
  <c r="G97" i="1"/>
  <c r="G93" i="1"/>
  <c r="G82" i="1"/>
  <c r="G70" i="1"/>
  <c r="I77" i="1"/>
  <c r="J77" i="1"/>
  <c r="I53" i="1"/>
  <c r="J53" i="1"/>
  <c r="G41" i="1"/>
  <c r="I41" i="1"/>
  <c r="J41" i="1"/>
  <c r="G29" i="1"/>
  <c r="I29" i="1"/>
  <c r="J29" i="1"/>
  <c r="K89" i="1"/>
  <c r="K81" i="1"/>
  <c r="K77" i="1"/>
  <c r="K65" i="1"/>
  <c r="I81" i="1"/>
  <c r="J81" i="1"/>
  <c r="I69" i="1"/>
  <c r="J69" i="1"/>
  <c r="I57" i="1"/>
  <c r="J57" i="1"/>
  <c r="G45" i="1"/>
  <c r="I45" i="1"/>
  <c r="J45" i="1"/>
  <c r="G33" i="1"/>
  <c r="I33" i="1"/>
  <c r="J33" i="1"/>
  <c r="G21" i="1"/>
  <c r="I21" i="1"/>
  <c r="J21" i="1"/>
  <c r="G15" i="1"/>
  <c r="I15" i="1"/>
  <c r="J15" i="1"/>
  <c r="J104" i="1"/>
  <c r="J100" i="1"/>
  <c r="J99" i="1"/>
  <c r="J97" i="1"/>
  <c r="J96" i="1"/>
  <c r="J95" i="1"/>
  <c r="J92" i="1"/>
  <c r="G83" i="1"/>
  <c r="G81" i="1"/>
  <c r="G77" i="1"/>
  <c r="G67" i="1"/>
  <c r="G55" i="1"/>
  <c r="H42" i="1"/>
  <c r="H33" i="1"/>
  <c r="H18" i="1"/>
  <c r="I86" i="1"/>
  <c r="J86" i="1"/>
  <c r="I80" i="1"/>
  <c r="J80" i="1"/>
  <c r="I74" i="1"/>
  <c r="J74" i="1"/>
  <c r="I68" i="1"/>
  <c r="J68" i="1"/>
  <c r="I62" i="1"/>
  <c r="J62" i="1"/>
  <c r="I56" i="1"/>
  <c r="J56" i="1"/>
  <c r="G50" i="1"/>
  <c r="I50" i="1"/>
  <c r="J50" i="1"/>
  <c r="G44" i="1"/>
  <c r="I44" i="1"/>
  <c r="J44" i="1"/>
  <c r="G38" i="1"/>
  <c r="I38" i="1"/>
  <c r="J38" i="1"/>
  <c r="G32" i="1"/>
  <c r="I32" i="1"/>
  <c r="J32" i="1"/>
  <c r="G26" i="1"/>
  <c r="I26" i="1"/>
  <c r="J26" i="1"/>
  <c r="G20" i="1"/>
  <c r="I20" i="1"/>
  <c r="J20" i="1"/>
  <c r="G14" i="1"/>
  <c r="I14" i="1"/>
  <c r="J14" i="1"/>
  <c r="G8" i="1"/>
  <c r="I8" i="1"/>
  <c r="J8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K90" i="1"/>
  <c r="K88" i="1"/>
  <c r="K86" i="1"/>
  <c r="K84" i="1"/>
  <c r="K82" i="1"/>
  <c r="K80" i="1"/>
  <c r="K78" i="1"/>
  <c r="K76" i="1"/>
  <c r="K74" i="1"/>
  <c r="K70" i="1"/>
  <c r="K68" i="1"/>
  <c r="K66" i="1"/>
  <c r="K64" i="1"/>
  <c r="K62" i="1"/>
  <c r="K60" i="1"/>
  <c r="K58" i="1"/>
  <c r="K56" i="1"/>
  <c r="K54" i="1"/>
  <c r="K52" i="1"/>
  <c r="K50" i="1"/>
  <c r="K47" i="1"/>
  <c r="K44" i="1"/>
  <c r="K41" i="1"/>
  <c r="K38" i="1"/>
  <c r="K32" i="1"/>
  <c r="K29" i="1"/>
  <c r="K26" i="1"/>
  <c r="K23" i="1"/>
  <c r="K20" i="1"/>
  <c r="K17" i="1"/>
  <c r="K14" i="1"/>
  <c r="K11" i="1"/>
  <c r="K8" i="1"/>
  <c r="I72" i="1"/>
  <c r="J72" i="1"/>
  <c r="G36" i="1"/>
  <c r="I36" i="1"/>
  <c r="J36" i="1"/>
  <c r="G12" i="1"/>
  <c r="I12" i="1"/>
  <c r="J12" i="1"/>
  <c r="G99" i="1"/>
  <c r="G88" i="1"/>
  <c r="G74" i="1"/>
  <c r="K46" i="1"/>
  <c r="I89" i="1"/>
  <c r="J89" i="1"/>
  <c r="I59" i="1"/>
  <c r="J59" i="1"/>
  <c r="G35" i="1"/>
  <c r="I35" i="1"/>
  <c r="J35" i="1"/>
  <c r="K67" i="1"/>
  <c r="I87" i="1"/>
  <c r="J87" i="1"/>
  <c r="I75" i="1"/>
  <c r="J75" i="1"/>
  <c r="I63" i="1"/>
  <c r="J63" i="1"/>
  <c r="I51" i="1"/>
  <c r="J51" i="1"/>
  <c r="G39" i="1"/>
  <c r="I39" i="1"/>
  <c r="J39" i="1"/>
  <c r="G27" i="1"/>
  <c r="I27" i="1"/>
  <c r="J27" i="1"/>
  <c r="G9" i="1"/>
  <c r="I9" i="1"/>
  <c r="J9" i="1"/>
  <c r="J103" i="1"/>
  <c r="J102" i="1"/>
  <c r="J101" i="1"/>
  <c r="J98" i="1"/>
  <c r="J94" i="1"/>
  <c r="J93" i="1"/>
  <c r="G91" i="1"/>
  <c r="G85" i="1"/>
  <c r="G79" i="1"/>
  <c r="G73" i="1"/>
  <c r="G69" i="1"/>
  <c r="G65" i="1"/>
  <c r="G61" i="1"/>
  <c r="G59" i="1"/>
  <c r="G57" i="1"/>
  <c r="G53" i="1"/>
  <c r="H45" i="1"/>
  <c r="H36" i="1"/>
  <c r="H30" i="1"/>
  <c r="H21" i="1"/>
  <c r="H15" i="1"/>
  <c r="H12" i="1"/>
  <c r="I91" i="1"/>
  <c r="J91" i="1"/>
  <c r="I85" i="1"/>
  <c r="J85" i="1"/>
  <c r="I79" i="1"/>
  <c r="J79" i="1"/>
  <c r="I73" i="1"/>
  <c r="J73" i="1"/>
  <c r="I67" i="1"/>
  <c r="J67" i="1"/>
  <c r="I61" i="1"/>
  <c r="J61" i="1"/>
  <c r="I55" i="1"/>
  <c r="J55" i="1"/>
  <c r="G49" i="1"/>
  <c r="I49" i="1"/>
  <c r="J49" i="1"/>
  <c r="G43" i="1"/>
  <c r="I43" i="1"/>
  <c r="J43" i="1"/>
  <c r="G37" i="1"/>
  <c r="I37" i="1"/>
  <c r="J37" i="1"/>
  <c r="G31" i="1"/>
  <c r="I31" i="1"/>
  <c r="J31" i="1"/>
  <c r="G25" i="1"/>
  <c r="I25" i="1"/>
  <c r="J25" i="1"/>
  <c r="G19" i="1"/>
  <c r="I19" i="1"/>
  <c r="J19" i="1"/>
  <c r="G13" i="1"/>
  <c r="I13" i="1"/>
  <c r="J13" i="1"/>
  <c r="G7" i="1"/>
  <c r="I7" i="1"/>
  <c r="J7" i="1"/>
  <c r="H88" i="1"/>
  <c r="H86" i="1"/>
  <c r="H84" i="1"/>
  <c r="H82" i="1"/>
  <c r="H80" i="1"/>
  <c r="H78" i="1"/>
  <c r="H76" i="1"/>
  <c r="H74" i="1"/>
  <c r="H72" i="1"/>
  <c r="H70" i="1"/>
  <c r="H68" i="1"/>
  <c r="H66" i="1"/>
  <c r="H64" i="1"/>
  <c r="H62" i="1"/>
  <c r="H60" i="1"/>
  <c r="H58" i="1"/>
  <c r="H56" i="1"/>
  <c r="H54" i="1"/>
  <c r="H52" i="1"/>
  <c r="H50" i="1"/>
  <c r="H47" i="1"/>
  <c r="H44" i="1"/>
  <c r="H41" i="1"/>
  <c r="H38" i="1"/>
  <c r="H35" i="1"/>
  <c r="H32" i="1"/>
  <c r="H29" i="1"/>
  <c r="H26" i="1"/>
  <c r="H23" i="1"/>
  <c r="H20" i="1"/>
  <c r="H14" i="1"/>
  <c r="H11" i="1"/>
  <c r="H8" i="1"/>
  <c r="G48" i="1"/>
  <c r="I48" i="1"/>
  <c r="J48" i="1"/>
  <c r="G100" i="1"/>
  <c r="G92" i="1"/>
  <c r="G80" i="1"/>
  <c r="G68" i="1"/>
  <c r="G62" i="1"/>
  <c r="G58" i="1"/>
  <c r="G56" i="1"/>
  <c r="G54" i="1"/>
  <c r="K49" i="1"/>
  <c r="K37" i="1"/>
  <c r="K34" i="1"/>
  <c r="K31" i="1"/>
  <c r="K28" i="1"/>
  <c r="K25" i="1"/>
  <c r="K22" i="1"/>
  <c r="K19" i="1"/>
  <c r="K16" i="1"/>
  <c r="K13" i="1"/>
  <c r="K10" i="1"/>
  <c r="I90" i="1"/>
  <c r="J90" i="1"/>
  <c r="I60" i="1"/>
  <c r="J60" i="1"/>
  <c r="G24" i="1"/>
  <c r="I24" i="1"/>
  <c r="J24" i="1"/>
  <c r="G101" i="1"/>
  <c r="G95" i="1"/>
  <c r="G86" i="1"/>
  <c r="G78" i="1"/>
  <c r="G64" i="1"/>
  <c r="G52" i="1"/>
  <c r="I71" i="1"/>
  <c r="J71" i="1"/>
  <c r="G17" i="1"/>
  <c r="I17" i="1"/>
  <c r="J17" i="1"/>
  <c r="K87" i="1"/>
  <c r="K79" i="1"/>
  <c r="K73" i="1"/>
  <c r="K71" i="1"/>
  <c r="K63" i="1"/>
  <c r="K59" i="1"/>
  <c r="K55" i="1"/>
  <c r="K51" i="1"/>
  <c r="H46" i="1"/>
  <c r="H40" i="1"/>
  <c r="H34" i="1"/>
  <c r="H31" i="1"/>
  <c r="H25" i="1"/>
  <c r="H22" i="1"/>
  <c r="H19" i="1"/>
  <c r="H16" i="1"/>
  <c r="H13" i="1"/>
  <c r="K6" i="1"/>
  <c r="J6" i="1"/>
  <c r="I6" i="1"/>
  <c r="H6" i="1"/>
  <c r="K5" i="1"/>
  <c r="G6" i="1"/>
  <c r="J5" i="1"/>
  <c r="I5" i="1"/>
  <c r="G5" i="1"/>
  <c r="D4" i="1"/>
  <c r="N6" i="1" l="1"/>
  <c r="A6" i="1" s="1"/>
  <c r="E4" i="1"/>
  <c r="C6" i="1" l="1"/>
  <c r="E6" i="1" l="1"/>
  <c r="D6" i="1"/>
  <c r="N7" i="1" l="1"/>
  <c r="A7" i="1" s="1"/>
  <c r="C7" i="1" l="1"/>
  <c r="E7" i="1"/>
  <c r="D7" i="1"/>
  <c r="N8" i="1" s="1"/>
  <c r="A8" i="1" l="1"/>
  <c r="E8" i="1" s="1"/>
  <c r="C8" i="1" l="1"/>
  <c r="D8" i="1"/>
  <c r="N9" i="1" s="1"/>
  <c r="A9" i="1" s="1"/>
  <c r="C9" i="1" l="1"/>
  <c r="E9" i="1"/>
  <c r="D9" i="1"/>
  <c r="N10" i="1" l="1"/>
  <c r="A10" i="1" l="1"/>
  <c r="D10" i="1" s="1"/>
  <c r="C10" i="1" l="1"/>
  <c r="E10" i="1"/>
  <c r="N11" i="1" s="1"/>
  <c r="A11" i="1" s="1"/>
  <c r="C11" i="1" l="1"/>
  <c r="D11" i="1"/>
  <c r="E11" i="1"/>
  <c r="N12" i="1" l="1"/>
  <c r="A12" i="1" l="1"/>
  <c r="E12" i="1" s="1"/>
  <c r="D12" i="1" l="1"/>
  <c r="C12" i="1"/>
  <c r="N13" i="1" s="1"/>
  <c r="A13" i="1" l="1"/>
  <c r="D13" i="1" s="1"/>
  <c r="E13" i="1" l="1"/>
  <c r="C13" i="1"/>
  <c r="N14" i="1" s="1"/>
  <c r="A14" i="1" l="1"/>
  <c r="C14" i="1" s="1"/>
  <c r="E14" i="1" l="1"/>
  <c r="D14" i="1"/>
  <c r="N15" i="1" l="1"/>
  <c r="A15" i="1" s="1"/>
  <c r="D15" i="1"/>
  <c r="E15" i="1"/>
  <c r="C15" i="1"/>
  <c r="N16" i="1" l="1"/>
  <c r="A16" i="1" l="1"/>
  <c r="C16" i="1" s="1"/>
  <c r="D16" i="1" l="1"/>
  <c r="N17" i="1" s="1"/>
  <c r="E16" i="1"/>
  <c r="A17" i="1" l="1"/>
  <c r="D17" i="1" l="1"/>
  <c r="E17" i="1"/>
  <c r="C17" i="1"/>
  <c r="N18" i="1" l="1"/>
  <c r="A18" i="1" l="1"/>
  <c r="C18" i="1" s="1"/>
  <c r="D18" i="1" l="1"/>
  <c r="N19" i="1" s="1"/>
  <c r="E18" i="1"/>
  <c r="A19" i="1" l="1"/>
  <c r="C19" i="1" s="1"/>
  <c r="D19" i="1"/>
  <c r="E19" i="1" l="1"/>
  <c r="N20" i="1" s="1"/>
  <c r="A20" i="1" l="1"/>
  <c r="C20" i="1" s="1"/>
  <c r="D20" i="1" l="1"/>
  <c r="E20" i="1"/>
  <c r="N21" i="1" l="1"/>
  <c r="A21" i="1" s="1"/>
  <c r="D21" i="1" s="1"/>
  <c r="C21" i="1" l="1"/>
  <c r="E21" i="1"/>
  <c r="N22" i="1" l="1"/>
  <c r="A22" i="1"/>
  <c r="E22" i="1"/>
  <c r="C22" i="1"/>
  <c r="D22" i="1"/>
  <c r="N23" i="1" l="1"/>
  <c r="A23" i="1" l="1"/>
  <c r="D23" i="1" s="1"/>
  <c r="C23" i="1" l="1"/>
  <c r="E23" i="1"/>
  <c r="N24" i="1" s="1"/>
  <c r="A24" i="1" s="1"/>
  <c r="D24" i="1" s="1"/>
  <c r="C24" i="1" l="1"/>
  <c r="E24" i="1"/>
  <c r="N25" i="1" l="1"/>
  <c r="A25" i="1" l="1"/>
  <c r="E25" i="1" s="1"/>
  <c r="C25" i="1" l="1"/>
  <c r="N26" i="1" s="1"/>
  <c r="D25" i="1"/>
  <c r="A26" i="1" l="1"/>
  <c r="D26" i="1" s="1"/>
  <c r="C26" i="1" l="1"/>
  <c r="E26" i="1"/>
  <c r="N27" i="1" l="1"/>
  <c r="A27" i="1" l="1"/>
  <c r="C27" i="1" s="1"/>
  <c r="D27" i="1" l="1"/>
  <c r="E27" i="1"/>
  <c r="N28" i="1" s="1"/>
  <c r="A28" i="1" l="1"/>
  <c r="C28" i="1" s="1"/>
  <c r="E28" i="1"/>
  <c r="D28" i="1" l="1"/>
  <c r="N29" i="1" s="1"/>
  <c r="A29" i="1" l="1"/>
  <c r="C29" i="1" s="1"/>
  <c r="D29" i="1" l="1"/>
  <c r="E29" i="1"/>
  <c r="N30" i="1" l="1"/>
  <c r="A30" i="1" s="1"/>
  <c r="C30" i="1" s="1"/>
  <c r="D30" i="1" l="1"/>
  <c r="E30" i="1"/>
  <c r="N31" i="1" l="1"/>
  <c r="A31" i="1" l="1"/>
  <c r="C31" i="1" s="1"/>
  <c r="E31" i="1" l="1"/>
  <c r="D31" i="1"/>
  <c r="N32" i="1" s="1"/>
  <c r="A32" i="1" l="1"/>
  <c r="C32" i="1" s="1"/>
  <c r="D32" i="1" l="1"/>
  <c r="N33" i="1" s="1"/>
  <c r="E32" i="1"/>
  <c r="A33" i="1" l="1"/>
  <c r="D33" i="1"/>
  <c r="E33" i="1"/>
  <c r="C33" i="1"/>
  <c r="N34" i="1" s="1"/>
  <c r="A34" i="1" l="1"/>
  <c r="E34" i="1" s="1"/>
  <c r="C34" i="1" l="1"/>
  <c r="D34" i="1"/>
  <c r="N35" i="1" s="1"/>
  <c r="A35" i="1" l="1"/>
  <c r="D35" i="1" s="1"/>
  <c r="E35" i="1" l="1"/>
  <c r="C35" i="1"/>
  <c r="N36" i="1" l="1"/>
  <c r="A36" i="1" l="1"/>
  <c r="E36" i="1" s="1"/>
  <c r="C36" i="1"/>
  <c r="D36" i="1" l="1"/>
  <c r="N37" i="1" s="1"/>
  <c r="A37" i="1" l="1"/>
  <c r="E37" i="1" s="1"/>
  <c r="C37" i="1" l="1"/>
  <c r="D37" i="1"/>
  <c r="N38" i="1" l="1"/>
  <c r="A38" i="1" l="1"/>
  <c r="C38" i="1" s="1"/>
  <c r="D38" i="1"/>
  <c r="E38" i="1"/>
  <c r="N39" i="1" l="1"/>
  <c r="A39" i="1" l="1"/>
  <c r="C39" i="1" s="1"/>
  <c r="N40" i="1" l="1"/>
  <c r="D39" i="1"/>
  <c r="E39" i="1"/>
  <c r="A40" i="1" l="1"/>
  <c r="E40" i="1" s="1"/>
  <c r="D40" i="1" l="1"/>
  <c r="C40" i="1"/>
  <c r="N41" i="1" l="1"/>
  <c r="A41" i="1" l="1"/>
  <c r="D41" i="1" s="1"/>
  <c r="E41" i="1"/>
  <c r="C41" i="1"/>
  <c r="N42" i="1" l="1"/>
  <c r="A42" i="1" l="1"/>
  <c r="D42" i="1" s="1"/>
  <c r="E42" i="1" l="1"/>
  <c r="C42" i="1"/>
  <c r="N43" i="1" s="1"/>
  <c r="A43" i="1" l="1"/>
  <c r="D43" i="1" s="1"/>
  <c r="C43" i="1"/>
  <c r="E43" i="1" l="1"/>
  <c r="N44" i="1" s="1"/>
  <c r="A44" i="1" l="1"/>
  <c r="D44" i="1" s="1"/>
  <c r="C44" i="1"/>
  <c r="E44" i="1" l="1"/>
  <c r="N45" i="1" s="1"/>
  <c r="A45" i="1" l="1"/>
  <c r="D45" i="1" s="1"/>
  <c r="E45" i="1" l="1"/>
  <c r="N46" i="1" s="1"/>
  <c r="C45" i="1"/>
  <c r="A46" i="1" l="1"/>
  <c r="C46" i="1" s="1"/>
  <c r="E46" i="1" l="1"/>
  <c r="D46" i="1"/>
  <c r="N47" i="1" l="1"/>
  <c r="A47" i="1" l="1"/>
  <c r="C47" i="1" s="1"/>
  <c r="D47" i="1" l="1"/>
  <c r="N48" i="1" s="1"/>
  <c r="E47" i="1"/>
  <c r="A48" i="1" l="1"/>
  <c r="C48" i="1" s="1"/>
  <c r="E48" i="1"/>
  <c r="D48" i="1" l="1"/>
  <c r="N49" i="1" s="1"/>
  <c r="A49" i="1" l="1"/>
  <c r="E49" i="1" s="1"/>
  <c r="D49" i="1"/>
  <c r="C49" i="1"/>
  <c r="N50" i="1" l="1"/>
  <c r="A50" i="1" l="1"/>
  <c r="C50" i="1" s="1"/>
  <c r="E50" i="1" l="1"/>
  <c r="N51" i="1" s="1"/>
  <c r="D50" i="1"/>
  <c r="A51" i="1" l="1"/>
  <c r="E51" i="1" s="1"/>
  <c r="D51" i="1" l="1"/>
  <c r="C51" i="1"/>
  <c r="N52" i="1" l="1"/>
  <c r="A52" i="1" l="1"/>
  <c r="E52" i="1" s="1"/>
  <c r="D52" i="1" l="1"/>
  <c r="C52" i="1"/>
  <c r="N53" i="1" l="1"/>
  <c r="A53" i="1" s="1"/>
  <c r="D53" i="1" s="1"/>
  <c r="C53" i="1" l="1"/>
  <c r="E53" i="1"/>
  <c r="N54" i="1" s="1"/>
  <c r="A54" i="1" s="1"/>
  <c r="C54" i="1" s="1"/>
  <c r="E54" i="1" l="1"/>
  <c r="N55" i="1"/>
  <c r="D54" i="1"/>
  <c r="A55" i="1" l="1"/>
  <c r="E55" i="1" s="1"/>
  <c r="D55" i="1"/>
  <c r="C55" i="1"/>
  <c r="N56" i="1" l="1"/>
  <c r="A56" i="1" l="1"/>
  <c r="D56" i="1" s="1"/>
  <c r="C56" i="1" l="1"/>
  <c r="E56" i="1"/>
  <c r="N57" i="1" s="1"/>
  <c r="A57" i="1" l="1"/>
  <c r="E57" i="1" s="1"/>
  <c r="C57" i="1"/>
  <c r="N58" i="1" l="1"/>
  <c r="D57" i="1"/>
  <c r="A58" i="1" l="1"/>
  <c r="C58" i="1" s="1"/>
  <c r="D58" i="1" l="1"/>
  <c r="E58" i="1"/>
  <c r="N59" i="1" l="1"/>
  <c r="A59" i="1" l="1"/>
  <c r="D59" i="1" s="1"/>
  <c r="E59" i="1" l="1"/>
  <c r="C59" i="1"/>
  <c r="N60" i="1" l="1"/>
  <c r="A60" i="1" l="1"/>
  <c r="D60" i="1" s="1"/>
  <c r="E60" i="1"/>
  <c r="C60" i="1"/>
  <c r="N61" i="1" l="1"/>
  <c r="A61" i="1" l="1"/>
  <c r="C61" i="1" s="1"/>
  <c r="D61" i="1" l="1"/>
  <c r="E61" i="1"/>
  <c r="N62" i="1" s="1"/>
  <c r="A62" i="1" l="1"/>
  <c r="C62" i="1" s="1"/>
  <c r="D62" i="1" l="1"/>
  <c r="E62" i="1"/>
  <c r="N63" i="1" l="1"/>
  <c r="A63" i="1" l="1"/>
  <c r="D63" i="1" s="1"/>
  <c r="E63" i="1"/>
  <c r="C63" i="1" l="1"/>
  <c r="N64" i="1" l="1"/>
  <c r="A64" i="1" l="1"/>
  <c r="D64" i="1" s="1"/>
  <c r="E64" i="1" l="1"/>
  <c r="C64" i="1"/>
  <c r="N65" i="1" l="1"/>
  <c r="A65" i="1" l="1"/>
  <c r="C65" i="1"/>
  <c r="E65" i="1"/>
  <c r="N66" i="1" s="1"/>
  <c r="D65" i="1"/>
  <c r="A66" i="1" l="1"/>
  <c r="D66" i="1" s="1"/>
  <c r="E66" i="1"/>
  <c r="C66" i="1" l="1"/>
  <c r="N67" i="1" l="1"/>
  <c r="A67" i="1" l="1"/>
  <c r="E67" i="1" s="1"/>
  <c r="C67" i="1" l="1"/>
  <c r="D67" i="1"/>
  <c r="N68" i="1" s="1"/>
  <c r="A68" i="1" l="1"/>
  <c r="C68" i="1"/>
  <c r="E68" i="1"/>
  <c r="D68" i="1"/>
  <c r="N69" i="1" l="1"/>
  <c r="A69" i="1" s="1"/>
  <c r="C69" i="1" s="1"/>
  <c r="E69" i="1" l="1"/>
  <c r="D69" i="1"/>
  <c r="N70" i="1" l="1"/>
  <c r="A70" i="1" l="1"/>
  <c r="C70" i="1" s="1"/>
  <c r="N71" i="1" s="1"/>
  <c r="A71" i="1" s="1"/>
  <c r="D70" i="1"/>
  <c r="E70" i="1"/>
  <c r="D71" i="1" l="1"/>
  <c r="E71" i="1"/>
  <c r="N72" i="1" s="1"/>
  <c r="A72" i="1" s="1"/>
  <c r="C71" i="1"/>
  <c r="D72" i="1" l="1"/>
  <c r="E72" i="1"/>
  <c r="C72" i="1"/>
  <c r="N73" i="1" l="1"/>
  <c r="A73" i="1" l="1"/>
  <c r="E73" i="1" s="1"/>
  <c r="C73" i="1"/>
  <c r="N74" i="1" s="1"/>
  <c r="A74" i="1" s="1"/>
  <c r="C74" i="1" s="1"/>
  <c r="D73" i="1"/>
  <c r="E74" i="1" l="1"/>
  <c r="D74" i="1"/>
  <c r="N75" i="1"/>
  <c r="A75" i="1" l="1"/>
  <c r="E75" i="1"/>
  <c r="D75" i="1"/>
  <c r="C75" i="1"/>
  <c r="N76" i="1" l="1"/>
  <c r="A76" i="1" s="1"/>
  <c r="D76" i="1" s="1"/>
  <c r="C76" i="1" l="1"/>
  <c r="E76" i="1"/>
  <c r="N77" i="1" l="1"/>
  <c r="A77" i="1" l="1"/>
  <c r="E77" i="1"/>
  <c r="C77" i="1"/>
  <c r="D77" i="1"/>
  <c r="N78" i="1" l="1"/>
  <c r="A78" i="1" l="1"/>
  <c r="E78" i="1" s="1"/>
  <c r="C78" i="1" l="1"/>
  <c r="D78" i="1"/>
  <c r="N79" i="1" l="1"/>
  <c r="A79" i="1" l="1"/>
  <c r="E79" i="1" s="1"/>
  <c r="C79" i="1" l="1"/>
  <c r="D79" i="1"/>
  <c r="N80" i="1" l="1"/>
  <c r="A80" i="1" l="1"/>
  <c r="E80" i="1" s="1"/>
  <c r="D80" i="1"/>
  <c r="C80" i="1" l="1"/>
  <c r="N81" i="1" l="1"/>
  <c r="A81" i="1" l="1"/>
  <c r="D81" i="1" s="1"/>
  <c r="C81" i="1" l="1"/>
  <c r="E81" i="1"/>
  <c r="N82" i="1" s="1"/>
  <c r="A82" i="1" l="1"/>
  <c r="D82" i="1" s="1"/>
  <c r="C82" i="1"/>
  <c r="E82" i="1"/>
  <c r="N83" i="1" s="1"/>
  <c r="A83" i="1" l="1"/>
  <c r="E83" i="1" s="1"/>
  <c r="C83" i="1"/>
  <c r="D83" i="1" l="1"/>
  <c r="N84" i="1" s="1"/>
  <c r="A84" i="1" l="1"/>
  <c r="E84" i="1" s="1"/>
  <c r="D84" i="1"/>
  <c r="C84" i="1" l="1"/>
  <c r="N85" i="1" l="1"/>
  <c r="A85" i="1" l="1"/>
  <c r="E85" i="1" s="1"/>
  <c r="D85" i="1"/>
  <c r="C85" i="1"/>
  <c r="N86" i="1" l="1"/>
  <c r="D86" i="1" l="1"/>
  <c r="A86" i="1"/>
  <c r="E86" i="1" s="1"/>
  <c r="C86" i="1"/>
  <c r="N87" i="1" l="1"/>
  <c r="A87" i="1" l="1"/>
  <c r="D87" i="1"/>
  <c r="E87" i="1"/>
  <c r="N88" i="1" s="1"/>
  <c r="C87" i="1"/>
  <c r="C88" i="1" l="1"/>
  <c r="A88" i="1"/>
  <c r="D88" i="1"/>
  <c r="E88" i="1"/>
  <c r="N89" i="1" l="1"/>
  <c r="C89" i="1" s="1"/>
  <c r="A89" i="1" l="1"/>
  <c r="E89" i="1"/>
  <c r="N90" i="1" s="1"/>
  <c r="E90" i="1" s="1"/>
  <c r="D89" i="1"/>
  <c r="N91" i="1" l="1"/>
  <c r="A91" i="1" s="1"/>
  <c r="D90" i="1"/>
  <c r="C90" i="1"/>
  <c r="A90" i="1"/>
  <c r="D91" i="1" l="1"/>
  <c r="C91" i="1"/>
  <c r="E91" i="1"/>
  <c r="N92" i="1" l="1"/>
  <c r="D92" i="1" l="1"/>
  <c r="A92" i="1"/>
  <c r="E92" i="1"/>
  <c r="N93" i="1" s="1"/>
  <c r="C92" i="1"/>
  <c r="A93" i="1" l="1"/>
  <c r="E93" i="1"/>
  <c r="C93" i="1"/>
  <c r="N94" i="1" s="1"/>
  <c r="D93" i="1"/>
  <c r="C94" i="1" l="1"/>
  <c r="D94" i="1"/>
  <c r="A94" i="1"/>
  <c r="E94" i="1"/>
  <c r="N95" i="1" l="1"/>
  <c r="D95" i="1" l="1"/>
  <c r="A95" i="1"/>
  <c r="E95" i="1"/>
  <c r="C95" i="1"/>
  <c r="N96" i="1" l="1"/>
  <c r="A96" i="1" l="1"/>
  <c r="C96" i="1"/>
  <c r="D96" i="1"/>
  <c r="E96" i="1"/>
  <c r="N97" i="1" s="1"/>
  <c r="A97" i="1" l="1"/>
  <c r="C97" i="1"/>
  <c r="D97" i="1"/>
  <c r="E97" i="1"/>
  <c r="N98" i="1" s="1"/>
  <c r="A98" i="1" l="1"/>
  <c r="D98" i="1"/>
  <c r="E98" i="1"/>
  <c r="N99" i="1" s="1"/>
  <c r="C98" i="1"/>
  <c r="A99" i="1" l="1"/>
  <c r="C99" i="1"/>
  <c r="D99" i="1"/>
  <c r="E99" i="1"/>
  <c r="N100" i="1" l="1"/>
  <c r="A100" i="1" l="1"/>
  <c r="E100" i="1"/>
  <c r="N101" i="1" s="1"/>
  <c r="C100" i="1"/>
  <c r="D100" i="1"/>
  <c r="A101" i="1" l="1"/>
  <c r="C101" i="1"/>
  <c r="E101" i="1"/>
  <c r="N102" i="1" s="1"/>
  <c r="D101" i="1"/>
  <c r="C102" i="1" l="1"/>
  <c r="E102" i="1"/>
  <c r="N103" i="1" s="1"/>
  <c r="A102" i="1"/>
  <c r="D102" i="1"/>
  <c r="A103" i="1" l="1"/>
  <c r="E103" i="1"/>
  <c r="N104" i="1" s="1"/>
  <c r="C103" i="1"/>
  <c r="D103" i="1"/>
  <c r="E104" i="1" l="1"/>
  <c r="A104" i="1"/>
  <c r="D104" i="1"/>
  <c r="C104" i="1"/>
</calcChain>
</file>

<file path=xl/sharedStrings.xml><?xml version="1.0" encoding="utf-8"?>
<sst xmlns="http://schemas.openxmlformats.org/spreadsheetml/2006/main" count="9" uniqueCount="8">
  <si>
    <t>Anna</t>
  </si>
  <si>
    <t>Blanka</t>
  </si>
  <si>
    <t>Csaba</t>
  </si>
  <si>
    <t>Játékos</t>
  </si>
  <si>
    <t>Dobás</t>
  </si>
  <si>
    <t>Kezdő:</t>
  </si>
  <si>
    <t>Győztes:</t>
  </si>
  <si>
    <t>Ki következik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</si>
</sst>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ál" xfId="0" builtinId="0"/>
  </cellStyles>
  <dxfs count="2">
    <dxf>
      <font>
        <color rgb="FFFFFF00"/>
      </font>
      <fill>
        <patternFill>
          <bgColor rgb="FFFFFF00"/>
        </patternFill>
      </fill>
    </dxf>
    <dxf>
      <font>
        <color theme="4"/>
      </font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E9E3-DD9C-41C8-AA85-35575A5B0F89}">
  <dimension ref="A1:N104"/>
  <sheetViews>
    <sheetView tabSelected="1" topLeftCell="A16" workbookViewId="0">
      <selection activeCell="B5" sqref="B5"/>
    </sheetView>
  </sheetViews>
  <sheetFormatPr defaultRowHeight="15" x14ac:dyDescent="0.25"/>
  <cols>
    <col min="1" max="1" width="7.5703125" bestFit="1" customWidth="1"/>
    <col min="7" max="12" width="3.7109375" customWidth="1"/>
  </cols>
  <sheetData>
    <row r="1" spans="1:14" x14ac:dyDescent="0.25">
      <c r="A1" s="2" t="s">
        <v>5</v>
      </c>
      <c r="B1" t="s">
        <v>1</v>
      </c>
      <c r="D1" s="2" t="s">
        <v>6</v>
      </c>
    </row>
    <row r="3" spans="1:14" x14ac:dyDescent="0.25">
      <c r="A3" s="1" t="s">
        <v>3</v>
      </c>
      <c r="B3" s="1" t="s">
        <v>4</v>
      </c>
      <c r="C3" s="1" t="s">
        <v>0</v>
      </c>
      <c r="D3" s="1" t="s">
        <v>1</v>
      </c>
      <c r="E3" s="1" t="s">
        <v>2</v>
      </c>
      <c r="G3" s="3">
        <v>1</v>
      </c>
      <c r="H3" s="3">
        <v>2</v>
      </c>
      <c r="I3" s="3">
        <v>3</v>
      </c>
      <c r="J3" s="3">
        <v>4</v>
      </c>
      <c r="K3" s="3">
        <v>5</v>
      </c>
      <c r="L3" s="3">
        <v>6</v>
      </c>
      <c r="N3" t="s">
        <v>7</v>
      </c>
    </row>
    <row r="4" spans="1:14" x14ac:dyDescent="0.25">
      <c r="A4" t="str">
        <f t="shared" ref="A4:A67" si="0">IFERROR(INDEX($C$3:$E$3,N4),"")</f>
        <v/>
      </c>
      <c r="C4" s="3">
        <v>8</v>
      </c>
      <c r="D4" s="3">
        <f>C4</f>
        <v>8</v>
      </c>
      <c r="E4" s="3">
        <f>C4</f>
        <v>8</v>
      </c>
    </row>
    <row r="5" spans="1:14" x14ac:dyDescent="0.25">
      <c r="A5" t="str">
        <f t="shared" si="0"/>
        <v>Blanka</v>
      </c>
      <c r="B5">
        <f ca="1">RANDBETWEEN(1,6)</f>
        <v>5</v>
      </c>
      <c r="C5">
        <f ca="1">IF($N5="","",C4+_xlfn.IFS($A5&lt;&gt;C$3,0,$B5=6,-1,INDEX($G4:$K4,1,$B5),1,TRUE,-1))</f>
        <v>8</v>
      </c>
      <c r="D5">
        <f t="shared" ref="D5:E5" ca="1" si="1">IF($N5="","",D4+_xlfn.IFS($A5&lt;&gt;D$3,0,$B5=6,-1,INDEX($G4:$K4,1,$B5),1,TRUE,-1))</f>
        <v>7</v>
      </c>
      <c r="E5">
        <f t="shared" ca="1" si="1"/>
        <v>8</v>
      </c>
      <c r="G5" t="b">
        <f ca="1">IF($B5&gt;0,MOD(COUNTIFS($B$5,G$3),2)=1,"")</f>
        <v>0</v>
      </c>
      <c r="H5" t="b">
        <f t="shared" ref="H5:K5" ca="1" si="2">IF($B5&gt;0,MOD(COUNTIFS($B$5,H$3),2)=1,"")</f>
        <v>0</v>
      </c>
      <c r="I5" t="b">
        <f t="shared" ca="1" si="2"/>
        <v>0</v>
      </c>
      <c r="J5" t="b">
        <f t="shared" ca="1" si="2"/>
        <v>0</v>
      </c>
      <c r="K5" t="b">
        <f t="shared" ca="1" si="2"/>
        <v>1</v>
      </c>
      <c r="L5">
        <f ca="1">IF($B5&gt;0,COUNTIFS($B$5:$B5,6),"")</f>
        <v>0</v>
      </c>
      <c r="N5">
        <f>MATCH(B1,C3:E3,0)</f>
        <v>2</v>
      </c>
    </row>
    <row r="6" spans="1:14" x14ac:dyDescent="0.25">
      <c r="A6" t="str">
        <f t="shared" ca="1" si="0"/>
        <v>Csaba</v>
      </c>
      <c r="B6">
        <f t="shared" ref="B6:B69" ca="1" si="3">RANDBETWEEN(1,6)</f>
        <v>2</v>
      </c>
      <c r="C6">
        <f ca="1">IF($N$5:$N6="","",C5+_xlfn.IFS($A6&lt;&gt;C$3,0,$B6=6,-1,INDEX($G5:$K5,1,$B6),1,TRUE,-1))</f>
        <v>8</v>
      </c>
      <c r="D6">
        <f ca="1">IF($N$5:$N6="","",D5+_xlfn.IFS($A6&lt;&gt;D$3,0,$B6=6,-1,INDEX($G5:$K5,1,$B6),1,TRUE,-1))</f>
        <v>7</v>
      </c>
      <c r="E6">
        <f ca="1">IF($N$5:$N6="","",E5+_xlfn.IFS($A6&lt;&gt;E$3,0,$B6=6,-1,INDEX($G5:$K5,1,$B6),1,TRUE,-1))</f>
        <v>7</v>
      </c>
      <c r="G6" t="b">
        <f ca="1">IF($B5&gt;0,MOD(COUNTIFS($B$5:$B6,G$3),2)=1,"")</f>
        <v>0</v>
      </c>
      <c r="H6" t="b">
        <f ca="1">IF($B5&gt;0,MOD(COUNTIFS($B$5:$B6,H$3),2)=1,"")</f>
        <v>1</v>
      </c>
      <c r="I6" t="b">
        <f ca="1">IF($B5&gt;0,MOD(COUNTIFS($B$5:$B6,I$3),2)=1,"")</f>
        <v>0</v>
      </c>
      <c r="J6" t="b">
        <f ca="1">IF($B5&gt;0,MOD(COUNTIFS($B$5:$B6,J$3),2)=1,"")</f>
        <v>0</v>
      </c>
      <c r="K6" t="b">
        <f ca="1">IF($B5&gt;0,MOD(COUNTIFS($B$5:$B6,K$3),2)=1,"")</f>
        <v>1</v>
      </c>
      <c r="L6">
        <f ca="1">IF($B6&gt;0,COUNTIFS($B$5:$B6,6),"")</f>
        <v>0</v>
      </c>
      <c r="N6">
        <f ca="1">IF(COUNTIF($C$5:$E5,0)&gt;0,"",IF(B5=6,N5,IF(N5=3,N5-2,N5+1)))</f>
        <v>3</v>
      </c>
    </row>
    <row r="7" spans="1:14" x14ac:dyDescent="0.25">
      <c r="A7" t="str">
        <f t="shared" ca="1" si="0"/>
        <v>Anna</v>
      </c>
      <c r="B7">
        <f t="shared" ca="1" si="3"/>
        <v>4</v>
      </c>
      <c r="C7">
        <f ca="1">IF($N$5:$N7="","",C6+_xlfn.IFS($A7&lt;&gt;C$3,0,$B7=6,-1,INDEX($G6:$K6,1,$B7),1,TRUE,-1))</f>
        <v>7</v>
      </c>
      <c r="D7">
        <f ca="1">IF($N$5:$N7="","",D6+_xlfn.IFS($A7&lt;&gt;D$3,0,$B7=6,-1,INDEX($G6:$K6,1,$B7),1,TRUE,-1))</f>
        <v>7</v>
      </c>
      <c r="E7">
        <f ca="1">IF($N$5:$N7="","",E6+_xlfn.IFS($A7&lt;&gt;E$3,0,$B7=6,-1,INDEX($G6:$K6,1,$B7),1,TRUE,-1))</f>
        <v>7</v>
      </c>
      <c r="G7" t="b">
        <f ca="1">IF($B6&gt;0,MOD(COUNTIFS($B$5:$B7,G$3),2)=1,"")</f>
        <v>0</v>
      </c>
      <c r="H7" t="b">
        <f ca="1">IF($B6&gt;0,MOD(COUNTIFS($B$5:$B7,H$3),2)=1,"")</f>
        <v>1</v>
      </c>
      <c r="I7" t="b">
        <f ca="1">IF($B6&gt;0,MOD(COUNTIFS($B$5:$B7,I$3),2)=1,"")</f>
        <v>0</v>
      </c>
      <c r="J7" t="b">
        <f ca="1">IF($B6&gt;0,MOD(COUNTIFS($B$5:$B7,J$3),2)=1,"")</f>
        <v>1</v>
      </c>
      <c r="K7" t="b">
        <f ca="1">IF($B6&gt;0,MOD(COUNTIFS($B$5:$B7,K$3),2)=1,"")</f>
        <v>1</v>
      </c>
      <c r="L7">
        <f ca="1">IF($B7&gt;0,COUNTIFS($B$5:$B7,6),"")</f>
        <v>0</v>
      </c>
      <c r="N7">
        <f ca="1">IF(COUNTIF($C$5:$E6,0)&gt;0,"",IF(B6=6,N6,IF(N6=3,N6-2,N6+1)))</f>
        <v>1</v>
      </c>
    </row>
    <row r="8" spans="1:14" x14ac:dyDescent="0.25">
      <c r="A8" t="str">
        <f t="shared" ca="1" si="0"/>
        <v>Blanka</v>
      </c>
      <c r="B8">
        <f t="shared" ca="1" si="3"/>
        <v>2</v>
      </c>
      <c r="C8">
        <f ca="1">IF($N$5:$N8="","",C7+_xlfn.IFS($A8&lt;&gt;C$3,0,$B8=6,-1,INDEX($G7:$K7,1,$B8),1,TRUE,-1))</f>
        <v>7</v>
      </c>
      <c r="D8">
        <f ca="1">IF($N$5:$N8="","",D7+_xlfn.IFS($A8&lt;&gt;D$3,0,$B8=6,-1,INDEX($G7:$K7,1,$B8),1,TRUE,-1))</f>
        <v>8</v>
      </c>
      <c r="E8">
        <f ca="1">IF($N$5:$N8="","",E7+_xlfn.IFS($A8&lt;&gt;E$3,0,$B8=6,-1,INDEX($G7:$K7,1,$B8),1,TRUE,-1))</f>
        <v>7</v>
      </c>
      <c r="G8" t="b">
        <f ca="1">IF($B7&gt;0,MOD(COUNTIFS($B$5:$B8,G$3),2)=1,"")</f>
        <v>0</v>
      </c>
      <c r="H8" t="b">
        <f ca="1">IF($B7&gt;0,MOD(COUNTIFS($B$5:$B8,H$3),2)=1,"")</f>
        <v>0</v>
      </c>
      <c r="I8" t="b">
        <f ca="1">IF($B7&gt;0,MOD(COUNTIFS($B$5:$B8,I$3),2)=1,"")</f>
        <v>0</v>
      </c>
      <c r="J8" t="b">
        <f ca="1">IF($B7&gt;0,MOD(COUNTIFS($B$5:$B8,J$3),2)=1,"")</f>
        <v>1</v>
      </c>
      <c r="K8" t="b">
        <f ca="1">IF($B7&gt;0,MOD(COUNTIFS($B$5:$B8,K$3),2)=1,"")</f>
        <v>1</v>
      </c>
      <c r="L8">
        <f ca="1">IF($B8&gt;0,COUNTIFS($B$5:$B8,6),"")</f>
        <v>0</v>
      </c>
      <c r="N8">
        <f ca="1">IF(COUNTIF($C$5:$E7,0)&gt;0,"",IF(B7=6,N7,IF(N7=3,N7-2,N7+1)))</f>
        <v>2</v>
      </c>
    </row>
    <row r="9" spans="1:14" x14ac:dyDescent="0.25">
      <c r="A9" t="str">
        <f t="shared" ca="1" si="0"/>
        <v>Csaba</v>
      </c>
      <c r="B9">
        <f t="shared" ca="1" si="3"/>
        <v>2</v>
      </c>
      <c r="C9">
        <f ca="1">IF($N$5:$N9="","",C8+_xlfn.IFS($A9&lt;&gt;C$3,0,$B9=6,-1,INDEX($G8:$K8,1,$B9),1,TRUE,-1))</f>
        <v>7</v>
      </c>
      <c r="D9">
        <f ca="1">IF($N$5:$N9="","",D8+_xlfn.IFS($A9&lt;&gt;D$3,0,$B9=6,-1,INDEX($G8:$K8,1,$B9),1,TRUE,-1))</f>
        <v>8</v>
      </c>
      <c r="E9">
        <f ca="1">IF($N$5:$N9="","",E8+_xlfn.IFS($A9&lt;&gt;E$3,0,$B9=6,-1,INDEX($G8:$K8,1,$B9),1,TRUE,-1))</f>
        <v>6</v>
      </c>
      <c r="G9" t="b">
        <f ca="1">IF($B8&gt;0,MOD(COUNTIFS($B$5:$B9,G$3),2)=1,"")</f>
        <v>0</v>
      </c>
      <c r="H9" t="b">
        <f ca="1">IF($B8&gt;0,MOD(COUNTIFS($B$5:$B9,H$3),2)=1,"")</f>
        <v>1</v>
      </c>
      <c r="I9" t="b">
        <f ca="1">IF($B8&gt;0,MOD(COUNTIFS($B$5:$B9,I$3),2)=1,"")</f>
        <v>0</v>
      </c>
      <c r="J9" t="b">
        <f ca="1">IF($B8&gt;0,MOD(COUNTIFS($B$5:$B9,J$3),2)=1,"")</f>
        <v>1</v>
      </c>
      <c r="K9" t="b">
        <f ca="1">IF($B8&gt;0,MOD(COUNTIFS($B$5:$B9,K$3),2)=1,"")</f>
        <v>1</v>
      </c>
      <c r="L9">
        <f ca="1">IF($B9&gt;0,COUNTIFS($B$5:$B9,6),"")</f>
        <v>0</v>
      </c>
      <c r="N9">
        <f ca="1">IF(COUNTIF($C$5:$E8,0)&gt;0,"",IF(B8=6,N8,IF(N8=3,N8-2,N8+1)))</f>
        <v>3</v>
      </c>
    </row>
    <row r="10" spans="1:14" x14ac:dyDescent="0.25">
      <c r="A10" t="str">
        <f t="shared" ca="1" si="0"/>
        <v>Anna</v>
      </c>
      <c r="B10">
        <f t="shared" ca="1" si="3"/>
        <v>4</v>
      </c>
      <c r="C10">
        <f ca="1">IF($N$5:$N10="","",C9+_xlfn.IFS($A10&lt;&gt;C$3,0,$B10=6,-1,INDEX($G9:$K9,1,$B10),1,TRUE,-1))</f>
        <v>8</v>
      </c>
      <c r="D10">
        <f ca="1">IF($N$5:$N10="","",D9+_xlfn.IFS($A10&lt;&gt;D$3,0,$B10=6,-1,INDEX($G9:$K9,1,$B10),1,TRUE,-1))</f>
        <v>8</v>
      </c>
      <c r="E10">
        <f ca="1">IF($N$5:$N10="","",E9+_xlfn.IFS($A10&lt;&gt;E$3,0,$B10=6,-1,INDEX($G9:$K9,1,$B10),1,TRUE,-1))</f>
        <v>6</v>
      </c>
      <c r="G10" t="b">
        <f ca="1">IF($B9&gt;0,MOD(COUNTIFS($B$5:$B10,G$3),2)=1,"")</f>
        <v>0</v>
      </c>
      <c r="H10" t="b">
        <f ca="1">IF($B9&gt;0,MOD(COUNTIFS($B$5:$B10,H$3),2)=1,"")</f>
        <v>1</v>
      </c>
      <c r="I10" t="b">
        <f ca="1">IF($B9&gt;0,MOD(COUNTIFS($B$5:$B10,I$3),2)=1,"")</f>
        <v>0</v>
      </c>
      <c r="J10" t="b">
        <f ca="1">IF($B9&gt;0,MOD(COUNTIFS($B$5:$B10,J$3),2)=1,"")</f>
        <v>0</v>
      </c>
      <c r="K10" t="b">
        <f ca="1">IF($B9&gt;0,MOD(COUNTIFS($B$5:$B10,K$3),2)=1,"")</f>
        <v>1</v>
      </c>
      <c r="L10">
        <f ca="1">IF($B10&gt;0,COUNTIFS($B$5:$B10,6),"")</f>
        <v>0</v>
      </c>
      <c r="N10">
        <f ca="1">IF(COUNTIF($C$5:$E9,0)&gt;0,"",IF(B9=6,N9,IF(N9=3,N9-2,N9+1)))</f>
        <v>1</v>
      </c>
    </row>
    <row r="11" spans="1:14" x14ac:dyDescent="0.25">
      <c r="A11" t="str">
        <f t="shared" ca="1" si="0"/>
        <v>Blanka</v>
      </c>
      <c r="B11">
        <f t="shared" ca="1" si="3"/>
        <v>5</v>
      </c>
      <c r="C11">
        <f ca="1">IF($N$5:$N11="","",C10+_xlfn.IFS($A11&lt;&gt;C$3,0,$B11=6,-1,INDEX($G10:$K10,1,$B11),1,TRUE,-1))</f>
        <v>8</v>
      </c>
      <c r="D11">
        <f ca="1">IF($N$5:$N11="","",D10+_xlfn.IFS($A11&lt;&gt;D$3,0,$B11=6,-1,INDEX($G10:$K10,1,$B11),1,TRUE,-1))</f>
        <v>9</v>
      </c>
      <c r="E11">
        <f ca="1">IF($N$5:$N11="","",E10+_xlfn.IFS($A11&lt;&gt;E$3,0,$B11=6,-1,INDEX($G10:$K10,1,$B11),1,TRUE,-1))</f>
        <v>6</v>
      </c>
      <c r="G11" t="b">
        <f ca="1">IF($B10&gt;0,MOD(COUNTIFS($B$5:$B11,G$3),2)=1,"")</f>
        <v>0</v>
      </c>
      <c r="H11" t="b">
        <f ca="1">IF($B10&gt;0,MOD(COUNTIFS($B$5:$B11,H$3),2)=1,"")</f>
        <v>1</v>
      </c>
      <c r="I11" t="b">
        <f ca="1">IF($B10&gt;0,MOD(COUNTIFS($B$5:$B11,I$3),2)=1,"")</f>
        <v>0</v>
      </c>
      <c r="J11" t="b">
        <f ca="1">IF($B10&gt;0,MOD(COUNTIFS($B$5:$B11,J$3),2)=1,"")</f>
        <v>0</v>
      </c>
      <c r="K11" t="b">
        <f ca="1">IF($B10&gt;0,MOD(COUNTIFS($B$5:$B11,K$3),2)=1,"")</f>
        <v>0</v>
      </c>
      <c r="L11">
        <f ca="1">IF($B11&gt;0,COUNTIFS($B$5:$B11,6),"")</f>
        <v>0</v>
      </c>
      <c r="N11">
        <f ca="1">IF(COUNTIF($C$5:$E10,0)&gt;0,"",IF(B10=6,N10,IF(N10=3,N10-2,N10+1)))</f>
        <v>2</v>
      </c>
    </row>
    <row r="12" spans="1:14" x14ac:dyDescent="0.25">
      <c r="A12" t="str">
        <f t="shared" ca="1" si="0"/>
        <v>Csaba</v>
      </c>
      <c r="B12">
        <f t="shared" ca="1" si="3"/>
        <v>2</v>
      </c>
      <c r="C12">
        <f ca="1">IF($N$5:$N12="","",C11+_xlfn.IFS($A12&lt;&gt;C$3,0,$B12=6,-1,INDEX($G11:$K11,1,$B12),1,TRUE,-1))</f>
        <v>8</v>
      </c>
      <c r="D12">
        <f ca="1">IF($N$5:$N12="","",D11+_xlfn.IFS($A12&lt;&gt;D$3,0,$B12=6,-1,INDEX($G11:$K11,1,$B12),1,TRUE,-1))</f>
        <v>9</v>
      </c>
      <c r="E12">
        <f ca="1">IF($N$5:$N12="","",E11+_xlfn.IFS($A12&lt;&gt;E$3,0,$B12=6,-1,INDEX($G11:$K11,1,$B12),1,TRUE,-1))</f>
        <v>7</v>
      </c>
      <c r="G12" t="b">
        <f ca="1">IF($B11&gt;0,MOD(COUNTIFS($B$5:$B12,G$3),2)=1,"")</f>
        <v>0</v>
      </c>
      <c r="H12" t="b">
        <f ca="1">IF($B11&gt;0,MOD(COUNTIFS($B$5:$B12,H$3),2)=1,"")</f>
        <v>0</v>
      </c>
      <c r="I12" t="b">
        <f ca="1">IF($B11&gt;0,MOD(COUNTIFS($B$5:$B12,I$3),2)=1,"")</f>
        <v>0</v>
      </c>
      <c r="J12" t="b">
        <f ca="1">IF($B11&gt;0,MOD(COUNTIFS($B$5:$B12,J$3),2)=1,"")</f>
        <v>0</v>
      </c>
      <c r="K12" t="b">
        <f ca="1">IF($B11&gt;0,MOD(COUNTIFS($B$5:$B12,K$3),2)=1,"")</f>
        <v>0</v>
      </c>
      <c r="L12">
        <f ca="1">IF($B12&gt;0,COUNTIFS($B$5:$B12,6),"")</f>
        <v>0</v>
      </c>
      <c r="N12">
        <f ca="1">IF(COUNTIF($C$5:$E11,0)&gt;0,"",IF(B11=6,N11,IF(N11=3,N11-2,N11+1)))</f>
        <v>3</v>
      </c>
    </row>
    <row r="13" spans="1:14" x14ac:dyDescent="0.25">
      <c r="A13" t="str">
        <f t="shared" ca="1" si="0"/>
        <v>Anna</v>
      </c>
      <c r="B13">
        <f t="shared" ca="1" si="3"/>
        <v>3</v>
      </c>
      <c r="C13">
        <f ca="1">IF($N$5:$N13="","",C12+_xlfn.IFS($A13&lt;&gt;C$3,0,$B13=6,-1,INDEX($G12:$K12,1,$B13),1,TRUE,-1))</f>
        <v>7</v>
      </c>
      <c r="D13">
        <f ca="1">IF($N$5:$N13="","",D12+_xlfn.IFS($A13&lt;&gt;D$3,0,$B13=6,-1,INDEX($G12:$K12,1,$B13),1,TRUE,-1))</f>
        <v>9</v>
      </c>
      <c r="E13">
        <f ca="1">IF($N$5:$N13="","",E12+_xlfn.IFS($A13&lt;&gt;E$3,0,$B13=6,-1,INDEX($G12:$K12,1,$B13),1,TRUE,-1))</f>
        <v>7</v>
      </c>
      <c r="G13" t="b">
        <f ca="1">IF($B12&gt;0,MOD(COUNTIFS($B$5:$B13,G$3),2)=1,"")</f>
        <v>0</v>
      </c>
      <c r="H13" t="b">
        <f ca="1">IF($B12&gt;0,MOD(COUNTIFS($B$5:$B13,H$3),2)=1,"")</f>
        <v>0</v>
      </c>
      <c r="I13" t="b">
        <f ca="1">IF($B12&gt;0,MOD(COUNTIFS($B$5:$B13,I$3),2)=1,"")</f>
        <v>1</v>
      </c>
      <c r="J13" t="b">
        <f ca="1">IF($B12&gt;0,MOD(COUNTIFS($B$5:$B13,J$3),2)=1,"")</f>
        <v>0</v>
      </c>
      <c r="K13" t="b">
        <f ca="1">IF($B12&gt;0,MOD(COUNTIFS($B$5:$B13,K$3),2)=1,"")</f>
        <v>0</v>
      </c>
      <c r="L13">
        <f ca="1">IF($B13&gt;0,COUNTIFS($B$5:$B13,6),"")</f>
        <v>0</v>
      </c>
      <c r="N13">
        <f ca="1">IF(COUNTIF($C$5:$E12,0)&gt;0,"",IF(B12=6,N12,IF(N12=3,N12-2,N12+1)))</f>
        <v>1</v>
      </c>
    </row>
    <row r="14" spans="1:14" x14ac:dyDescent="0.25">
      <c r="A14" t="str">
        <f t="shared" ca="1" si="0"/>
        <v>Blanka</v>
      </c>
      <c r="B14">
        <f t="shared" ca="1" si="3"/>
        <v>5</v>
      </c>
      <c r="C14">
        <f ca="1">IF($N$5:$N14="","",C13+_xlfn.IFS($A14&lt;&gt;C$3,0,$B14=6,-1,INDEX($G13:$K13,1,$B14),1,TRUE,-1))</f>
        <v>7</v>
      </c>
      <c r="D14">
        <f ca="1">IF($N$5:$N14="","",D13+_xlfn.IFS($A14&lt;&gt;D$3,0,$B14=6,-1,INDEX($G13:$K13,1,$B14),1,TRUE,-1))</f>
        <v>8</v>
      </c>
      <c r="E14">
        <f ca="1">IF($N$5:$N14="","",E13+_xlfn.IFS($A14&lt;&gt;E$3,0,$B14=6,-1,INDEX($G13:$K13,1,$B14),1,TRUE,-1))</f>
        <v>7</v>
      </c>
      <c r="G14" t="b">
        <f ca="1">IF($B13&gt;0,MOD(COUNTIFS($B$5:$B14,G$3),2)=1,"")</f>
        <v>0</v>
      </c>
      <c r="H14" t="b">
        <f ca="1">IF($B13&gt;0,MOD(COUNTIFS($B$5:$B14,H$3),2)=1,"")</f>
        <v>0</v>
      </c>
      <c r="I14" t="b">
        <f ca="1">IF($B13&gt;0,MOD(COUNTIFS($B$5:$B14,I$3),2)=1,"")</f>
        <v>1</v>
      </c>
      <c r="J14" t="b">
        <f ca="1">IF($B13&gt;0,MOD(COUNTIFS($B$5:$B14,J$3),2)=1,"")</f>
        <v>0</v>
      </c>
      <c r="K14" t="b">
        <f ca="1">IF($B13&gt;0,MOD(COUNTIFS($B$5:$B14,K$3),2)=1,"")</f>
        <v>1</v>
      </c>
      <c r="L14">
        <f ca="1">IF($B14&gt;0,COUNTIFS($B$5:$B14,6),"")</f>
        <v>0</v>
      </c>
      <c r="N14">
        <f ca="1">IF(COUNTIF($C$5:$E13,0)&gt;0,"",IF(B13=6,N13,IF(N13=3,N13-2,N13+1)))</f>
        <v>2</v>
      </c>
    </row>
    <row r="15" spans="1:14" x14ac:dyDescent="0.25">
      <c r="A15" t="str">
        <f t="shared" ca="1" si="0"/>
        <v>Csaba</v>
      </c>
      <c r="B15">
        <f t="shared" ca="1" si="3"/>
        <v>2</v>
      </c>
      <c r="C15">
        <f ca="1">IF($N$5:$N15="","",C14+_xlfn.IFS($A15&lt;&gt;C$3,0,$B15=6,-1,INDEX($G14:$K14,1,$B15),1,TRUE,-1))</f>
        <v>7</v>
      </c>
      <c r="D15">
        <f ca="1">IF($N$5:$N15="","",D14+_xlfn.IFS($A15&lt;&gt;D$3,0,$B15=6,-1,INDEX($G14:$K14,1,$B15),1,TRUE,-1))</f>
        <v>8</v>
      </c>
      <c r="E15">
        <f ca="1">IF($N$5:$N15="","",E14+_xlfn.IFS($A15&lt;&gt;E$3,0,$B15=6,-1,INDEX($G14:$K14,1,$B15),1,TRUE,-1))</f>
        <v>6</v>
      </c>
      <c r="G15" t="b">
        <f ca="1">IF($B14&gt;0,MOD(COUNTIFS($B$5:$B15,G$3),2)=1,"")</f>
        <v>0</v>
      </c>
      <c r="H15" t="b">
        <f ca="1">IF($B14&gt;0,MOD(COUNTIFS($B$5:$B15,H$3),2)=1,"")</f>
        <v>1</v>
      </c>
      <c r="I15" t="b">
        <f ca="1">IF($B14&gt;0,MOD(COUNTIFS($B$5:$B15,I$3),2)=1,"")</f>
        <v>1</v>
      </c>
      <c r="J15" t="b">
        <f ca="1">IF($B14&gt;0,MOD(COUNTIFS($B$5:$B15,J$3),2)=1,"")</f>
        <v>0</v>
      </c>
      <c r="K15" t="b">
        <f ca="1">IF($B14&gt;0,MOD(COUNTIFS($B$5:$B15,K$3),2)=1,"")</f>
        <v>1</v>
      </c>
      <c r="L15">
        <f ca="1">IF($B15&gt;0,COUNTIFS($B$5:$B15,6),"")</f>
        <v>0</v>
      </c>
      <c r="N15">
        <f ca="1">IF(COUNTIF($C$5:$E14,0)&gt;0,"",IF(B14=6,N14,IF(N14=3,N14-2,N14+1)))</f>
        <v>3</v>
      </c>
    </row>
    <row r="16" spans="1:14" x14ac:dyDescent="0.25">
      <c r="A16" t="str">
        <f t="shared" ca="1" si="0"/>
        <v>Anna</v>
      </c>
      <c r="B16">
        <f t="shared" ca="1" si="3"/>
        <v>4</v>
      </c>
      <c r="C16">
        <f ca="1">IF($N$5:$N16="","",C15+_xlfn.IFS($A16&lt;&gt;C$3,0,$B16=6,-1,INDEX($G15:$K15,1,$B16),1,TRUE,-1))</f>
        <v>6</v>
      </c>
      <c r="D16">
        <f ca="1">IF($N$5:$N16="","",D15+_xlfn.IFS($A16&lt;&gt;D$3,0,$B16=6,-1,INDEX($G15:$K15,1,$B16),1,TRUE,-1))</f>
        <v>8</v>
      </c>
      <c r="E16">
        <f ca="1">IF($N$5:$N16="","",E15+_xlfn.IFS($A16&lt;&gt;E$3,0,$B16=6,-1,INDEX($G15:$K15,1,$B16),1,TRUE,-1))</f>
        <v>6</v>
      </c>
      <c r="G16" t="b">
        <f ca="1">IF($B15&gt;0,MOD(COUNTIFS($B$5:$B16,G$3),2)=1,"")</f>
        <v>0</v>
      </c>
      <c r="H16" t="b">
        <f ca="1">IF($B15&gt;0,MOD(COUNTIFS($B$5:$B16,H$3),2)=1,"")</f>
        <v>1</v>
      </c>
      <c r="I16" t="b">
        <f ca="1">IF($B15&gt;0,MOD(COUNTIFS($B$5:$B16,I$3),2)=1,"")</f>
        <v>1</v>
      </c>
      <c r="J16" t="b">
        <f ca="1">IF($B15&gt;0,MOD(COUNTIFS($B$5:$B16,J$3),2)=1,"")</f>
        <v>1</v>
      </c>
      <c r="K16" t="b">
        <f ca="1">IF($B15&gt;0,MOD(COUNTIFS($B$5:$B16,K$3),2)=1,"")</f>
        <v>1</v>
      </c>
      <c r="L16">
        <f ca="1">IF($B16&gt;0,COUNTIFS($B$5:$B16,6),"")</f>
        <v>0</v>
      </c>
      <c r="N16">
        <f ca="1">IF(COUNTIF($C$5:$E15,0)&gt;0,"",IF(B15=6,N15,IF(N15=3,N15-2,N15+1)))</f>
        <v>1</v>
      </c>
    </row>
    <row r="17" spans="1:14" x14ac:dyDescent="0.25">
      <c r="A17" t="str">
        <f t="shared" ca="1" si="0"/>
        <v>Blanka</v>
      </c>
      <c r="B17">
        <f t="shared" ca="1" si="3"/>
        <v>6</v>
      </c>
      <c r="C17">
        <f ca="1">IF($N$5:$N17="","",C16+_xlfn.IFS($A17&lt;&gt;C$3,0,$B17=6,-1,INDEX($G16:$K16,1,$B17),1,TRUE,-1))</f>
        <v>6</v>
      </c>
      <c r="D17">
        <f ca="1">IF($N$5:$N17="","",D16+_xlfn.IFS($A17&lt;&gt;D$3,0,$B17=6,-1,INDEX($G16:$K16,1,$B17),1,TRUE,-1))</f>
        <v>7</v>
      </c>
      <c r="E17">
        <f ca="1">IF($N$5:$N17="","",E16+_xlfn.IFS($A17&lt;&gt;E$3,0,$B17=6,-1,INDEX($G16:$K16,1,$B17),1,TRUE,-1))</f>
        <v>6</v>
      </c>
      <c r="G17" t="b">
        <f ca="1">IF($B16&gt;0,MOD(COUNTIFS($B$5:$B17,G$3),2)=1,"")</f>
        <v>0</v>
      </c>
      <c r="H17" t="b">
        <f ca="1">IF($B16&gt;0,MOD(COUNTIFS($B$5:$B17,H$3),2)=1,"")</f>
        <v>1</v>
      </c>
      <c r="I17" t="b">
        <f ca="1">IF($B16&gt;0,MOD(COUNTIFS($B$5:$B17,I$3),2)=1,"")</f>
        <v>1</v>
      </c>
      <c r="J17" t="b">
        <f ca="1">IF($B16&gt;0,MOD(COUNTIFS($B$5:$B17,J$3),2)=1,"")</f>
        <v>1</v>
      </c>
      <c r="K17" t="b">
        <f ca="1">IF($B16&gt;0,MOD(COUNTIFS($B$5:$B17,K$3),2)=1,"")</f>
        <v>1</v>
      </c>
      <c r="L17">
        <f ca="1">IF($B17&gt;0,COUNTIFS($B$5:$B17,6),"")</f>
        <v>1</v>
      </c>
      <c r="N17">
        <f ca="1">IF(COUNTIF($C$5:$E16,0)&gt;0,"",IF(B16=6,N16,IF(N16=3,N16-2,N16+1)))</f>
        <v>2</v>
      </c>
    </row>
    <row r="18" spans="1:14" x14ac:dyDescent="0.25">
      <c r="A18" t="str">
        <f t="shared" ca="1" si="0"/>
        <v>Blanka</v>
      </c>
      <c r="B18">
        <f t="shared" ca="1" si="3"/>
        <v>3</v>
      </c>
      <c r="C18">
        <f ca="1">IF($N$5:$N18="","",C17+_xlfn.IFS($A18&lt;&gt;C$3,0,$B18=6,-1,INDEX($G17:$K17,1,$B18),1,TRUE,-1))</f>
        <v>6</v>
      </c>
      <c r="D18">
        <f ca="1">IF($N$5:$N18="","",D17+_xlfn.IFS($A18&lt;&gt;D$3,0,$B18=6,-1,INDEX($G17:$K17,1,$B18),1,TRUE,-1))</f>
        <v>8</v>
      </c>
      <c r="E18">
        <f ca="1">IF($N$5:$N18="","",E17+_xlfn.IFS($A18&lt;&gt;E$3,0,$B18=6,-1,INDEX($G17:$K17,1,$B18),1,TRUE,-1))</f>
        <v>6</v>
      </c>
      <c r="G18" t="b">
        <f ca="1">IF($B17&gt;0,MOD(COUNTIFS($B$5:$B18,G$3),2)=1,"")</f>
        <v>0</v>
      </c>
      <c r="H18" t="b">
        <f ca="1">IF($B17&gt;0,MOD(COUNTIFS($B$5:$B18,H$3),2)=1,"")</f>
        <v>1</v>
      </c>
      <c r="I18" t="b">
        <f ca="1">IF($B17&gt;0,MOD(COUNTIFS($B$5:$B18,I$3),2)=1,"")</f>
        <v>0</v>
      </c>
      <c r="J18" t="b">
        <f ca="1">IF($B17&gt;0,MOD(COUNTIFS($B$5:$B18,J$3),2)=1,"")</f>
        <v>1</v>
      </c>
      <c r="K18" t="b">
        <f ca="1">IF($B17&gt;0,MOD(COUNTIFS($B$5:$B18,K$3),2)=1,"")</f>
        <v>1</v>
      </c>
      <c r="L18">
        <f ca="1">IF($B18&gt;0,COUNTIFS($B$5:$B18,6),"")</f>
        <v>1</v>
      </c>
      <c r="N18">
        <f ca="1">IF(COUNTIF($C$5:$E17,0)&gt;0,"",IF(B17=6,N17,IF(N17=3,N17-2,N17+1)))</f>
        <v>2</v>
      </c>
    </row>
    <row r="19" spans="1:14" x14ac:dyDescent="0.25">
      <c r="A19" t="str">
        <f t="shared" ca="1" si="0"/>
        <v>Csaba</v>
      </c>
      <c r="B19">
        <f t="shared" ca="1" si="3"/>
        <v>6</v>
      </c>
      <c r="C19">
        <f ca="1">IF($N$5:$N19="","",C18+_xlfn.IFS($A19&lt;&gt;C$3,0,$B19=6,-1,INDEX($G18:$K18,1,$B19),1,TRUE,-1))</f>
        <v>6</v>
      </c>
      <c r="D19">
        <f ca="1">IF($N$5:$N19="","",D18+_xlfn.IFS($A19&lt;&gt;D$3,0,$B19=6,-1,INDEX($G18:$K18,1,$B19),1,TRUE,-1))</f>
        <v>8</v>
      </c>
      <c r="E19">
        <f ca="1">IF($N$5:$N19="","",E18+_xlfn.IFS($A19&lt;&gt;E$3,0,$B19=6,-1,INDEX($G18:$K18,1,$B19),1,TRUE,-1))</f>
        <v>5</v>
      </c>
      <c r="G19" t="b">
        <f ca="1">IF($B18&gt;0,MOD(COUNTIFS($B$5:$B19,G$3),2)=1,"")</f>
        <v>0</v>
      </c>
      <c r="H19" t="b">
        <f ca="1">IF($B18&gt;0,MOD(COUNTIFS($B$5:$B19,H$3),2)=1,"")</f>
        <v>1</v>
      </c>
      <c r="I19" t="b">
        <f ca="1">IF($B18&gt;0,MOD(COUNTIFS($B$5:$B19,I$3),2)=1,"")</f>
        <v>0</v>
      </c>
      <c r="J19" t="b">
        <f ca="1">IF($B18&gt;0,MOD(COUNTIFS($B$5:$B19,J$3),2)=1,"")</f>
        <v>1</v>
      </c>
      <c r="K19" t="b">
        <f ca="1">IF($B18&gt;0,MOD(COUNTIFS($B$5:$B19,K$3),2)=1,"")</f>
        <v>1</v>
      </c>
      <c r="L19">
        <f ca="1">IF($B19&gt;0,COUNTIFS($B$5:$B19,6),"")</f>
        <v>2</v>
      </c>
      <c r="N19">
        <f ca="1">IF(COUNTIF($C$5:$E18,0)&gt;0,"",IF(B18=6,N18,IF(N18=3,N18-2,N18+1)))</f>
        <v>3</v>
      </c>
    </row>
    <row r="20" spans="1:14" x14ac:dyDescent="0.25">
      <c r="A20" t="str">
        <f t="shared" ca="1" si="0"/>
        <v>Csaba</v>
      </c>
      <c r="B20">
        <f t="shared" ca="1" si="3"/>
        <v>2</v>
      </c>
      <c r="C20">
        <f ca="1">IF($N$5:$N20="","",C19+_xlfn.IFS($A20&lt;&gt;C$3,0,$B20=6,-1,INDEX($G19:$K19,1,$B20),1,TRUE,-1))</f>
        <v>6</v>
      </c>
      <c r="D20">
        <f ca="1">IF($N$5:$N20="","",D19+_xlfn.IFS($A20&lt;&gt;D$3,0,$B20=6,-1,INDEX($G19:$K19,1,$B20),1,TRUE,-1))</f>
        <v>8</v>
      </c>
      <c r="E20">
        <f ca="1">IF($N$5:$N20="","",E19+_xlfn.IFS($A20&lt;&gt;E$3,0,$B20=6,-1,INDEX($G19:$K19,1,$B20),1,TRUE,-1))</f>
        <v>6</v>
      </c>
      <c r="G20" t="b">
        <f ca="1">IF($B19&gt;0,MOD(COUNTIFS($B$5:$B20,G$3),2)=1,"")</f>
        <v>0</v>
      </c>
      <c r="H20" t="b">
        <f ca="1">IF($B19&gt;0,MOD(COUNTIFS($B$5:$B20,H$3),2)=1,"")</f>
        <v>0</v>
      </c>
      <c r="I20" t="b">
        <f ca="1">IF($B19&gt;0,MOD(COUNTIFS($B$5:$B20,I$3),2)=1,"")</f>
        <v>0</v>
      </c>
      <c r="J20" t="b">
        <f ca="1">IF($B19&gt;0,MOD(COUNTIFS($B$5:$B20,J$3),2)=1,"")</f>
        <v>1</v>
      </c>
      <c r="K20" t="b">
        <f ca="1">IF($B19&gt;0,MOD(COUNTIFS($B$5:$B20,K$3),2)=1,"")</f>
        <v>1</v>
      </c>
      <c r="L20">
        <f ca="1">IF($B20&gt;0,COUNTIFS($B$5:$B20,6),"")</f>
        <v>2</v>
      </c>
      <c r="N20">
        <f ca="1">IF(COUNTIF($C$5:$E19,0)&gt;0,"",IF(B19=6,N19,IF(N19=3,N19-2,N19+1)))</f>
        <v>3</v>
      </c>
    </row>
    <row r="21" spans="1:14" x14ac:dyDescent="0.25">
      <c r="A21" t="str">
        <f t="shared" ca="1" si="0"/>
        <v>Anna</v>
      </c>
      <c r="B21">
        <f t="shared" ca="1" si="3"/>
        <v>2</v>
      </c>
      <c r="C21">
        <f ca="1">IF($N$5:$N21="","",C20+_xlfn.IFS($A21&lt;&gt;C$3,0,$B21=6,-1,INDEX($G20:$K20,1,$B21),1,TRUE,-1))</f>
        <v>5</v>
      </c>
      <c r="D21">
        <f ca="1">IF($N$5:$N21="","",D20+_xlfn.IFS($A21&lt;&gt;D$3,0,$B21=6,-1,INDEX($G20:$K20,1,$B21),1,TRUE,-1))</f>
        <v>8</v>
      </c>
      <c r="E21">
        <f ca="1">IF($N$5:$N21="","",E20+_xlfn.IFS($A21&lt;&gt;E$3,0,$B21=6,-1,INDEX($G20:$K20,1,$B21),1,TRUE,-1))</f>
        <v>6</v>
      </c>
      <c r="G21" t="b">
        <f ca="1">IF($B20&gt;0,MOD(COUNTIFS($B$5:$B21,G$3),2)=1,"")</f>
        <v>0</v>
      </c>
      <c r="H21" t="b">
        <f ca="1">IF($B20&gt;0,MOD(COUNTIFS($B$5:$B21,H$3),2)=1,"")</f>
        <v>1</v>
      </c>
      <c r="I21" t="b">
        <f ca="1">IF($B20&gt;0,MOD(COUNTIFS($B$5:$B21,I$3),2)=1,"")</f>
        <v>0</v>
      </c>
      <c r="J21" t="b">
        <f ca="1">IF($B20&gt;0,MOD(COUNTIFS($B$5:$B21,J$3),2)=1,"")</f>
        <v>1</v>
      </c>
      <c r="K21" t="b">
        <f ca="1">IF($B20&gt;0,MOD(COUNTIFS($B$5:$B21,K$3),2)=1,"")</f>
        <v>1</v>
      </c>
      <c r="L21">
        <f ca="1">IF($B21&gt;0,COUNTIFS($B$5:$B21,6),"")</f>
        <v>2</v>
      </c>
      <c r="N21">
        <f ca="1">IF(COUNTIF($C$5:$E20,0)&gt;0,"",IF(B20=6,N20,IF(N20=3,N20-2,N20+1)))</f>
        <v>1</v>
      </c>
    </row>
    <row r="22" spans="1:14" x14ac:dyDescent="0.25">
      <c r="A22" t="str">
        <f t="shared" ca="1" si="0"/>
        <v>Blanka</v>
      </c>
      <c r="B22">
        <f t="shared" ca="1" si="3"/>
        <v>6</v>
      </c>
      <c r="C22">
        <f ca="1">IF($N$5:$N22="","",C21+_xlfn.IFS($A22&lt;&gt;C$3,0,$B22=6,-1,INDEX($G21:$K21,1,$B22),1,TRUE,-1))</f>
        <v>5</v>
      </c>
      <c r="D22">
        <f ca="1">IF($N$5:$N22="","",D21+_xlfn.IFS($A22&lt;&gt;D$3,0,$B22=6,-1,INDEX($G21:$K21,1,$B22),1,TRUE,-1))</f>
        <v>7</v>
      </c>
      <c r="E22">
        <f ca="1">IF($N$5:$N22="","",E21+_xlfn.IFS($A22&lt;&gt;E$3,0,$B22=6,-1,INDEX($G21:$K21,1,$B22),1,TRUE,-1))</f>
        <v>6</v>
      </c>
      <c r="G22" t="b">
        <f ca="1">IF($B21&gt;0,MOD(COUNTIFS($B$5:$B22,G$3),2)=1,"")</f>
        <v>0</v>
      </c>
      <c r="H22" t="b">
        <f ca="1">IF($B21&gt;0,MOD(COUNTIFS($B$5:$B22,H$3),2)=1,"")</f>
        <v>1</v>
      </c>
      <c r="I22" t="b">
        <f ca="1">IF($B21&gt;0,MOD(COUNTIFS($B$5:$B22,I$3),2)=1,"")</f>
        <v>0</v>
      </c>
      <c r="J22" t="b">
        <f ca="1">IF($B21&gt;0,MOD(COUNTIFS($B$5:$B22,J$3),2)=1,"")</f>
        <v>1</v>
      </c>
      <c r="K22" t="b">
        <f ca="1">IF($B21&gt;0,MOD(COUNTIFS($B$5:$B22,K$3),2)=1,"")</f>
        <v>1</v>
      </c>
      <c r="L22">
        <f ca="1">IF($B22&gt;0,COUNTIFS($B$5:$B22,6),"")</f>
        <v>3</v>
      </c>
      <c r="N22">
        <f ca="1">IF(COUNTIF($C$5:$E21,0)&gt;0,"",IF(B21=6,N21,IF(N21=3,N21-2,N21+1)))</f>
        <v>2</v>
      </c>
    </row>
    <row r="23" spans="1:14" x14ac:dyDescent="0.25">
      <c r="A23" t="str">
        <f t="shared" ca="1" si="0"/>
        <v>Blanka</v>
      </c>
      <c r="B23">
        <f t="shared" ca="1" si="3"/>
        <v>1</v>
      </c>
      <c r="C23">
        <f ca="1">IF($N$5:$N23="","",C22+_xlfn.IFS($A23&lt;&gt;C$3,0,$B23=6,-1,INDEX($G22:$K22,1,$B23),1,TRUE,-1))</f>
        <v>5</v>
      </c>
      <c r="D23">
        <f ca="1">IF($N$5:$N23="","",D22+_xlfn.IFS($A23&lt;&gt;D$3,0,$B23=6,-1,INDEX($G22:$K22,1,$B23),1,TRUE,-1))</f>
        <v>6</v>
      </c>
      <c r="E23">
        <f ca="1">IF($N$5:$N23="","",E22+_xlfn.IFS($A23&lt;&gt;E$3,0,$B23=6,-1,INDEX($G22:$K22,1,$B23),1,TRUE,-1))</f>
        <v>6</v>
      </c>
      <c r="G23" t="b">
        <f ca="1">IF($B22&gt;0,MOD(COUNTIFS($B$5:$B23,G$3),2)=1,"")</f>
        <v>1</v>
      </c>
      <c r="H23" t="b">
        <f ca="1">IF($B22&gt;0,MOD(COUNTIFS($B$5:$B23,H$3),2)=1,"")</f>
        <v>1</v>
      </c>
      <c r="I23" t="b">
        <f ca="1">IF($B22&gt;0,MOD(COUNTIFS($B$5:$B23,I$3),2)=1,"")</f>
        <v>0</v>
      </c>
      <c r="J23" t="b">
        <f ca="1">IF($B22&gt;0,MOD(COUNTIFS($B$5:$B23,J$3),2)=1,"")</f>
        <v>1</v>
      </c>
      <c r="K23" t="b">
        <f ca="1">IF($B22&gt;0,MOD(COUNTIFS($B$5:$B23,K$3),2)=1,"")</f>
        <v>1</v>
      </c>
      <c r="L23">
        <f ca="1">IF($B23&gt;0,COUNTIFS($B$5:$B23,6),"")</f>
        <v>3</v>
      </c>
      <c r="N23">
        <f ca="1">IF(COUNTIF($C$5:$E22,0)&gt;0,"",IF(B22=6,N22,IF(N22=3,N22-2,N22+1)))</f>
        <v>2</v>
      </c>
    </row>
    <row r="24" spans="1:14" x14ac:dyDescent="0.25">
      <c r="A24" t="str">
        <f t="shared" ca="1" si="0"/>
        <v>Csaba</v>
      </c>
      <c r="B24">
        <f t="shared" ca="1" si="3"/>
        <v>6</v>
      </c>
      <c r="C24">
        <f ca="1">IF($N$5:$N24="","",C23+_xlfn.IFS($A24&lt;&gt;C$3,0,$B24=6,-1,INDEX($G23:$K23,1,$B24),1,TRUE,-1))</f>
        <v>5</v>
      </c>
      <c r="D24">
        <f ca="1">IF($N$5:$N24="","",D23+_xlfn.IFS($A24&lt;&gt;D$3,0,$B24=6,-1,INDEX($G23:$K23,1,$B24),1,TRUE,-1))</f>
        <v>6</v>
      </c>
      <c r="E24">
        <f ca="1">IF($N$5:$N24="","",E23+_xlfn.IFS($A24&lt;&gt;E$3,0,$B24=6,-1,INDEX($G23:$K23,1,$B24),1,TRUE,-1))</f>
        <v>5</v>
      </c>
      <c r="G24" t="b">
        <f ca="1">IF($B23&gt;0,MOD(COUNTIFS($B$5:$B24,G$3),2)=1,"")</f>
        <v>1</v>
      </c>
      <c r="H24" t="b">
        <f ca="1">IF($B23&gt;0,MOD(COUNTIFS($B$5:$B24,H$3),2)=1,"")</f>
        <v>1</v>
      </c>
      <c r="I24" t="b">
        <f ca="1">IF($B23&gt;0,MOD(COUNTIFS($B$5:$B24,I$3),2)=1,"")</f>
        <v>0</v>
      </c>
      <c r="J24" t="b">
        <f ca="1">IF($B23&gt;0,MOD(COUNTIFS($B$5:$B24,J$3),2)=1,"")</f>
        <v>1</v>
      </c>
      <c r="K24" t="b">
        <f ca="1">IF($B23&gt;0,MOD(COUNTIFS($B$5:$B24,K$3),2)=1,"")</f>
        <v>1</v>
      </c>
      <c r="L24">
        <f ca="1">IF($B24&gt;0,COUNTIFS($B$5:$B24,6),"")</f>
        <v>4</v>
      </c>
      <c r="N24">
        <f ca="1">IF(COUNTIF($C$5:$E23,0)&gt;0,"",IF(B23=6,N23,IF(N23=3,N23-2,N23+1)))</f>
        <v>3</v>
      </c>
    </row>
    <row r="25" spans="1:14" x14ac:dyDescent="0.25">
      <c r="A25" t="str">
        <f t="shared" ca="1" si="0"/>
        <v>Csaba</v>
      </c>
      <c r="B25">
        <f t="shared" ca="1" si="3"/>
        <v>2</v>
      </c>
      <c r="C25">
        <f ca="1">IF($N$5:$N25="","",C24+_xlfn.IFS($A25&lt;&gt;C$3,0,$B25=6,-1,INDEX($G24:$K24,1,$B25),1,TRUE,-1))</f>
        <v>5</v>
      </c>
      <c r="D25">
        <f ca="1">IF($N$5:$N25="","",D24+_xlfn.IFS($A25&lt;&gt;D$3,0,$B25=6,-1,INDEX($G24:$K24,1,$B25),1,TRUE,-1))</f>
        <v>6</v>
      </c>
      <c r="E25">
        <f ca="1">IF($N$5:$N25="","",E24+_xlfn.IFS($A25&lt;&gt;E$3,0,$B25=6,-1,INDEX($G24:$K24,1,$B25),1,TRUE,-1))</f>
        <v>6</v>
      </c>
      <c r="G25" t="b">
        <f ca="1">IF($B24&gt;0,MOD(COUNTIFS($B$5:$B25,G$3),2)=1,"")</f>
        <v>1</v>
      </c>
      <c r="H25" t="b">
        <f ca="1">IF($B24&gt;0,MOD(COUNTIFS($B$5:$B25,H$3),2)=1,"")</f>
        <v>0</v>
      </c>
      <c r="I25" t="b">
        <f ca="1">IF($B24&gt;0,MOD(COUNTIFS($B$5:$B25,I$3),2)=1,"")</f>
        <v>0</v>
      </c>
      <c r="J25" t="b">
        <f ca="1">IF($B24&gt;0,MOD(COUNTIFS($B$5:$B25,J$3),2)=1,"")</f>
        <v>1</v>
      </c>
      <c r="K25" t="b">
        <f ca="1">IF($B24&gt;0,MOD(COUNTIFS($B$5:$B25,K$3),2)=1,"")</f>
        <v>1</v>
      </c>
      <c r="L25">
        <f ca="1">IF($B25&gt;0,COUNTIFS($B$5:$B25,6),"")</f>
        <v>4</v>
      </c>
      <c r="N25">
        <f ca="1">IF(COUNTIF($C$5:$E24,0)&gt;0,"",IF(B24=6,N24,IF(N24=3,N24-2,N24+1)))</f>
        <v>3</v>
      </c>
    </row>
    <row r="26" spans="1:14" x14ac:dyDescent="0.25">
      <c r="A26" t="str">
        <f t="shared" ca="1" si="0"/>
        <v>Anna</v>
      </c>
      <c r="B26">
        <f t="shared" ca="1" si="3"/>
        <v>3</v>
      </c>
      <c r="C26">
        <f ca="1">IF($N$5:$N26="","",C25+_xlfn.IFS($A26&lt;&gt;C$3,0,$B26=6,-1,INDEX($G25:$K25,1,$B26),1,TRUE,-1))</f>
        <v>4</v>
      </c>
      <c r="D26">
        <f ca="1">IF($N$5:$N26="","",D25+_xlfn.IFS($A26&lt;&gt;D$3,0,$B26=6,-1,INDEX($G25:$K25,1,$B26),1,TRUE,-1))</f>
        <v>6</v>
      </c>
      <c r="E26">
        <f ca="1">IF($N$5:$N26="","",E25+_xlfn.IFS($A26&lt;&gt;E$3,0,$B26=6,-1,INDEX($G25:$K25,1,$B26),1,TRUE,-1))</f>
        <v>6</v>
      </c>
      <c r="G26" t="b">
        <f ca="1">IF($B25&gt;0,MOD(COUNTIFS($B$5:$B26,G$3),2)=1,"")</f>
        <v>1</v>
      </c>
      <c r="H26" t="b">
        <f ca="1">IF($B25&gt;0,MOD(COUNTIFS($B$5:$B26,H$3),2)=1,"")</f>
        <v>0</v>
      </c>
      <c r="I26" t="b">
        <f ca="1">IF($B25&gt;0,MOD(COUNTIFS($B$5:$B26,I$3),2)=1,"")</f>
        <v>1</v>
      </c>
      <c r="J26" t="b">
        <f ca="1">IF($B25&gt;0,MOD(COUNTIFS($B$5:$B26,J$3),2)=1,"")</f>
        <v>1</v>
      </c>
      <c r="K26" t="b">
        <f ca="1">IF($B25&gt;0,MOD(COUNTIFS($B$5:$B26,K$3),2)=1,"")</f>
        <v>1</v>
      </c>
      <c r="L26">
        <f ca="1">IF($B26&gt;0,COUNTIFS($B$5:$B26,6),"")</f>
        <v>4</v>
      </c>
      <c r="N26">
        <f ca="1">IF(COUNTIF($C$5:$E25,0)&gt;0,"",IF(B25=6,N25,IF(N25=3,N25-2,N25+1)))</f>
        <v>1</v>
      </c>
    </row>
    <row r="27" spans="1:14" x14ac:dyDescent="0.25">
      <c r="A27" t="str">
        <f t="shared" ca="1" si="0"/>
        <v>Blanka</v>
      </c>
      <c r="B27">
        <f t="shared" ca="1" si="3"/>
        <v>2</v>
      </c>
      <c r="C27">
        <f ca="1">IF($N$5:$N27="","",C26+_xlfn.IFS($A27&lt;&gt;C$3,0,$B27=6,-1,INDEX($G26:$K26,1,$B27),1,TRUE,-1))</f>
        <v>4</v>
      </c>
      <c r="D27">
        <f ca="1">IF($N$5:$N27="","",D26+_xlfn.IFS($A27&lt;&gt;D$3,0,$B27=6,-1,INDEX($G26:$K26,1,$B27),1,TRUE,-1))</f>
        <v>5</v>
      </c>
      <c r="E27">
        <f ca="1">IF($N$5:$N27="","",E26+_xlfn.IFS($A27&lt;&gt;E$3,0,$B27=6,-1,INDEX($G26:$K26,1,$B27),1,TRUE,-1))</f>
        <v>6</v>
      </c>
      <c r="G27" t="b">
        <f ca="1">IF($B26&gt;0,MOD(COUNTIFS($B$5:$B27,G$3),2)=1,"")</f>
        <v>1</v>
      </c>
      <c r="H27" t="b">
        <f ca="1">IF($B26&gt;0,MOD(COUNTIFS($B$5:$B27,H$3),2)=1,"")</f>
        <v>1</v>
      </c>
      <c r="I27" t="b">
        <f ca="1">IF($B26&gt;0,MOD(COUNTIFS($B$5:$B27,I$3),2)=1,"")</f>
        <v>1</v>
      </c>
      <c r="J27" t="b">
        <f ca="1">IF($B26&gt;0,MOD(COUNTIFS($B$5:$B27,J$3),2)=1,"")</f>
        <v>1</v>
      </c>
      <c r="K27" t="b">
        <f ca="1">IF($B26&gt;0,MOD(COUNTIFS($B$5:$B27,K$3),2)=1,"")</f>
        <v>1</v>
      </c>
      <c r="L27">
        <f ca="1">IF($B27&gt;0,COUNTIFS($B$5:$B27,6),"")</f>
        <v>4</v>
      </c>
      <c r="N27">
        <f ca="1">IF(COUNTIF($C$5:$E26,0)&gt;0,"",IF(B26=6,N26,IF(N26=3,N26-2,N26+1)))</f>
        <v>2</v>
      </c>
    </row>
    <row r="28" spans="1:14" x14ac:dyDescent="0.25">
      <c r="A28" t="str">
        <f t="shared" ca="1" si="0"/>
        <v>Csaba</v>
      </c>
      <c r="B28">
        <f t="shared" ca="1" si="3"/>
        <v>5</v>
      </c>
      <c r="C28">
        <f ca="1">IF($N$5:$N28="","",C27+_xlfn.IFS($A28&lt;&gt;C$3,0,$B28=6,-1,INDEX($G27:$K27,1,$B28),1,TRUE,-1))</f>
        <v>4</v>
      </c>
      <c r="D28">
        <f ca="1">IF($N$5:$N28="","",D27+_xlfn.IFS($A28&lt;&gt;D$3,0,$B28=6,-1,INDEX($G27:$K27,1,$B28),1,TRUE,-1))</f>
        <v>5</v>
      </c>
      <c r="E28">
        <f ca="1">IF($N$5:$N28="","",E27+_xlfn.IFS($A28&lt;&gt;E$3,0,$B28=6,-1,INDEX($G27:$K27,1,$B28),1,TRUE,-1))</f>
        <v>7</v>
      </c>
      <c r="G28" t="b">
        <f ca="1">IF($B27&gt;0,MOD(COUNTIFS($B$5:$B28,G$3),2)=1,"")</f>
        <v>1</v>
      </c>
      <c r="H28" t="b">
        <f ca="1">IF($B27&gt;0,MOD(COUNTIFS($B$5:$B28,H$3),2)=1,"")</f>
        <v>1</v>
      </c>
      <c r="I28" t="b">
        <f ca="1">IF($B27&gt;0,MOD(COUNTIFS($B$5:$B28,I$3),2)=1,"")</f>
        <v>1</v>
      </c>
      <c r="J28" t="b">
        <f ca="1">IF($B27&gt;0,MOD(COUNTIFS($B$5:$B28,J$3),2)=1,"")</f>
        <v>1</v>
      </c>
      <c r="K28" t="b">
        <f ca="1">IF($B27&gt;0,MOD(COUNTIFS($B$5:$B28,K$3),2)=1,"")</f>
        <v>0</v>
      </c>
      <c r="L28">
        <f ca="1">IF($B28&gt;0,COUNTIFS($B$5:$B28,6),"")</f>
        <v>4</v>
      </c>
      <c r="N28">
        <f ca="1">IF(COUNTIF($C$5:$E27,0)&gt;0,"",IF(B27=6,N27,IF(N27=3,N27-2,N27+1)))</f>
        <v>3</v>
      </c>
    </row>
    <row r="29" spans="1:14" x14ac:dyDescent="0.25">
      <c r="A29" t="str">
        <f t="shared" ca="1" si="0"/>
        <v>Anna</v>
      </c>
      <c r="B29">
        <f t="shared" ca="1" si="3"/>
        <v>3</v>
      </c>
      <c r="C29">
        <f ca="1">IF($N$5:$N29="","",C28+_xlfn.IFS($A29&lt;&gt;C$3,0,$B29=6,-1,INDEX($G28:$K28,1,$B29),1,TRUE,-1))</f>
        <v>5</v>
      </c>
      <c r="D29">
        <f ca="1">IF($N$5:$N29="","",D28+_xlfn.IFS($A29&lt;&gt;D$3,0,$B29=6,-1,INDEX($G28:$K28,1,$B29),1,TRUE,-1))</f>
        <v>5</v>
      </c>
      <c r="E29">
        <f ca="1">IF($N$5:$N29="","",E28+_xlfn.IFS($A29&lt;&gt;E$3,0,$B29=6,-1,INDEX($G28:$K28,1,$B29),1,TRUE,-1))</f>
        <v>7</v>
      </c>
      <c r="G29" t="b">
        <f ca="1">IF($B28&gt;0,MOD(COUNTIFS($B$5:$B29,G$3),2)=1,"")</f>
        <v>1</v>
      </c>
      <c r="H29" t="b">
        <f ca="1">IF($B28&gt;0,MOD(COUNTIFS($B$5:$B29,H$3),2)=1,"")</f>
        <v>1</v>
      </c>
      <c r="I29" t="b">
        <f ca="1">IF($B28&gt;0,MOD(COUNTIFS($B$5:$B29,I$3),2)=1,"")</f>
        <v>0</v>
      </c>
      <c r="J29" t="b">
        <f ca="1">IF($B28&gt;0,MOD(COUNTIFS($B$5:$B29,J$3),2)=1,"")</f>
        <v>1</v>
      </c>
      <c r="K29" t="b">
        <f ca="1">IF($B28&gt;0,MOD(COUNTIFS($B$5:$B29,K$3),2)=1,"")</f>
        <v>0</v>
      </c>
      <c r="L29">
        <f ca="1">IF($B29&gt;0,COUNTIFS($B$5:$B29,6),"")</f>
        <v>4</v>
      </c>
      <c r="N29">
        <f ca="1">IF(COUNTIF($C$5:$E28,0)&gt;0,"",IF(B28=6,N28,IF(N28=3,N28-2,N28+1)))</f>
        <v>1</v>
      </c>
    </row>
    <row r="30" spans="1:14" x14ac:dyDescent="0.25">
      <c r="A30" t="str">
        <f t="shared" ca="1" si="0"/>
        <v>Blanka</v>
      </c>
      <c r="B30">
        <f t="shared" ca="1" si="3"/>
        <v>2</v>
      </c>
      <c r="C30">
        <f ca="1">IF($N$5:$N30="","",C29+_xlfn.IFS($A30&lt;&gt;C$3,0,$B30=6,-1,INDEX($G29:$K29,1,$B30),1,TRUE,-1))</f>
        <v>5</v>
      </c>
      <c r="D30">
        <f ca="1">IF($N$5:$N30="","",D29+_xlfn.IFS($A30&lt;&gt;D$3,0,$B30=6,-1,INDEX($G29:$K29,1,$B30),1,TRUE,-1))</f>
        <v>6</v>
      </c>
      <c r="E30">
        <f ca="1">IF($N$5:$N30="","",E29+_xlfn.IFS($A30&lt;&gt;E$3,0,$B30=6,-1,INDEX($G29:$K29,1,$B30),1,TRUE,-1))</f>
        <v>7</v>
      </c>
      <c r="G30" t="b">
        <f ca="1">IF($B29&gt;0,MOD(COUNTIFS($B$5:$B30,G$3),2)=1,"")</f>
        <v>1</v>
      </c>
      <c r="H30" t="b">
        <f ca="1">IF($B29&gt;0,MOD(COUNTIFS($B$5:$B30,H$3),2)=1,"")</f>
        <v>0</v>
      </c>
      <c r="I30" t="b">
        <f ca="1">IF($B29&gt;0,MOD(COUNTIFS($B$5:$B30,I$3),2)=1,"")</f>
        <v>0</v>
      </c>
      <c r="J30" t="b">
        <f ca="1">IF($B29&gt;0,MOD(COUNTIFS($B$5:$B30,J$3),2)=1,"")</f>
        <v>1</v>
      </c>
      <c r="K30" t="b">
        <f ca="1">IF($B29&gt;0,MOD(COUNTIFS($B$5:$B30,K$3),2)=1,"")</f>
        <v>0</v>
      </c>
      <c r="L30">
        <f ca="1">IF($B30&gt;0,COUNTIFS($B$5:$B30,6),"")</f>
        <v>4</v>
      </c>
      <c r="N30">
        <f ca="1">IF(COUNTIF($C$5:$E29,0)&gt;0,"",IF(B29=6,N29,IF(N29=3,N29-2,N29+1)))</f>
        <v>2</v>
      </c>
    </row>
    <row r="31" spans="1:14" x14ac:dyDescent="0.25">
      <c r="A31" t="str">
        <f t="shared" ca="1" si="0"/>
        <v>Csaba</v>
      </c>
      <c r="B31">
        <f t="shared" ca="1" si="3"/>
        <v>2</v>
      </c>
      <c r="C31">
        <f ca="1">IF($N$5:$N31="","",C30+_xlfn.IFS($A31&lt;&gt;C$3,0,$B31=6,-1,INDEX($G30:$K30,1,$B31),1,TRUE,-1))</f>
        <v>5</v>
      </c>
      <c r="D31">
        <f ca="1">IF($N$5:$N31="","",D30+_xlfn.IFS($A31&lt;&gt;D$3,0,$B31=6,-1,INDEX($G30:$K30,1,$B31),1,TRUE,-1))</f>
        <v>6</v>
      </c>
      <c r="E31">
        <f ca="1">IF($N$5:$N31="","",E30+_xlfn.IFS($A31&lt;&gt;E$3,0,$B31=6,-1,INDEX($G30:$K30,1,$B31),1,TRUE,-1))</f>
        <v>6</v>
      </c>
      <c r="G31" t="b">
        <f ca="1">IF($B30&gt;0,MOD(COUNTIFS($B$5:$B31,G$3),2)=1,"")</f>
        <v>1</v>
      </c>
      <c r="H31" t="b">
        <f ca="1">IF($B30&gt;0,MOD(COUNTIFS($B$5:$B31,H$3),2)=1,"")</f>
        <v>1</v>
      </c>
      <c r="I31" t="b">
        <f ca="1">IF($B30&gt;0,MOD(COUNTIFS($B$5:$B31,I$3),2)=1,"")</f>
        <v>0</v>
      </c>
      <c r="J31" t="b">
        <f ca="1">IF($B30&gt;0,MOD(COUNTIFS($B$5:$B31,J$3),2)=1,"")</f>
        <v>1</v>
      </c>
      <c r="K31" t="b">
        <f ca="1">IF($B30&gt;0,MOD(COUNTIFS($B$5:$B31,K$3),2)=1,"")</f>
        <v>0</v>
      </c>
      <c r="L31">
        <f ca="1">IF($B31&gt;0,COUNTIFS($B$5:$B31,6),"")</f>
        <v>4</v>
      </c>
      <c r="N31">
        <f ca="1">IF(COUNTIF($C$5:$E30,0)&gt;0,"",IF(B30=6,N30,IF(N30=3,N30-2,N30+1)))</f>
        <v>3</v>
      </c>
    </row>
    <row r="32" spans="1:14" x14ac:dyDescent="0.25">
      <c r="A32" t="str">
        <f t="shared" ca="1" si="0"/>
        <v>Anna</v>
      </c>
      <c r="B32">
        <f t="shared" ca="1" si="3"/>
        <v>6</v>
      </c>
      <c r="C32">
        <f ca="1">IF($N$5:$N32="","",C31+_xlfn.IFS($A32&lt;&gt;C$3,0,$B32=6,-1,INDEX($G31:$K31,1,$B32),1,TRUE,-1))</f>
        <v>4</v>
      </c>
      <c r="D32">
        <f ca="1">IF($N$5:$N32="","",D31+_xlfn.IFS($A32&lt;&gt;D$3,0,$B32=6,-1,INDEX($G31:$K31,1,$B32),1,TRUE,-1))</f>
        <v>6</v>
      </c>
      <c r="E32">
        <f ca="1">IF($N$5:$N32="","",E31+_xlfn.IFS($A32&lt;&gt;E$3,0,$B32=6,-1,INDEX($G31:$K31,1,$B32),1,TRUE,-1))</f>
        <v>6</v>
      </c>
      <c r="G32" t="b">
        <f ca="1">IF($B31&gt;0,MOD(COUNTIFS($B$5:$B32,G$3),2)=1,"")</f>
        <v>1</v>
      </c>
      <c r="H32" t="b">
        <f ca="1">IF($B31&gt;0,MOD(COUNTIFS($B$5:$B32,H$3),2)=1,"")</f>
        <v>1</v>
      </c>
      <c r="I32" t="b">
        <f ca="1">IF($B31&gt;0,MOD(COUNTIFS($B$5:$B32,I$3),2)=1,"")</f>
        <v>0</v>
      </c>
      <c r="J32" t="b">
        <f ca="1">IF($B31&gt;0,MOD(COUNTIFS($B$5:$B32,J$3),2)=1,"")</f>
        <v>1</v>
      </c>
      <c r="K32" t="b">
        <f ca="1">IF($B31&gt;0,MOD(COUNTIFS($B$5:$B32,K$3),2)=1,"")</f>
        <v>0</v>
      </c>
      <c r="L32">
        <f ca="1">IF($B32&gt;0,COUNTIFS($B$5:$B32,6),"")</f>
        <v>5</v>
      </c>
      <c r="N32">
        <f ca="1">IF(COUNTIF($C$5:$E31,0)&gt;0,"",IF(B31=6,N31,IF(N31=3,N31-2,N31+1)))</f>
        <v>1</v>
      </c>
    </row>
    <row r="33" spans="1:14" x14ac:dyDescent="0.25">
      <c r="A33" t="str">
        <f t="shared" ca="1" si="0"/>
        <v>Anna</v>
      </c>
      <c r="B33">
        <f t="shared" ca="1" si="3"/>
        <v>2</v>
      </c>
      <c r="C33">
        <f ca="1">IF($N$5:$N33="","",C32+_xlfn.IFS($A33&lt;&gt;C$3,0,$B33=6,-1,INDEX($G32:$K32,1,$B33),1,TRUE,-1))</f>
        <v>5</v>
      </c>
      <c r="D33">
        <f ca="1">IF($N$5:$N33="","",D32+_xlfn.IFS($A33&lt;&gt;D$3,0,$B33=6,-1,INDEX($G32:$K32,1,$B33),1,TRUE,-1))</f>
        <v>6</v>
      </c>
      <c r="E33">
        <f ca="1">IF($N$5:$N33="","",E32+_xlfn.IFS($A33&lt;&gt;E$3,0,$B33=6,-1,INDEX($G32:$K32,1,$B33),1,TRUE,-1))</f>
        <v>6</v>
      </c>
      <c r="G33" t="b">
        <f ca="1">IF($B32&gt;0,MOD(COUNTIFS($B$5:$B33,G$3),2)=1,"")</f>
        <v>1</v>
      </c>
      <c r="H33" t="b">
        <f ca="1">IF($B32&gt;0,MOD(COUNTIFS($B$5:$B33,H$3),2)=1,"")</f>
        <v>0</v>
      </c>
      <c r="I33" t="b">
        <f ca="1">IF($B32&gt;0,MOD(COUNTIFS($B$5:$B33,I$3),2)=1,"")</f>
        <v>0</v>
      </c>
      <c r="J33" t="b">
        <f ca="1">IF($B32&gt;0,MOD(COUNTIFS($B$5:$B33,J$3),2)=1,"")</f>
        <v>1</v>
      </c>
      <c r="K33" t="b">
        <f ca="1">IF($B32&gt;0,MOD(COUNTIFS($B$5:$B33,K$3),2)=1,"")</f>
        <v>0</v>
      </c>
      <c r="L33">
        <f ca="1">IF($B33&gt;0,COUNTIFS($B$5:$B33,6),"")</f>
        <v>5</v>
      </c>
      <c r="N33">
        <f ca="1">IF(COUNTIF($C$5:$E32,0)&gt;0,"",IF(B32=6,N32,IF(N32=3,N32-2,N32+1)))</f>
        <v>1</v>
      </c>
    </row>
    <row r="34" spans="1:14" x14ac:dyDescent="0.25">
      <c r="A34" t="str">
        <f t="shared" ca="1" si="0"/>
        <v>Blanka</v>
      </c>
      <c r="B34">
        <f t="shared" ca="1" si="3"/>
        <v>1</v>
      </c>
      <c r="C34">
        <f ca="1">IF($N$5:$N34="","",C33+_xlfn.IFS($A34&lt;&gt;C$3,0,$B34=6,-1,INDEX($G33:$K33,1,$B34),1,TRUE,-1))</f>
        <v>5</v>
      </c>
      <c r="D34">
        <f ca="1">IF($N$5:$N34="","",D33+_xlfn.IFS($A34&lt;&gt;D$3,0,$B34=6,-1,INDEX($G33:$K33,1,$B34),1,TRUE,-1))</f>
        <v>7</v>
      </c>
      <c r="E34">
        <f ca="1">IF($N$5:$N34="","",E33+_xlfn.IFS($A34&lt;&gt;E$3,0,$B34=6,-1,INDEX($G33:$K33,1,$B34),1,TRUE,-1))</f>
        <v>6</v>
      </c>
      <c r="G34" t="b">
        <f ca="1">IF($B33&gt;0,MOD(COUNTIFS($B$5:$B34,G$3),2)=1,"")</f>
        <v>0</v>
      </c>
      <c r="H34" t="b">
        <f ca="1">IF($B33&gt;0,MOD(COUNTIFS($B$5:$B34,H$3),2)=1,"")</f>
        <v>0</v>
      </c>
      <c r="I34" t="b">
        <f ca="1">IF($B33&gt;0,MOD(COUNTIFS($B$5:$B34,I$3),2)=1,"")</f>
        <v>0</v>
      </c>
      <c r="J34" t="b">
        <f ca="1">IF($B33&gt;0,MOD(COUNTIFS($B$5:$B34,J$3),2)=1,"")</f>
        <v>1</v>
      </c>
      <c r="K34" t="b">
        <f ca="1">IF($B33&gt;0,MOD(COUNTIFS($B$5:$B34,K$3),2)=1,"")</f>
        <v>0</v>
      </c>
      <c r="L34">
        <f ca="1">IF($B34&gt;0,COUNTIFS($B$5:$B34,6),"")</f>
        <v>5</v>
      </c>
      <c r="N34">
        <f ca="1">IF(COUNTIF($C$5:$E33,0)&gt;0,"",IF(B33=6,N33,IF(N33=3,N33-2,N33+1)))</f>
        <v>2</v>
      </c>
    </row>
    <row r="35" spans="1:14" x14ac:dyDescent="0.25">
      <c r="A35" t="str">
        <f t="shared" ca="1" si="0"/>
        <v>Csaba</v>
      </c>
      <c r="B35">
        <f t="shared" ca="1" si="3"/>
        <v>1</v>
      </c>
      <c r="C35">
        <f ca="1">IF($N$5:$N35="","",C34+_xlfn.IFS($A35&lt;&gt;C$3,0,$B35=6,-1,INDEX($G34:$K34,1,$B35),1,TRUE,-1))</f>
        <v>5</v>
      </c>
      <c r="D35">
        <f ca="1">IF($N$5:$N35="","",D34+_xlfn.IFS($A35&lt;&gt;D$3,0,$B35=6,-1,INDEX($G34:$K34,1,$B35),1,TRUE,-1))</f>
        <v>7</v>
      </c>
      <c r="E35">
        <f ca="1">IF($N$5:$N35="","",E34+_xlfn.IFS($A35&lt;&gt;E$3,0,$B35=6,-1,INDEX($G34:$K34,1,$B35),1,TRUE,-1))</f>
        <v>5</v>
      </c>
      <c r="G35" t="b">
        <f ca="1">IF($B34&gt;0,MOD(COUNTIFS($B$5:$B35,G$3),2)=1,"")</f>
        <v>1</v>
      </c>
      <c r="H35" t="b">
        <f ca="1">IF($B34&gt;0,MOD(COUNTIFS($B$5:$B35,H$3),2)=1,"")</f>
        <v>0</v>
      </c>
      <c r="I35" t="b">
        <f ca="1">IF($B34&gt;0,MOD(COUNTIFS($B$5:$B35,I$3),2)=1,"")</f>
        <v>0</v>
      </c>
      <c r="J35" t="b">
        <f ca="1">IF($B34&gt;0,MOD(COUNTIFS($B$5:$B35,J$3),2)=1,"")</f>
        <v>1</v>
      </c>
      <c r="K35" t="b">
        <f ca="1">IF($B34&gt;0,MOD(COUNTIFS($B$5:$B35,K$3),2)=1,"")</f>
        <v>0</v>
      </c>
      <c r="L35">
        <f ca="1">IF($B35&gt;0,COUNTIFS($B$5:$B35,6),"")</f>
        <v>5</v>
      </c>
      <c r="N35">
        <f ca="1">IF(COUNTIF($C$5:$E34,0)&gt;0,"",IF(B34=6,N34,IF(N34=3,N34-2,N34+1)))</f>
        <v>3</v>
      </c>
    </row>
    <row r="36" spans="1:14" x14ac:dyDescent="0.25">
      <c r="A36" t="str">
        <f t="shared" ca="1" si="0"/>
        <v>Anna</v>
      </c>
      <c r="B36">
        <f t="shared" ca="1" si="3"/>
        <v>5</v>
      </c>
      <c r="C36">
        <f ca="1">IF($N$5:$N36="","",C35+_xlfn.IFS($A36&lt;&gt;C$3,0,$B36=6,-1,INDEX($G35:$K35,1,$B36),1,TRUE,-1))</f>
        <v>4</v>
      </c>
      <c r="D36">
        <f ca="1">IF($N$5:$N36="","",D35+_xlfn.IFS($A36&lt;&gt;D$3,0,$B36=6,-1,INDEX($G35:$K35,1,$B36),1,TRUE,-1))</f>
        <v>7</v>
      </c>
      <c r="E36">
        <f ca="1">IF($N$5:$N36="","",E35+_xlfn.IFS($A36&lt;&gt;E$3,0,$B36=6,-1,INDEX($G35:$K35,1,$B36),1,TRUE,-1))</f>
        <v>5</v>
      </c>
      <c r="G36" t="b">
        <f ca="1">IF($B35&gt;0,MOD(COUNTIFS($B$5:$B36,G$3),2)=1,"")</f>
        <v>1</v>
      </c>
      <c r="H36" t="b">
        <f ca="1">IF($B35&gt;0,MOD(COUNTIFS($B$5:$B36,H$3),2)=1,"")</f>
        <v>0</v>
      </c>
      <c r="I36" t="b">
        <f ca="1">IF($B35&gt;0,MOD(COUNTIFS($B$5:$B36,I$3),2)=1,"")</f>
        <v>0</v>
      </c>
      <c r="J36" t="b">
        <f ca="1">IF($B35&gt;0,MOD(COUNTIFS($B$5:$B36,J$3),2)=1,"")</f>
        <v>1</v>
      </c>
      <c r="K36" t="b">
        <f ca="1">IF($B35&gt;0,MOD(COUNTIFS($B$5:$B36,K$3),2)=1,"")</f>
        <v>1</v>
      </c>
      <c r="L36">
        <f ca="1">IF($B36&gt;0,COUNTIFS($B$5:$B36,6),"")</f>
        <v>5</v>
      </c>
      <c r="N36">
        <f ca="1">IF(COUNTIF($C$5:$E35,0)&gt;0,"",IF(B35=6,N35,IF(N35=3,N35-2,N35+1)))</f>
        <v>1</v>
      </c>
    </row>
    <row r="37" spans="1:14" x14ac:dyDescent="0.25">
      <c r="A37" t="str">
        <f t="shared" ca="1" si="0"/>
        <v>Blanka</v>
      </c>
      <c r="B37">
        <f t="shared" ca="1" si="3"/>
        <v>6</v>
      </c>
      <c r="C37">
        <f ca="1">IF($N$5:$N37="","",C36+_xlfn.IFS($A37&lt;&gt;C$3,0,$B37=6,-1,INDEX($G36:$K36,1,$B37),1,TRUE,-1))</f>
        <v>4</v>
      </c>
      <c r="D37">
        <f ca="1">IF($N$5:$N37="","",D36+_xlfn.IFS($A37&lt;&gt;D$3,0,$B37=6,-1,INDEX($G36:$K36,1,$B37),1,TRUE,-1))</f>
        <v>6</v>
      </c>
      <c r="E37">
        <f ca="1">IF($N$5:$N37="","",E36+_xlfn.IFS($A37&lt;&gt;E$3,0,$B37=6,-1,INDEX($G36:$K36,1,$B37),1,TRUE,-1))</f>
        <v>5</v>
      </c>
      <c r="G37" t="b">
        <f ca="1">IF($B36&gt;0,MOD(COUNTIFS($B$5:$B37,G$3),2)=1,"")</f>
        <v>1</v>
      </c>
      <c r="H37" t="b">
        <f ca="1">IF($B36&gt;0,MOD(COUNTIFS($B$5:$B37,H$3),2)=1,"")</f>
        <v>0</v>
      </c>
      <c r="I37" t="b">
        <f ca="1">IF($B36&gt;0,MOD(COUNTIFS($B$5:$B37,I$3),2)=1,"")</f>
        <v>0</v>
      </c>
      <c r="J37" t="b">
        <f ca="1">IF($B36&gt;0,MOD(COUNTIFS($B$5:$B37,J$3),2)=1,"")</f>
        <v>1</v>
      </c>
      <c r="K37" t="b">
        <f ca="1">IF($B36&gt;0,MOD(COUNTIFS($B$5:$B37,K$3),2)=1,"")</f>
        <v>1</v>
      </c>
      <c r="L37">
        <f ca="1">IF($B37&gt;0,COUNTIFS($B$5:$B37,6),"")</f>
        <v>6</v>
      </c>
      <c r="N37">
        <f ca="1">IF(COUNTIF($C$5:$E36,0)&gt;0,"",IF(B36=6,N36,IF(N36=3,N36-2,N36+1)))</f>
        <v>2</v>
      </c>
    </row>
    <row r="38" spans="1:14" x14ac:dyDescent="0.25">
      <c r="A38" t="str">
        <f t="shared" ca="1" si="0"/>
        <v>Blanka</v>
      </c>
      <c r="B38">
        <f t="shared" ca="1" si="3"/>
        <v>3</v>
      </c>
      <c r="C38">
        <f ca="1">IF($N$5:$N38="","",C37+_xlfn.IFS($A38&lt;&gt;C$3,0,$B38=6,-1,INDEX($G37:$K37,1,$B38),1,TRUE,-1))</f>
        <v>4</v>
      </c>
      <c r="D38">
        <f ca="1">IF($N$5:$N38="","",D37+_xlfn.IFS($A38&lt;&gt;D$3,0,$B38=6,-1,INDEX($G37:$K37,1,$B38),1,TRUE,-1))</f>
        <v>5</v>
      </c>
      <c r="E38">
        <f ca="1">IF($N$5:$N38="","",E37+_xlfn.IFS($A38&lt;&gt;E$3,0,$B38=6,-1,INDEX($G37:$K37,1,$B38),1,TRUE,-1))</f>
        <v>5</v>
      </c>
      <c r="G38" t="b">
        <f ca="1">IF($B37&gt;0,MOD(COUNTIFS($B$5:$B38,G$3),2)=1,"")</f>
        <v>1</v>
      </c>
      <c r="H38" t="b">
        <f ca="1">IF($B37&gt;0,MOD(COUNTIFS($B$5:$B38,H$3),2)=1,"")</f>
        <v>0</v>
      </c>
      <c r="I38" t="b">
        <f ca="1">IF($B37&gt;0,MOD(COUNTIFS($B$5:$B38,I$3),2)=1,"")</f>
        <v>1</v>
      </c>
      <c r="J38" t="b">
        <f ca="1">IF($B37&gt;0,MOD(COUNTIFS($B$5:$B38,J$3),2)=1,"")</f>
        <v>1</v>
      </c>
      <c r="K38" t="b">
        <f ca="1">IF($B37&gt;0,MOD(COUNTIFS($B$5:$B38,K$3),2)=1,"")</f>
        <v>1</v>
      </c>
      <c r="L38">
        <f ca="1">IF($B38&gt;0,COUNTIFS($B$5:$B38,6),"")</f>
        <v>6</v>
      </c>
      <c r="N38">
        <f ca="1">IF(COUNTIF($C$5:$E37,0)&gt;0,"",IF(B37=6,N37,IF(N37=3,N37-2,N37+1)))</f>
        <v>2</v>
      </c>
    </row>
    <row r="39" spans="1:14" x14ac:dyDescent="0.25">
      <c r="A39" t="str">
        <f t="shared" ca="1" si="0"/>
        <v>Csaba</v>
      </c>
      <c r="B39">
        <f t="shared" ca="1" si="3"/>
        <v>6</v>
      </c>
      <c r="C39">
        <f ca="1">IF($N$5:$N39="","",C38+_xlfn.IFS($A39&lt;&gt;C$3,0,$B39=6,-1,INDEX($G38:$K38,1,$B39),1,TRUE,-1))</f>
        <v>4</v>
      </c>
      <c r="D39">
        <f ca="1">IF($N$5:$N39="","",D38+_xlfn.IFS($A39&lt;&gt;D$3,0,$B39=6,-1,INDEX($G38:$K38,1,$B39),1,TRUE,-1))</f>
        <v>5</v>
      </c>
      <c r="E39">
        <f ca="1">IF($N$5:$N39="","",E38+_xlfn.IFS($A39&lt;&gt;E$3,0,$B39=6,-1,INDEX($G38:$K38,1,$B39),1,TRUE,-1))</f>
        <v>4</v>
      </c>
      <c r="G39" t="b">
        <f ca="1">IF($B38&gt;0,MOD(COUNTIFS($B$5:$B39,G$3),2)=1,"")</f>
        <v>1</v>
      </c>
      <c r="H39" t="b">
        <f ca="1">IF($B38&gt;0,MOD(COUNTIFS($B$5:$B39,H$3),2)=1,"")</f>
        <v>0</v>
      </c>
      <c r="I39" t="b">
        <f ca="1">IF($B38&gt;0,MOD(COUNTIFS($B$5:$B39,I$3),2)=1,"")</f>
        <v>1</v>
      </c>
      <c r="J39" t="b">
        <f ca="1">IF($B38&gt;0,MOD(COUNTIFS($B$5:$B39,J$3),2)=1,"")</f>
        <v>1</v>
      </c>
      <c r="K39" t="b">
        <f ca="1">IF($B38&gt;0,MOD(COUNTIFS($B$5:$B39,K$3),2)=1,"")</f>
        <v>1</v>
      </c>
      <c r="L39">
        <f ca="1">IF($B39&gt;0,COUNTIFS($B$5:$B39,6),"")</f>
        <v>7</v>
      </c>
      <c r="N39">
        <f ca="1">IF(COUNTIF($C$5:$E38,0)&gt;0,"",IF(B38=6,N38,IF(N38=3,N38-2,N38+1)))</f>
        <v>3</v>
      </c>
    </row>
    <row r="40" spans="1:14" x14ac:dyDescent="0.25">
      <c r="A40" t="str">
        <f t="shared" ca="1" si="0"/>
        <v>Csaba</v>
      </c>
      <c r="B40">
        <f t="shared" ca="1" si="3"/>
        <v>6</v>
      </c>
      <c r="C40">
        <f ca="1">IF($N$5:$N40="","",C39+_xlfn.IFS($A40&lt;&gt;C$3,0,$B40=6,-1,INDEX($G39:$K39,1,$B40),1,TRUE,-1))</f>
        <v>4</v>
      </c>
      <c r="D40">
        <f ca="1">IF($N$5:$N40="","",D39+_xlfn.IFS($A40&lt;&gt;D$3,0,$B40=6,-1,INDEX($G39:$K39,1,$B40),1,TRUE,-1))</f>
        <v>5</v>
      </c>
      <c r="E40">
        <f ca="1">IF($N$5:$N40="","",E39+_xlfn.IFS($A40&lt;&gt;E$3,0,$B40=6,-1,INDEX($G39:$K39,1,$B40),1,TRUE,-1))</f>
        <v>3</v>
      </c>
      <c r="G40" t="b">
        <f ca="1">IF($B39&gt;0,MOD(COUNTIFS($B$5:$B40,G$3),2)=1,"")</f>
        <v>1</v>
      </c>
      <c r="H40" t="b">
        <f ca="1">IF($B39&gt;0,MOD(COUNTIFS($B$5:$B40,H$3),2)=1,"")</f>
        <v>0</v>
      </c>
      <c r="I40" t="b">
        <f ca="1">IF($B39&gt;0,MOD(COUNTIFS($B$5:$B40,I$3),2)=1,"")</f>
        <v>1</v>
      </c>
      <c r="J40" t="b">
        <f ca="1">IF($B39&gt;0,MOD(COUNTIFS($B$5:$B40,J$3),2)=1,"")</f>
        <v>1</v>
      </c>
      <c r="K40" t="b">
        <f ca="1">IF($B39&gt;0,MOD(COUNTIFS($B$5:$B40,K$3),2)=1,"")</f>
        <v>1</v>
      </c>
      <c r="L40">
        <f ca="1">IF($B40&gt;0,COUNTIFS($B$5:$B40,6),"")</f>
        <v>8</v>
      </c>
      <c r="N40">
        <f ca="1">IF(COUNTIF($C$5:$E39,0)&gt;0,"",IF(B39=6,N39,IF(N39=3,N39-2,N39+1)))</f>
        <v>3</v>
      </c>
    </row>
    <row r="41" spans="1:14" x14ac:dyDescent="0.25">
      <c r="A41" t="str">
        <f t="shared" ca="1" si="0"/>
        <v>Csaba</v>
      </c>
      <c r="B41">
        <f t="shared" ca="1" si="3"/>
        <v>6</v>
      </c>
      <c r="C41">
        <f ca="1">IF($N$5:$N41="","",C40+_xlfn.IFS($A41&lt;&gt;C$3,0,$B41=6,-1,INDEX($G40:$K40,1,$B41),1,TRUE,-1))</f>
        <v>4</v>
      </c>
      <c r="D41">
        <f ca="1">IF($N$5:$N41="","",D40+_xlfn.IFS($A41&lt;&gt;D$3,0,$B41=6,-1,INDEX($G40:$K40,1,$B41),1,TRUE,-1))</f>
        <v>5</v>
      </c>
      <c r="E41">
        <f ca="1">IF($N$5:$N41="","",E40+_xlfn.IFS($A41&lt;&gt;E$3,0,$B41=6,-1,INDEX($G40:$K40,1,$B41),1,TRUE,-1))</f>
        <v>2</v>
      </c>
      <c r="G41" t="b">
        <f ca="1">IF($B40&gt;0,MOD(COUNTIFS($B$5:$B41,G$3),2)=1,"")</f>
        <v>1</v>
      </c>
      <c r="H41" t="b">
        <f ca="1">IF($B40&gt;0,MOD(COUNTIFS($B$5:$B41,H$3),2)=1,"")</f>
        <v>0</v>
      </c>
      <c r="I41" t="b">
        <f ca="1">IF($B40&gt;0,MOD(COUNTIFS($B$5:$B41,I$3),2)=1,"")</f>
        <v>1</v>
      </c>
      <c r="J41" t="b">
        <f ca="1">IF($B40&gt;0,MOD(COUNTIFS($B$5:$B41,J$3),2)=1,"")</f>
        <v>1</v>
      </c>
      <c r="K41" t="b">
        <f ca="1">IF($B40&gt;0,MOD(COUNTIFS($B$5:$B41,K$3),2)=1,"")</f>
        <v>1</v>
      </c>
      <c r="L41">
        <f ca="1">IF($B41&gt;0,COUNTIFS($B$5:$B41,6),"")</f>
        <v>9</v>
      </c>
      <c r="N41">
        <f ca="1">IF(COUNTIF($C$5:$E40,0)&gt;0,"",IF(B40=6,N40,IF(N40=3,N40-2,N40+1)))</f>
        <v>3</v>
      </c>
    </row>
    <row r="42" spans="1:14" x14ac:dyDescent="0.25">
      <c r="A42" t="str">
        <f t="shared" ca="1" si="0"/>
        <v>Csaba</v>
      </c>
      <c r="B42">
        <f t="shared" ca="1" si="3"/>
        <v>2</v>
      </c>
      <c r="C42">
        <f ca="1">IF($N$5:$N42="","",C41+_xlfn.IFS($A42&lt;&gt;C$3,0,$B42=6,-1,INDEX($G41:$K41,1,$B42),1,TRUE,-1))</f>
        <v>4</v>
      </c>
      <c r="D42">
        <f ca="1">IF($N$5:$N42="","",D41+_xlfn.IFS($A42&lt;&gt;D$3,0,$B42=6,-1,INDEX($G41:$K41,1,$B42),1,TRUE,-1))</f>
        <v>5</v>
      </c>
      <c r="E42">
        <f ca="1">IF($N$5:$N42="","",E41+_xlfn.IFS($A42&lt;&gt;E$3,0,$B42=6,-1,INDEX($G41:$K41,1,$B42),1,TRUE,-1))</f>
        <v>1</v>
      </c>
      <c r="G42" t="b">
        <f ca="1">IF($B41&gt;0,MOD(COUNTIFS($B$5:$B42,G$3),2)=1,"")</f>
        <v>1</v>
      </c>
      <c r="H42" t="b">
        <f ca="1">IF($B41&gt;0,MOD(COUNTIFS($B$5:$B42,H$3),2)=1,"")</f>
        <v>1</v>
      </c>
      <c r="I42" t="b">
        <f ca="1">IF($B41&gt;0,MOD(COUNTIFS($B$5:$B42,I$3),2)=1,"")</f>
        <v>1</v>
      </c>
      <c r="J42" t="b">
        <f ca="1">IF($B41&gt;0,MOD(COUNTIFS($B$5:$B42,J$3),2)=1,"")</f>
        <v>1</v>
      </c>
      <c r="K42" t="b">
        <f ca="1">IF($B41&gt;0,MOD(COUNTIFS($B$5:$B42,K$3),2)=1,"")</f>
        <v>1</v>
      </c>
      <c r="L42">
        <f ca="1">IF($B42&gt;0,COUNTIFS($B$5:$B42,6),"")</f>
        <v>9</v>
      </c>
      <c r="N42">
        <f ca="1">IF(COUNTIF($C$5:$E41,0)&gt;0,"",IF(B41=6,N41,IF(N41=3,N41-2,N41+1)))</f>
        <v>3</v>
      </c>
    </row>
    <row r="43" spans="1:14" x14ac:dyDescent="0.25">
      <c r="A43" t="str">
        <f t="shared" ca="1" si="0"/>
        <v>Anna</v>
      </c>
      <c r="B43">
        <f t="shared" ca="1" si="3"/>
        <v>1</v>
      </c>
      <c r="C43">
        <f ca="1">IF($N$5:$N43="","",C42+_xlfn.IFS($A43&lt;&gt;C$3,0,$B43=6,-1,INDEX($G42:$K42,1,$B43),1,TRUE,-1))</f>
        <v>5</v>
      </c>
      <c r="D43">
        <f ca="1">IF($N$5:$N43="","",D42+_xlfn.IFS($A43&lt;&gt;D$3,0,$B43=6,-1,INDEX($G42:$K42,1,$B43),1,TRUE,-1))</f>
        <v>5</v>
      </c>
      <c r="E43">
        <f ca="1">IF($N$5:$N43="","",E42+_xlfn.IFS($A43&lt;&gt;E$3,0,$B43=6,-1,INDEX($G42:$K42,1,$B43),1,TRUE,-1))</f>
        <v>1</v>
      </c>
      <c r="G43" t="b">
        <f ca="1">IF($B42&gt;0,MOD(COUNTIFS($B$5:$B43,G$3),2)=1,"")</f>
        <v>0</v>
      </c>
      <c r="H43" t="b">
        <f ca="1">IF($B42&gt;0,MOD(COUNTIFS($B$5:$B43,H$3),2)=1,"")</f>
        <v>1</v>
      </c>
      <c r="I43" t="b">
        <f ca="1">IF($B42&gt;0,MOD(COUNTIFS($B$5:$B43,I$3),2)=1,"")</f>
        <v>1</v>
      </c>
      <c r="J43" t="b">
        <f ca="1">IF($B42&gt;0,MOD(COUNTIFS($B$5:$B43,J$3),2)=1,"")</f>
        <v>1</v>
      </c>
      <c r="K43" t="b">
        <f ca="1">IF($B42&gt;0,MOD(COUNTIFS($B$5:$B43,K$3),2)=1,"")</f>
        <v>1</v>
      </c>
      <c r="L43">
        <f ca="1">IF($B43&gt;0,COUNTIFS($B$5:$B43,6),"")</f>
        <v>9</v>
      </c>
      <c r="N43">
        <f ca="1">IF(COUNTIF($C$5:$E42,0)&gt;0,"",IF(B42=6,N42,IF(N42=3,N42-2,N42+1)))</f>
        <v>1</v>
      </c>
    </row>
    <row r="44" spans="1:14" x14ac:dyDescent="0.25">
      <c r="A44" t="str">
        <f t="shared" ca="1" si="0"/>
        <v>Blanka</v>
      </c>
      <c r="B44">
        <f t="shared" ca="1" si="3"/>
        <v>3</v>
      </c>
      <c r="C44">
        <f ca="1">IF($N$5:$N44="","",C43+_xlfn.IFS($A44&lt;&gt;C$3,0,$B44=6,-1,INDEX($G43:$K43,1,$B44),1,TRUE,-1))</f>
        <v>5</v>
      </c>
      <c r="D44">
        <f ca="1">IF($N$5:$N44="","",D43+_xlfn.IFS($A44&lt;&gt;D$3,0,$B44=6,-1,INDEX($G43:$K43,1,$B44),1,TRUE,-1))</f>
        <v>6</v>
      </c>
      <c r="E44">
        <f ca="1">IF($N$5:$N44="","",E43+_xlfn.IFS($A44&lt;&gt;E$3,0,$B44=6,-1,INDEX($G43:$K43,1,$B44),1,TRUE,-1))</f>
        <v>1</v>
      </c>
      <c r="G44" t="b">
        <f ca="1">IF($B43&gt;0,MOD(COUNTIFS($B$5:$B44,G$3),2)=1,"")</f>
        <v>0</v>
      </c>
      <c r="H44" t="b">
        <f ca="1">IF($B43&gt;0,MOD(COUNTIFS($B$5:$B44,H$3),2)=1,"")</f>
        <v>1</v>
      </c>
      <c r="I44" t="b">
        <f ca="1">IF($B43&gt;0,MOD(COUNTIFS($B$5:$B44,I$3),2)=1,"")</f>
        <v>0</v>
      </c>
      <c r="J44" t="b">
        <f ca="1">IF($B43&gt;0,MOD(COUNTIFS($B$5:$B44,J$3),2)=1,"")</f>
        <v>1</v>
      </c>
      <c r="K44" t="b">
        <f ca="1">IF($B43&gt;0,MOD(COUNTIFS($B$5:$B44,K$3),2)=1,"")</f>
        <v>1</v>
      </c>
      <c r="L44">
        <f ca="1">IF($B44&gt;0,COUNTIFS($B$5:$B44,6),"")</f>
        <v>9</v>
      </c>
      <c r="N44">
        <f ca="1">IF(COUNTIF($C$5:$E43,0)&gt;0,"",IF(B43=6,N43,IF(N43=3,N43-2,N43+1)))</f>
        <v>2</v>
      </c>
    </row>
    <row r="45" spans="1:14" x14ac:dyDescent="0.25">
      <c r="A45" t="str">
        <f t="shared" ca="1" si="0"/>
        <v>Csaba</v>
      </c>
      <c r="B45">
        <f t="shared" ca="1" si="3"/>
        <v>4</v>
      </c>
      <c r="C45">
        <f ca="1">IF($N$5:$N45="","",C44+_xlfn.IFS($A45&lt;&gt;C$3,0,$B45=6,-1,INDEX($G44:$K44,1,$B45),1,TRUE,-1))</f>
        <v>5</v>
      </c>
      <c r="D45">
        <f ca="1">IF($N$5:$N45="","",D44+_xlfn.IFS($A45&lt;&gt;D$3,0,$B45=6,-1,INDEX($G44:$K44,1,$B45),1,TRUE,-1))</f>
        <v>6</v>
      </c>
      <c r="E45">
        <f ca="1">IF($N$5:$N45="","",E44+_xlfn.IFS($A45&lt;&gt;E$3,0,$B45=6,-1,INDEX($G44:$K44,1,$B45),1,TRUE,-1))</f>
        <v>2</v>
      </c>
      <c r="G45" t="b">
        <f ca="1">IF($B44&gt;0,MOD(COUNTIFS($B$5:$B45,G$3),2)=1,"")</f>
        <v>0</v>
      </c>
      <c r="H45" t="b">
        <f ca="1">IF($B44&gt;0,MOD(COUNTIFS($B$5:$B45,H$3),2)=1,"")</f>
        <v>1</v>
      </c>
      <c r="I45" t="b">
        <f ca="1">IF($B44&gt;0,MOD(COUNTIFS($B$5:$B45,I$3),2)=1,"")</f>
        <v>0</v>
      </c>
      <c r="J45" t="b">
        <f ca="1">IF($B44&gt;0,MOD(COUNTIFS($B$5:$B45,J$3),2)=1,"")</f>
        <v>0</v>
      </c>
      <c r="K45" t="b">
        <f ca="1">IF($B44&gt;0,MOD(COUNTIFS($B$5:$B45,K$3),2)=1,"")</f>
        <v>1</v>
      </c>
      <c r="L45">
        <f ca="1">IF($B45&gt;0,COUNTIFS($B$5:$B45,6),"")</f>
        <v>9</v>
      </c>
      <c r="N45">
        <f ca="1">IF(COUNTIF($C$5:$E44,0)&gt;0,"",IF(B44=6,N44,IF(N44=3,N44-2,N44+1)))</f>
        <v>3</v>
      </c>
    </row>
    <row r="46" spans="1:14" x14ac:dyDescent="0.25">
      <c r="A46" t="str">
        <f t="shared" ca="1" si="0"/>
        <v>Anna</v>
      </c>
      <c r="B46">
        <f t="shared" ca="1" si="3"/>
        <v>1</v>
      </c>
      <c r="C46">
        <f ca="1">IF($N$5:$N46="","",C45+_xlfn.IFS($A46&lt;&gt;C$3,0,$B46=6,-1,INDEX($G45:$K45,1,$B46),1,TRUE,-1))</f>
        <v>4</v>
      </c>
      <c r="D46">
        <f ca="1">IF($N$5:$N46="","",D45+_xlfn.IFS($A46&lt;&gt;D$3,0,$B46=6,-1,INDEX($G45:$K45,1,$B46),1,TRUE,-1))</f>
        <v>6</v>
      </c>
      <c r="E46">
        <f ca="1">IF($N$5:$N46="","",E45+_xlfn.IFS($A46&lt;&gt;E$3,0,$B46=6,-1,INDEX($G45:$K45,1,$B46),1,TRUE,-1))</f>
        <v>2</v>
      </c>
      <c r="G46" t="b">
        <f ca="1">IF($B45&gt;0,MOD(COUNTIFS($B$5:$B46,G$3),2)=1,"")</f>
        <v>1</v>
      </c>
      <c r="H46" t="b">
        <f ca="1">IF($B45&gt;0,MOD(COUNTIFS($B$5:$B46,H$3),2)=1,"")</f>
        <v>1</v>
      </c>
      <c r="I46" t="b">
        <f ca="1">IF($B45&gt;0,MOD(COUNTIFS($B$5:$B46,I$3),2)=1,"")</f>
        <v>0</v>
      </c>
      <c r="J46" t="b">
        <f ca="1">IF($B45&gt;0,MOD(COUNTIFS($B$5:$B46,J$3),2)=1,"")</f>
        <v>0</v>
      </c>
      <c r="K46" t="b">
        <f ca="1">IF($B45&gt;0,MOD(COUNTIFS($B$5:$B46,K$3),2)=1,"")</f>
        <v>1</v>
      </c>
      <c r="L46">
        <f ca="1">IF($B46&gt;0,COUNTIFS($B$5:$B46,6),"")</f>
        <v>9</v>
      </c>
      <c r="N46">
        <f ca="1">IF(COUNTIF($C$5:$E45,0)&gt;0,"",IF(B45=6,N45,IF(N45=3,N45-2,N45+1)))</f>
        <v>1</v>
      </c>
    </row>
    <row r="47" spans="1:14" x14ac:dyDescent="0.25">
      <c r="A47" t="str">
        <f t="shared" ca="1" si="0"/>
        <v>Blanka</v>
      </c>
      <c r="B47">
        <f t="shared" ca="1" si="3"/>
        <v>5</v>
      </c>
      <c r="C47">
        <f ca="1">IF($N$5:$N47="","",C46+_xlfn.IFS($A47&lt;&gt;C$3,0,$B47=6,-1,INDEX($G46:$K46,1,$B47),1,TRUE,-1))</f>
        <v>4</v>
      </c>
      <c r="D47">
        <f ca="1">IF($N$5:$N47="","",D46+_xlfn.IFS($A47&lt;&gt;D$3,0,$B47=6,-1,INDEX($G46:$K46,1,$B47),1,TRUE,-1))</f>
        <v>7</v>
      </c>
      <c r="E47">
        <f ca="1">IF($N$5:$N47="","",E46+_xlfn.IFS($A47&lt;&gt;E$3,0,$B47=6,-1,INDEX($G46:$K46,1,$B47),1,TRUE,-1))</f>
        <v>2</v>
      </c>
      <c r="G47" t="b">
        <f ca="1">IF($B46&gt;0,MOD(COUNTIFS($B$5:$B47,G$3),2)=1,"")</f>
        <v>1</v>
      </c>
      <c r="H47" t="b">
        <f ca="1">IF($B46&gt;0,MOD(COUNTIFS($B$5:$B47,H$3),2)=1,"")</f>
        <v>1</v>
      </c>
      <c r="I47" t="b">
        <f ca="1">IF($B46&gt;0,MOD(COUNTIFS($B$5:$B47,I$3),2)=1,"")</f>
        <v>0</v>
      </c>
      <c r="J47" t="b">
        <f ca="1">IF($B46&gt;0,MOD(COUNTIFS($B$5:$B47,J$3),2)=1,"")</f>
        <v>0</v>
      </c>
      <c r="K47" t="b">
        <f ca="1">IF($B46&gt;0,MOD(COUNTIFS($B$5:$B47,K$3),2)=1,"")</f>
        <v>0</v>
      </c>
      <c r="L47">
        <f ca="1">IF($B47&gt;0,COUNTIFS($B$5:$B47,6),"")</f>
        <v>9</v>
      </c>
      <c r="N47">
        <f ca="1">IF(COUNTIF($C$5:$E46,0)&gt;0,"",IF(B46=6,N46,IF(N46=3,N46-2,N46+1)))</f>
        <v>2</v>
      </c>
    </row>
    <row r="48" spans="1:14" x14ac:dyDescent="0.25">
      <c r="A48" t="str">
        <f t="shared" ca="1" si="0"/>
        <v>Csaba</v>
      </c>
      <c r="B48">
        <f t="shared" ca="1" si="3"/>
        <v>4</v>
      </c>
      <c r="C48">
        <f ca="1">IF($N$5:$N48="","",C47+_xlfn.IFS($A48&lt;&gt;C$3,0,$B48=6,-1,INDEX($G47:$K47,1,$B48),1,TRUE,-1))</f>
        <v>4</v>
      </c>
      <c r="D48">
        <f ca="1">IF($N$5:$N48="","",D47+_xlfn.IFS($A48&lt;&gt;D$3,0,$B48=6,-1,INDEX($G47:$K47,1,$B48),1,TRUE,-1))</f>
        <v>7</v>
      </c>
      <c r="E48">
        <f ca="1">IF($N$5:$N48="","",E47+_xlfn.IFS($A48&lt;&gt;E$3,0,$B48=6,-1,INDEX($G47:$K47,1,$B48),1,TRUE,-1))</f>
        <v>1</v>
      </c>
      <c r="G48" t="b">
        <f ca="1">IF($B47&gt;0,MOD(COUNTIFS($B$5:$B48,G$3),2)=1,"")</f>
        <v>1</v>
      </c>
      <c r="H48" t="b">
        <f ca="1">IF($B47&gt;0,MOD(COUNTIFS($B$5:$B48,H$3),2)=1,"")</f>
        <v>1</v>
      </c>
      <c r="I48" t="b">
        <f ca="1">IF($B47&gt;0,MOD(COUNTIFS($B$5:$B48,I$3),2)=1,"")</f>
        <v>0</v>
      </c>
      <c r="J48" t="b">
        <f ca="1">IF($B47&gt;0,MOD(COUNTIFS($B$5:$B48,J$3),2)=1,"")</f>
        <v>1</v>
      </c>
      <c r="K48" t="b">
        <f ca="1">IF($B47&gt;0,MOD(COUNTIFS($B$5:$B48,K$3),2)=1,"")</f>
        <v>0</v>
      </c>
      <c r="L48">
        <f ca="1">IF($B48&gt;0,COUNTIFS($B$5:$B48,6),"")</f>
        <v>9</v>
      </c>
      <c r="N48">
        <f ca="1">IF(COUNTIF($C$5:$E47,0)&gt;0,"",IF(B47=6,N47,IF(N47=3,N47-2,N47+1)))</f>
        <v>3</v>
      </c>
    </row>
    <row r="49" spans="1:14" x14ac:dyDescent="0.25">
      <c r="A49" t="str">
        <f t="shared" ca="1" si="0"/>
        <v>Anna</v>
      </c>
      <c r="B49">
        <f t="shared" ca="1" si="3"/>
        <v>4</v>
      </c>
      <c r="C49">
        <f ca="1">IF($N$5:$N49="","",C48+_xlfn.IFS($A49&lt;&gt;C$3,0,$B49=6,-1,INDEX($G48:$K48,1,$B49),1,TRUE,-1))</f>
        <v>5</v>
      </c>
      <c r="D49">
        <f ca="1">IF($N$5:$N49="","",D48+_xlfn.IFS($A49&lt;&gt;D$3,0,$B49=6,-1,INDEX($G48:$K48,1,$B49),1,TRUE,-1))</f>
        <v>7</v>
      </c>
      <c r="E49">
        <f ca="1">IF($N$5:$N49="","",E48+_xlfn.IFS($A49&lt;&gt;E$3,0,$B49=6,-1,INDEX($G48:$K48,1,$B49),1,TRUE,-1))</f>
        <v>1</v>
      </c>
      <c r="G49" t="b">
        <f ca="1">IF($B48&gt;0,MOD(COUNTIFS($B$5:$B49,G$3),2)=1,"")</f>
        <v>1</v>
      </c>
      <c r="H49" t="b">
        <f ca="1">IF($B48&gt;0,MOD(COUNTIFS($B$5:$B49,H$3),2)=1,"")</f>
        <v>1</v>
      </c>
      <c r="I49" t="b">
        <f ca="1">IF($B48&gt;0,MOD(COUNTIFS($B$5:$B49,I$3),2)=1,"")</f>
        <v>0</v>
      </c>
      <c r="J49" t="b">
        <f ca="1">IF($B48&gt;0,MOD(COUNTIFS($B$5:$B49,J$3),2)=1,"")</f>
        <v>0</v>
      </c>
      <c r="K49" t="b">
        <f ca="1">IF($B48&gt;0,MOD(COUNTIFS($B$5:$B49,K$3),2)=1,"")</f>
        <v>0</v>
      </c>
      <c r="L49">
        <f ca="1">IF($B49&gt;0,COUNTIFS($B$5:$B49,6),"")</f>
        <v>9</v>
      </c>
      <c r="N49">
        <f ca="1">IF(COUNTIF($C$5:$E48,0)&gt;0,"",IF(B48=6,N48,IF(N48=3,N48-2,N48+1)))</f>
        <v>1</v>
      </c>
    </row>
    <row r="50" spans="1:14" x14ac:dyDescent="0.25">
      <c r="A50" t="str">
        <f t="shared" ca="1" si="0"/>
        <v>Blanka</v>
      </c>
      <c r="B50">
        <f t="shared" ca="1" si="3"/>
        <v>2</v>
      </c>
      <c r="C50">
        <f ca="1">IF($N$5:$N50="","",C49+_xlfn.IFS($A50&lt;&gt;C$3,0,$B50=6,-1,INDEX($G49:$K49,1,$B50),1,TRUE,-1))</f>
        <v>5</v>
      </c>
      <c r="D50">
        <f ca="1">IF($N$5:$N50="","",D49+_xlfn.IFS($A50&lt;&gt;D$3,0,$B50=6,-1,INDEX($G49:$K49,1,$B50),1,TRUE,-1))</f>
        <v>8</v>
      </c>
      <c r="E50">
        <f ca="1">IF($N$5:$N50="","",E49+_xlfn.IFS($A50&lt;&gt;E$3,0,$B50=6,-1,INDEX($G49:$K49,1,$B50),1,TRUE,-1))</f>
        <v>1</v>
      </c>
      <c r="G50" t="b">
        <f ca="1">IF($B49&gt;0,MOD(COUNTIFS($B$5:$B50,G$3),2)=1,"")</f>
        <v>1</v>
      </c>
      <c r="H50" t="b">
        <f ca="1">IF($B49&gt;0,MOD(COUNTIFS($B$5:$B50,H$3),2)=1,"")</f>
        <v>0</v>
      </c>
      <c r="I50" t="b">
        <f ca="1">IF($B49&gt;0,MOD(COUNTIFS($B$5:$B50,I$3),2)=1,"")</f>
        <v>0</v>
      </c>
      <c r="J50" t="b">
        <f ca="1">IF($B49&gt;0,MOD(COUNTIFS($B$5:$B50,J$3),2)=1,"")</f>
        <v>0</v>
      </c>
      <c r="K50" t="b">
        <f ca="1">IF($B49&gt;0,MOD(COUNTIFS($B$5:$B50,K$3),2)=1,"")</f>
        <v>0</v>
      </c>
      <c r="L50">
        <f ca="1">IF($B50&gt;0,COUNTIFS($B$5:$B50,6),"")</f>
        <v>9</v>
      </c>
      <c r="N50">
        <f ca="1">IF(COUNTIF($C$5:$E49,0)&gt;0,"",IF(B49=6,N49,IF(N49=3,N49-2,N49+1)))</f>
        <v>2</v>
      </c>
    </row>
    <row r="51" spans="1:14" x14ac:dyDescent="0.25">
      <c r="A51" t="str">
        <f t="shared" ca="1" si="0"/>
        <v>Csaba</v>
      </c>
      <c r="B51">
        <f t="shared" ca="1" si="3"/>
        <v>6</v>
      </c>
      <c r="C51">
        <f ca="1">IF($N$5:$N51="","",C50+_xlfn.IFS($A51&lt;&gt;C$3,0,$B51=6,-1,INDEX($G50:$K50,1,$B51),1,TRUE,-1))</f>
        <v>5</v>
      </c>
      <c r="D51">
        <f ca="1">IF($N$5:$N51="","",D50+_xlfn.IFS($A51&lt;&gt;D$3,0,$B51=6,-1,INDEX($G50:$K50,1,$B51),1,TRUE,-1))</f>
        <v>8</v>
      </c>
      <c r="E51">
        <f ca="1">IF($N$5:$N51="","",E50+_xlfn.IFS($A51&lt;&gt;E$3,0,$B51=6,-1,INDEX($G50:$K50,1,$B51),1,TRUE,-1))</f>
        <v>0</v>
      </c>
      <c r="G51" t="b">
        <f ca="1">IF($B50&gt;0,MOD(COUNTIFS($B$5:$B51,G$3),2)=1,"")</f>
        <v>1</v>
      </c>
      <c r="H51" t="b">
        <f ca="1">IF($B50&gt;0,MOD(COUNTIFS($B$5:$B51,H$3),2)=1,"")</f>
        <v>0</v>
      </c>
      <c r="I51" t="b">
        <f ca="1">IF($B50&gt;0,MOD(COUNTIFS($B$5:$B51,I$3),2)=1,"")</f>
        <v>0</v>
      </c>
      <c r="J51" t="b">
        <f ca="1">IF($B50&gt;0,MOD(COUNTIFS($B$5:$B51,J$3),2)=1,"")</f>
        <v>0</v>
      </c>
      <c r="K51" t="b">
        <f ca="1">IF($B50&gt;0,MOD(COUNTIFS($B$5:$B51,K$3),2)=1,"")</f>
        <v>0</v>
      </c>
      <c r="L51">
        <f ca="1">IF($B51&gt;0,COUNTIFS($B$5:$B51,6),"")</f>
        <v>10</v>
      </c>
      <c r="N51">
        <f ca="1">IF(COUNTIF($C$5:$E50,0)&gt;0,"",IF(B50=6,N50,IF(N50=3,N50-2,N50+1)))</f>
        <v>3</v>
      </c>
    </row>
    <row r="52" spans="1:14" x14ac:dyDescent="0.25">
      <c r="A52" t="str">
        <f t="shared" ca="1" si="0"/>
        <v/>
      </c>
      <c r="B52">
        <f t="shared" ca="1" si="3"/>
        <v>5</v>
      </c>
      <c r="C52" t="str">
        <f ca="1">IF($N$5:$N52="","",C51+_xlfn.IFS($A52&lt;&gt;C$3,0,$B52=6,-1,INDEX($G51:$K51,1,$B52),1,TRUE,-1))</f>
        <v/>
      </c>
      <c r="D52" t="str">
        <f ca="1">IF($N$5:$N52="","",D51+_xlfn.IFS($A52&lt;&gt;D$3,0,$B52=6,-1,INDEX($G51:$K51,1,$B52),1,TRUE,-1))</f>
        <v/>
      </c>
      <c r="E52" t="str">
        <f ca="1">IF($N$5:$N52="","",E51+_xlfn.IFS($A52&lt;&gt;E$3,0,$B52=6,-1,INDEX($G51:$K51,1,$B52),1,TRUE,-1))</f>
        <v/>
      </c>
      <c r="G52" t="b">
        <f ca="1">IF($B51&gt;0,MOD(COUNTIFS($B$5:$B52,G$3),2)=1,"")</f>
        <v>1</v>
      </c>
      <c r="H52" t="b">
        <f ca="1">IF($B51&gt;0,MOD(COUNTIFS($B$5:$B52,H$3),2)=1,"")</f>
        <v>0</v>
      </c>
      <c r="I52" t="b">
        <f ca="1">IF($B51&gt;0,MOD(COUNTIFS($B$5:$B52,I$3),2)=1,"")</f>
        <v>0</v>
      </c>
      <c r="J52" t="b">
        <f ca="1">IF($B51&gt;0,MOD(COUNTIFS($B$5:$B52,J$3),2)=1,"")</f>
        <v>0</v>
      </c>
      <c r="K52" t="b">
        <f ca="1">IF($B51&gt;0,MOD(COUNTIFS($B$5:$B52,K$3),2)=1,"")</f>
        <v>1</v>
      </c>
      <c r="L52">
        <f ca="1">IF($B52&gt;0,COUNTIFS($B$5:$B52,6),"")</f>
        <v>10</v>
      </c>
      <c r="N52" t="str">
        <f ca="1">IF(COUNTIF($C$5:$E51,0)&gt;0,"",IF(B51=6,N51,IF(N51=3,N51-2,N51+1)))</f>
        <v/>
      </c>
    </row>
    <row r="53" spans="1:14" x14ac:dyDescent="0.25">
      <c r="A53" t="str">
        <f t="shared" ca="1" si="0"/>
        <v/>
      </c>
      <c r="B53">
        <f t="shared" ca="1" si="3"/>
        <v>2</v>
      </c>
      <c r="C53" t="str">
        <f ca="1">IF($N$5:$N53="","",C52+_xlfn.IFS($A53&lt;&gt;C$3,0,$B53=6,-1,INDEX($G52:$K52,1,$B53),1,TRUE,-1))</f>
        <v/>
      </c>
      <c r="D53" t="str">
        <f ca="1">IF($N$5:$N53="","",D52+_xlfn.IFS($A53&lt;&gt;D$3,0,$B53=6,-1,INDEX($G52:$K52,1,$B53),1,TRUE,-1))</f>
        <v/>
      </c>
      <c r="E53" t="str">
        <f ca="1">IF($N$5:$N53="","",E52+_xlfn.IFS($A53&lt;&gt;E$3,0,$B53=6,-1,INDEX($G52:$K52,1,$B53),1,TRUE,-1))</f>
        <v/>
      </c>
      <c r="G53" t="b">
        <f ca="1">IF($B52&gt;0,MOD(COUNTIFS($B$5:$B53,G$3),2)=1,"")</f>
        <v>1</v>
      </c>
      <c r="H53" t="b">
        <f ca="1">IF($B52&gt;0,MOD(COUNTIFS($B$5:$B53,H$3),2)=1,"")</f>
        <v>1</v>
      </c>
      <c r="I53" t="b">
        <f ca="1">IF($B52&gt;0,MOD(COUNTIFS($B$5:$B53,I$3),2)=1,"")</f>
        <v>0</v>
      </c>
      <c r="J53" t="b">
        <f ca="1">IF($B52&gt;0,MOD(COUNTIFS($B$5:$B53,J$3),2)=1,"")</f>
        <v>0</v>
      </c>
      <c r="K53" t="b">
        <f ca="1">IF($B52&gt;0,MOD(COUNTIFS($B$5:$B53,K$3),2)=1,"")</f>
        <v>1</v>
      </c>
      <c r="L53">
        <f ca="1">IF($B53&gt;0,COUNTIFS($B$5:$B53,6),"")</f>
        <v>10</v>
      </c>
      <c r="N53" t="str">
        <f ca="1">IF(COUNTIF($C$5:$E52,0)&gt;0,"",IF(B52=6,N52,IF(N52=3,N52-2,N52+1)))</f>
        <v/>
      </c>
    </row>
    <row r="54" spans="1:14" x14ac:dyDescent="0.25">
      <c r="A54" t="str">
        <f t="shared" ca="1" si="0"/>
        <v/>
      </c>
      <c r="B54">
        <f t="shared" ca="1" si="3"/>
        <v>6</v>
      </c>
      <c r="C54" t="str">
        <f ca="1">IF($N$5:$N54="","",C53+_xlfn.IFS($A54&lt;&gt;C$3,0,$B54=6,-1,INDEX($G53:$K53,1,$B54),1,TRUE,-1))</f>
        <v/>
      </c>
      <c r="D54" t="str">
        <f ca="1">IF($N$5:$N54="","",D53+_xlfn.IFS($A54&lt;&gt;D$3,0,$B54=6,-1,INDEX($G53:$K53,1,$B54),1,TRUE,-1))</f>
        <v/>
      </c>
      <c r="E54" t="str">
        <f ca="1">IF($N$5:$N54="","",E53+_xlfn.IFS($A54&lt;&gt;E$3,0,$B54=6,-1,INDEX($G53:$K53,1,$B54),1,TRUE,-1))</f>
        <v/>
      </c>
      <c r="G54" t="b">
        <f ca="1">IF($B53&gt;0,MOD(COUNTIFS($B$5:$B54,G$3),2)=1,"")</f>
        <v>1</v>
      </c>
      <c r="H54" t="b">
        <f ca="1">IF($B53&gt;0,MOD(COUNTIFS($B$5:$B54,H$3),2)=1,"")</f>
        <v>1</v>
      </c>
      <c r="I54" t="b">
        <f ca="1">IF($B53&gt;0,MOD(COUNTIFS($B$5:$B54,I$3),2)=1,"")</f>
        <v>0</v>
      </c>
      <c r="J54" t="b">
        <f ca="1">IF($B53&gt;0,MOD(COUNTIFS($B$5:$B54,J$3),2)=1,"")</f>
        <v>0</v>
      </c>
      <c r="K54" t="b">
        <f ca="1">IF($B53&gt;0,MOD(COUNTIFS($B$5:$B54,K$3),2)=1,"")</f>
        <v>1</v>
      </c>
      <c r="L54">
        <f ca="1">IF($B54&gt;0,COUNTIFS($B$5:$B54,6),"")</f>
        <v>11</v>
      </c>
      <c r="N54" t="str">
        <f ca="1">IF(COUNTIF($C$5:$E53,0)&gt;0,"",IF(B53=6,N53,IF(N53=3,N53-2,N53+1)))</f>
        <v/>
      </c>
    </row>
    <row r="55" spans="1:14" x14ac:dyDescent="0.25">
      <c r="A55" t="str">
        <f t="shared" ca="1" si="0"/>
        <v/>
      </c>
      <c r="B55">
        <f t="shared" ca="1" si="3"/>
        <v>6</v>
      </c>
      <c r="C55" t="str">
        <f ca="1">IF($N$5:$N55="","",C54+_xlfn.IFS($A55&lt;&gt;C$3,0,$B55=6,-1,INDEX($G54:$K54,1,$B55),1,TRUE,-1))</f>
        <v/>
      </c>
      <c r="D55" t="str">
        <f ca="1">IF($N$5:$N55="","",D54+_xlfn.IFS($A55&lt;&gt;D$3,0,$B55=6,-1,INDEX($G54:$K54,1,$B55),1,TRUE,-1))</f>
        <v/>
      </c>
      <c r="E55" t="str">
        <f ca="1">IF($N$5:$N55="","",E54+_xlfn.IFS($A55&lt;&gt;E$3,0,$B55=6,-1,INDEX($G54:$K54,1,$B55),1,TRUE,-1))</f>
        <v/>
      </c>
      <c r="G55" t="b">
        <f ca="1">IF($B54&gt;0,MOD(COUNTIFS($B$5:$B55,G$3),2)=1,"")</f>
        <v>1</v>
      </c>
      <c r="H55" t="b">
        <f ca="1">IF($B54&gt;0,MOD(COUNTIFS($B$5:$B55,H$3),2)=1,"")</f>
        <v>1</v>
      </c>
      <c r="I55" t="b">
        <f ca="1">IF($B54&gt;0,MOD(COUNTIFS($B$5:$B55,I$3),2)=1,"")</f>
        <v>0</v>
      </c>
      <c r="J55" t="b">
        <f ca="1">IF($B54&gt;0,MOD(COUNTIFS($B$5:$B55,J$3),2)=1,"")</f>
        <v>0</v>
      </c>
      <c r="K55" t="b">
        <f ca="1">IF($B54&gt;0,MOD(COUNTIFS($B$5:$B55,K$3),2)=1,"")</f>
        <v>1</v>
      </c>
      <c r="L55">
        <f ca="1">IF($B55&gt;0,COUNTIFS($B$5:$B55,6),"")</f>
        <v>12</v>
      </c>
      <c r="N55" t="str">
        <f ca="1">IF(COUNTIF($C$5:$E54,0)&gt;0,"",IF(B54=6,N54,IF(N54=3,N54-2,N54+1)))</f>
        <v/>
      </c>
    </row>
    <row r="56" spans="1:14" x14ac:dyDescent="0.25">
      <c r="A56" t="str">
        <f t="shared" ca="1" si="0"/>
        <v/>
      </c>
      <c r="B56">
        <f t="shared" ca="1" si="3"/>
        <v>5</v>
      </c>
      <c r="C56" t="str">
        <f ca="1">IF($N$5:$N56="","",C55+_xlfn.IFS($A56&lt;&gt;C$3,0,$B56=6,-1,INDEX($G55:$K55,1,$B56),1,TRUE,-1))</f>
        <v/>
      </c>
      <c r="D56" t="str">
        <f ca="1">IF($N$5:$N56="","",D55+_xlfn.IFS($A56&lt;&gt;D$3,0,$B56=6,-1,INDEX($G55:$K55,1,$B56),1,TRUE,-1))</f>
        <v/>
      </c>
      <c r="E56" t="str">
        <f ca="1">IF($N$5:$N56="","",E55+_xlfn.IFS($A56&lt;&gt;E$3,0,$B56=6,-1,INDEX($G55:$K55,1,$B56),1,TRUE,-1))</f>
        <v/>
      </c>
      <c r="G56" t="b">
        <f ca="1">IF($B55&gt;0,MOD(COUNTIFS($B$5:$B56,G$3),2)=1,"")</f>
        <v>1</v>
      </c>
      <c r="H56" t="b">
        <f ca="1">IF($B55&gt;0,MOD(COUNTIFS($B$5:$B56,H$3),2)=1,"")</f>
        <v>1</v>
      </c>
      <c r="I56" t="b">
        <f ca="1">IF($B55&gt;0,MOD(COUNTIFS($B$5:$B56,I$3),2)=1,"")</f>
        <v>0</v>
      </c>
      <c r="J56" t="b">
        <f ca="1">IF($B55&gt;0,MOD(COUNTIFS($B$5:$B56,J$3),2)=1,"")</f>
        <v>0</v>
      </c>
      <c r="K56" t="b">
        <f ca="1">IF($B55&gt;0,MOD(COUNTIFS($B$5:$B56,K$3),2)=1,"")</f>
        <v>0</v>
      </c>
      <c r="L56">
        <f ca="1">IF($B56&gt;0,COUNTIFS($B$5:$B56,6),"")</f>
        <v>12</v>
      </c>
      <c r="N56" t="str">
        <f ca="1">IF(COUNTIF($C$5:$E55,0)&gt;0,"",IF(B55=6,N55,IF(N55=3,N55-2,N55+1)))</f>
        <v/>
      </c>
    </row>
    <row r="57" spans="1:14" x14ac:dyDescent="0.25">
      <c r="A57" t="str">
        <f t="shared" ca="1" si="0"/>
        <v/>
      </c>
      <c r="B57">
        <f t="shared" ca="1" si="3"/>
        <v>5</v>
      </c>
      <c r="C57" t="str">
        <f ca="1">IF($N$5:$N57="","",C56+_xlfn.IFS($A57&lt;&gt;C$3,0,$B57=6,-1,INDEX($G56:$K56,1,$B57),1,TRUE,-1))</f>
        <v/>
      </c>
      <c r="D57" t="str">
        <f ca="1">IF($N$5:$N57="","",D56+_xlfn.IFS($A57&lt;&gt;D$3,0,$B57=6,-1,INDEX($G56:$K56,1,$B57),1,TRUE,-1))</f>
        <v/>
      </c>
      <c r="E57" t="str">
        <f ca="1">IF($N$5:$N57="","",E56+_xlfn.IFS($A57&lt;&gt;E$3,0,$B57=6,-1,INDEX($G56:$K56,1,$B57),1,TRUE,-1))</f>
        <v/>
      </c>
      <c r="G57" t="b">
        <f ca="1">IF($B56&gt;0,MOD(COUNTIFS($B$5:$B57,G$3),2)=1,"")</f>
        <v>1</v>
      </c>
      <c r="H57" t="b">
        <f ca="1">IF($B56&gt;0,MOD(COUNTIFS($B$5:$B57,H$3),2)=1,"")</f>
        <v>1</v>
      </c>
      <c r="I57" t="b">
        <f ca="1">IF($B56&gt;0,MOD(COUNTIFS($B$5:$B57,I$3),2)=1,"")</f>
        <v>0</v>
      </c>
      <c r="J57" t="b">
        <f ca="1">IF($B56&gt;0,MOD(COUNTIFS($B$5:$B57,J$3),2)=1,"")</f>
        <v>0</v>
      </c>
      <c r="K57" t="b">
        <f ca="1">IF($B56&gt;0,MOD(COUNTIFS($B$5:$B57,K$3),2)=1,"")</f>
        <v>1</v>
      </c>
      <c r="L57">
        <f ca="1">IF($B57&gt;0,COUNTIFS($B$5:$B57,6),"")</f>
        <v>12</v>
      </c>
      <c r="N57" t="str">
        <f ca="1">IF(COUNTIF($C$5:$E56,0)&gt;0,"",IF(B56=6,N56,IF(N56=3,N56-2,N56+1)))</f>
        <v/>
      </c>
    </row>
    <row r="58" spans="1:14" x14ac:dyDescent="0.25">
      <c r="A58" t="str">
        <f t="shared" ca="1" si="0"/>
        <v/>
      </c>
      <c r="B58">
        <f t="shared" ca="1" si="3"/>
        <v>4</v>
      </c>
      <c r="C58" t="str">
        <f ca="1">IF($N$5:$N58="","",C57+_xlfn.IFS($A58&lt;&gt;C$3,0,$B58=6,-1,INDEX($G57:$K57,1,$B58),1,TRUE,-1))</f>
        <v/>
      </c>
      <c r="D58" t="str">
        <f ca="1">IF($N$5:$N58="","",D57+_xlfn.IFS($A58&lt;&gt;D$3,0,$B58=6,-1,INDEX($G57:$K57,1,$B58),1,TRUE,-1))</f>
        <v/>
      </c>
      <c r="E58" t="str">
        <f ca="1">IF($N$5:$N58="","",E57+_xlfn.IFS($A58&lt;&gt;E$3,0,$B58=6,-1,INDEX($G57:$K57,1,$B58),1,TRUE,-1))</f>
        <v/>
      </c>
      <c r="G58" t="b">
        <f ca="1">IF($B57&gt;0,MOD(COUNTIFS($B$5:$B58,G$3),2)=1,"")</f>
        <v>1</v>
      </c>
      <c r="H58" t="b">
        <f ca="1">IF($B57&gt;0,MOD(COUNTIFS($B$5:$B58,H$3),2)=1,"")</f>
        <v>1</v>
      </c>
      <c r="I58" t="b">
        <f ca="1">IF($B57&gt;0,MOD(COUNTIFS($B$5:$B58,I$3),2)=1,"")</f>
        <v>0</v>
      </c>
      <c r="J58" t="b">
        <f ca="1">IF($B57&gt;0,MOD(COUNTIFS($B$5:$B58,J$3),2)=1,"")</f>
        <v>1</v>
      </c>
      <c r="K58" t="b">
        <f ca="1">IF($B57&gt;0,MOD(COUNTIFS($B$5:$B58,K$3),2)=1,"")</f>
        <v>1</v>
      </c>
      <c r="L58">
        <f ca="1">IF($B58&gt;0,COUNTIFS($B$5:$B58,6),"")</f>
        <v>12</v>
      </c>
      <c r="N58" t="str">
        <f ca="1">IF(COUNTIF($C$5:$E57,0)&gt;0,"",IF(B57=6,N57,IF(N57=3,N57-2,N57+1)))</f>
        <v/>
      </c>
    </row>
    <row r="59" spans="1:14" x14ac:dyDescent="0.25">
      <c r="A59" t="str">
        <f t="shared" ca="1" si="0"/>
        <v/>
      </c>
      <c r="B59">
        <f t="shared" ca="1" si="3"/>
        <v>3</v>
      </c>
      <c r="C59" t="str">
        <f ca="1">IF($N$5:$N59="","",C58+_xlfn.IFS($A59&lt;&gt;C$3,0,$B59=6,-1,INDEX($G58:$K58,1,$B59),1,TRUE,-1))</f>
        <v/>
      </c>
      <c r="D59" t="str">
        <f ca="1">IF($N$5:$N59="","",D58+_xlfn.IFS($A59&lt;&gt;D$3,0,$B59=6,-1,INDEX($G58:$K58,1,$B59),1,TRUE,-1))</f>
        <v/>
      </c>
      <c r="E59" t="str">
        <f ca="1">IF($N$5:$N59="","",E58+_xlfn.IFS($A59&lt;&gt;E$3,0,$B59=6,-1,INDEX($G58:$K58,1,$B59),1,TRUE,-1))</f>
        <v/>
      </c>
      <c r="G59" t="b">
        <f ca="1">IF($B58&gt;0,MOD(COUNTIFS($B$5:$B59,G$3),2)=1,"")</f>
        <v>1</v>
      </c>
      <c r="H59" t="b">
        <f ca="1">IF($B58&gt;0,MOD(COUNTIFS($B$5:$B59,H$3),2)=1,"")</f>
        <v>1</v>
      </c>
      <c r="I59" t="b">
        <f ca="1">IF($B58&gt;0,MOD(COUNTIFS($B$5:$B59,I$3),2)=1,"")</f>
        <v>1</v>
      </c>
      <c r="J59" t="b">
        <f ca="1">IF($B58&gt;0,MOD(COUNTIFS($B$5:$B59,J$3),2)=1,"")</f>
        <v>1</v>
      </c>
      <c r="K59" t="b">
        <f ca="1">IF($B58&gt;0,MOD(COUNTIFS($B$5:$B59,K$3),2)=1,"")</f>
        <v>1</v>
      </c>
      <c r="L59">
        <f ca="1">IF($B59&gt;0,COUNTIFS($B$5:$B59,6),"")</f>
        <v>12</v>
      </c>
      <c r="N59" t="str">
        <f ca="1">IF(COUNTIF($C$5:$E58,0)&gt;0,"",IF(B58=6,N58,IF(N58=3,N58-2,N58+1)))</f>
        <v/>
      </c>
    </row>
    <row r="60" spans="1:14" x14ac:dyDescent="0.25">
      <c r="A60" t="str">
        <f t="shared" ca="1" si="0"/>
        <v/>
      </c>
      <c r="B60">
        <f t="shared" ca="1" si="3"/>
        <v>1</v>
      </c>
      <c r="C60" t="str">
        <f ca="1">IF($N$5:$N60="","",C59+_xlfn.IFS($A60&lt;&gt;C$3,0,$B60=6,-1,INDEX($G59:$K59,1,$B60),1,TRUE,-1))</f>
        <v/>
      </c>
      <c r="D60" t="str">
        <f ca="1">IF($N$5:$N60="","",D59+_xlfn.IFS($A60&lt;&gt;D$3,0,$B60=6,-1,INDEX($G59:$K59,1,$B60),1,TRUE,-1))</f>
        <v/>
      </c>
      <c r="E60" t="str">
        <f ca="1">IF($N$5:$N60="","",E59+_xlfn.IFS($A60&lt;&gt;E$3,0,$B60=6,-1,INDEX($G59:$K59,1,$B60),1,TRUE,-1))</f>
        <v/>
      </c>
      <c r="G60" t="b">
        <f ca="1">IF($B59&gt;0,MOD(COUNTIFS($B$5:$B60,G$3),2)=1,"")</f>
        <v>0</v>
      </c>
      <c r="H60" t="b">
        <f ca="1">IF($B59&gt;0,MOD(COUNTIFS($B$5:$B60,H$3),2)=1,"")</f>
        <v>1</v>
      </c>
      <c r="I60" t="b">
        <f ca="1">IF($B59&gt;0,MOD(COUNTIFS($B$5:$B60,I$3),2)=1,"")</f>
        <v>1</v>
      </c>
      <c r="J60" t="b">
        <f ca="1">IF($B59&gt;0,MOD(COUNTIFS($B$5:$B60,J$3),2)=1,"")</f>
        <v>1</v>
      </c>
      <c r="K60" t="b">
        <f ca="1">IF($B59&gt;0,MOD(COUNTIFS($B$5:$B60,K$3),2)=1,"")</f>
        <v>1</v>
      </c>
      <c r="L60">
        <f ca="1">IF($B60&gt;0,COUNTIFS($B$5:$B60,6),"")</f>
        <v>12</v>
      </c>
      <c r="N60" t="str">
        <f ca="1">IF(COUNTIF($C$5:$E59,0)&gt;0,"",IF(B59=6,N59,IF(N59=3,N59-2,N59+1)))</f>
        <v/>
      </c>
    </row>
    <row r="61" spans="1:14" x14ac:dyDescent="0.25">
      <c r="A61" t="str">
        <f t="shared" ca="1" si="0"/>
        <v/>
      </c>
      <c r="B61">
        <f t="shared" ca="1" si="3"/>
        <v>5</v>
      </c>
      <c r="C61" t="str">
        <f ca="1">IF($N$5:$N61="","",C60+_xlfn.IFS($A61&lt;&gt;C$3,0,$B61=6,-1,INDEX($G60:$K60,1,$B61),1,TRUE,-1))</f>
        <v/>
      </c>
      <c r="D61" t="str">
        <f ca="1">IF($N$5:$N61="","",D60+_xlfn.IFS($A61&lt;&gt;D$3,0,$B61=6,-1,INDEX($G60:$K60,1,$B61),1,TRUE,-1))</f>
        <v/>
      </c>
      <c r="E61" t="str">
        <f ca="1">IF($N$5:$N61="","",E60+_xlfn.IFS($A61&lt;&gt;E$3,0,$B61=6,-1,INDEX($G60:$K60,1,$B61),1,TRUE,-1))</f>
        <v/>
      </c>
      <c r="G61" t="b">
        <f ca="1">IF($B60&gt;0,MOD(COUNTIFS($B$5:$B61,G$3),2)=1,"")</f>
        <v>0</v>
      </c>
      <c r="H61" t="b">
        <f ca="1">IF($B60&gt;0,MOD(COUNTIFS($B$5:$B61,H$3),2)=1,"")</f>
        <v>1</v>
      </c>
      <c r="I61" t="b">
        <f ca="1">IF($B60&gt;0,MOD(COUNTIFS($B$5:$B61,I$3),2)=1,"")</f>
        <v>1</v>
      </c>
      <c r="J61" t="b">
        <f ca="1">IF($B60&gt;0,MOD(COUNTIFS($B$5:$B61,J$3),2)=1,"")</f>
        <v>1</v>
      </c>
      <c r="K61" t="b">
        <f ca="1">IF($B60&gt;0,MOD(COUNTIFS($B$5:$B61,K$3),2)=1,"")</f>
        <v>0</v>
      </c>
      <c r="L61">
        <f ca="1">IF($B61&gt;0,COUNTIFS($B$5:$B61,6),"")</f>
        <v>12</v>
      </c>
      <c r="N61" t="str">
        <f ca="1">IF(COUNTIF($C$5:$E60,0)&gt;0,"",IF(B60=6,N60,IF(N60=3,N60-2,N60+1)))</f>
        <v/>
      </c>
    </row>
    <row r="62" spans="1:14" x14ac:dyDescent="0.25">
      <c r="A62" t="str">
        <f t="shared" ca="1" si="0"/>
        <v/>
      </c>
      <c r="B62">
        <f t="shared" ca="1" si="3"/>
        <v>5</v>
      </c>
      <c r="C62" t="str">
        <f ca="1">IF($N$5:$N62="","",C61+_xlfn.IFS($A62&lt;&gt;C$3,0,$B62=6,-1,INDEX($G61:$K61,1,$B62),1,TRUE,-1))</f>
        <v/>
      </c>
      <c r="D62" t="str">
        <f ca="1">IF($N$5:$N62="","",D61+_xlfn.IFS($A62&lt;&gt;D$3,0,$B62=6,-1,INDEX($G61:$K61,1,$B62),1,TRUE,-1))</f>
        <v/>
      </c>
      <c r="E62" t="str">
        <f ca="1">IF($N$5:$N62="","",E61+_xlfn.IFS($A62&lt;&gt;E$3,0,$B62=6,-1,INDEX($G61:$K61,1,$B62),1,TRUE,-1))</f>
        <v/>
      </c>
      <c r="G62" t="b">
        <f ca="1">IF($B61&gt;0,MOD(COUNTIFS($B$5:$B62,G$3),2)=1,"")</f>
        <v>0</v>
      </c>
      <c r="H62" t="b">
        <f ca="1">IF($B61&gt;0,MOD(COUNTIFS($B$5:$B62,H$3),2)=1,"")</f>
        <v>1</v>
      </c>
      <c r="I62" t="b">
        <f ca="1">IF($B61&gt;0,MOD(COUNTIFS($B$5:$B62,I$3),2)=1,"")</f>
        <v>1</v>
      </c>
      <c r="J62" t="b">
        <f ca="1">IF($B61&gt;0,MOD(COUNTIFS($B$5:$B62,J$3),2)=1,"")</f>
        <v>1</v>
      </c>
      <c r="K62" t="b">
        <f ca="1">IF($B61&gt;0,MOD(COUNTIFS($B$5:$B62,K$3),2)=1,"")</f>
        <v>1</v>
      </c>
      <c r="L62">
        <f ca="1">IF($B62&gt;0,COUNTIFS($B$5:$B62,6),"")</f>
        <v>12</v>
      </c>
      <c r="N62" t="str">
        <f ca="1">IF(COUNTIF($C$5:$E61,0)&gt;0,"",IF(B61=6,N61,IF(N61=3,N61-2,N61+1)))</f>
        <v/>
      </c>
    </row>
    <row r="63" spans="1:14" x14ac:dyDescent="0.25">
      <c r="A63" t="str">
        <f t="shared" ca="1" si="0"/>
        <v/>
      </c>
      <c r="B63">
        <f t="shared" ca="1" si="3"/>
        <v>3</v>
      </c>
      <c r="C63" t="str">
        <f ca="1">IF($N$5:$N63="","",C62+_xlfn.IFS($A63&lt;&gt;C$3,0,$B63=6,-1,INDEX($G62:$K62,1,$B63),1,TRUE,-1))</f>
        <v/>
      </c>
      <c r="D63" t="str">
        <f ca="1">IF($N$5:$N63="","",D62+_xlfn.IFS($A63&lt;&gt;D$3,0,$B63=6,-1,INDEX($G62:$K62,1,$B63),1,TRUE,-1))</f>
        <v/>
      </c>
      <c r="E63" t="str">
        <f ca="1">IF($N$5:$N63="","",E62+_xlfn.IFS($A63&lt;&gt;E$3,0,$B63=6,-1,INDEX($G62:$K62,1,$B63),1,TRUE,-1))</f>
        <v/>
      </c>
      <c r="G63" t="b">
        <f ca="1">IF($B62&gt;0,MOD(COUNTIFS($B$5:$B63,G$3),2)=1,"")</f>
        <v>0</v>
      </c>
      <c r="H63" t="b">
        <f ca="1">IF($B62&gt;0,MOD(COUNTIFS($B$5:$B63,H$3),2)=1,"")</f>
        <v>1</v>
      </c>
      <c r="I63" t="b">
        <f ca="1">IF($B62&gt;0,MOD(COUNTIFS($B$5:$B63,I$3),2)=1,"")</f>
        <v>0</v>
      </c>
      <c r="J63" t="b">
        <f ca="1">IF($B62&gt;0,MOD(COUNTIFS($B$5:$B63,J$3),2)=1,"")</f>
        <v>1</v>
      </c>
      <c r="K63" t="b">
        <f ca="1">IF($B62&gt;0,MOD(COUNTIFS($B$5:$B63,K$3),2)=1,"")</f>
        <v>1</v>
      </c>
      <c r="L63">
        <f ca="1">IF($B63&gt;0,COUNTIFS($B$5:$B63,6),"")</f>
        <v>12</v>
      </c>
      <c r="N63" t="str">
        <f ca="1">IF(COUNTIF($C$5:$E62,0)&gt;0,"",IF(B62=6,N62,IF(N62=3,N62-2,N62+1)))</f>
        <v/>
      </c>
    </row>
    <row r="64" spans="1:14" x14ac:dyDescent="0.25">
      <c r="A64" t="str">
        <f t="shared" ca="1" si="0"/>
        <v/>
      </c>
      <c r="B64">
        <f t="shared" ca="1" si="3"/>
        <v>3</v>
      </c>
      <c r="C64" t="str">
        <f ca="1">IF($N$5:$N64="","",C63+_xlfn.IFS($A64&lt;&gt;C$3,0,$B64=6,-1,INDEX($G63:$K63,1,$B64),1,TRUE,-1))</f>
        <v/>
      </c>
      <c r="D64" t="str">
        <f ca="1">IF($N$5:$N64="","",D63+_xlfn.IFS($A64&lt;&gt;D$3,0,$B64=6,-1,INDEX($G63:$K63,1,$B64),1,TRUE,-1))</f>
        <v/>
      </c>
      <c r="E64" t="str">
        <f ca="1">IF($N$5:$N64="","",E63+_xlfn.IFS($A64&lt;&gt;E$3,0,$B64=6,-1,INDEX($G63:$K63,1,$B64),1,TRUE,-1))</f>
        <v/>
      </c>
      <c r="G64" t="b">
        <f ca="1">IF($B63&gt;0,MOD(COUNTIFS($B$5:$B64,G$3),2)=1,"")</f>
        <v>0</v>
      </c>
      <c r="H64" t="b">
        <f ca="1">IF($B63&gt;0,MOD(COUNTIFS($B$5:$B64,H$3),2)=1,"")</f>
        <v>1</v>
      </c>
      <c r="I64" t="b">
        <f ca="1">IF($B63&gt;0,MOD(COUNTIFS($B$5:$B64,I$3),2)=1,"")</f>
        <v>1</v>
      </c>
      <c r="J64" t="b">
        <f ca="1">IF($B63&gt;0,MOD(COUNTIFS($B$5:$B64,J$3),2)=1,"")</f>
        <v>1</v>
      </c>
      <c r="K64" t="b">
        <f ca="1">IF($B63&gt;0,MOD(COUNTIFS($B$5:$B64,K$3),2)=1,"")</f>
        <v>1</v>
      </c>
      <c r="L64">
        <f ca="1">IF($B64&gt;0,COUNTIFS($B$5:$B64,6),"")</f>
        <v>12</v>
      </c>
      <c r="N64" t="str">
        <f ca="1">IF(COUNTIF($C$5:$E63,0)&gt;0,"",IF(B63=6,N63,IF(N63=3,N63-2,N63+1)))</f>
        <v/>
      </c>
    </row>
    <row r="65" spans="1:14" x14ac:dyDescent="0.25">
      <c r="A65" t="str">
        <f t="shared" ca="1" si="0"/>
        <v/>
      </c>
      <c r="B65">
        <f t="shared" ca="1" si="3"/>
        <v>4</v>
      </c>
      <c r="C65" t="str">
        <f ca="1">IF($N$5:$N65="","",C64+_xlfn.IFS($A65&lt;&gt;C$3,0,$B65=6,-1,INDEX($G64:$K64,1,$B65),1,TRUE,-1))</f>
        <v/>
      </c>
      <c r="D65" t="str">
        <f ca="1">IF($N$5:$N65="","",D64+_xlfn.IFS($A65&lt;&gt;D$3,0,$B65=6,-1,INDEX($G64:$K64,1,$B65),1,TRUE,-1))</f>
        <v/>
      </c>
      <c r="E65" t="str">
        <f ca="1">IF($N$5:$N65="","",E64+_xlfn.IFS($A65&lt;&gt;E$3,0,$B65=6,-1,INDEX($G64:$K64,1,$B65),1,TRUE,-1))</f>
        <v/>
      </c>
      <c r="G65" t="b">
        <f ca="1">IF($B64&gt;0,MOD(COUNTIFS($B$5:$B65,G$3),2)=1,"")</f>
        <v>0</v>
      </c>
      <c r="H65" t="b">
        <f ca="1">IF($B64&gt;0,MOD(COUNTIFS($B$5:$B65,H$3),2)=1,"")</f>
        <v>1</v>
      </c>
      <c r="I65" t="b">
        <f ca="1">IF($B64&gt;0,MOD(COUNTIFS($B$5:$B65,I$3),2)=1,"")</f>
        <v>1</v>
      </c>
      <c r="J65" t="b">
        <f ca="1">IF($B64&gt;0,MOD(COUNTIFS($B$5:$B65,J$3),2)=1,"")</f>
        <v>0</v>
      </c>
      <c r="K65" t="b">
        <f ca="1">IF($B64&gt;0,MOD(COUNTIFS($B$5:$B65,K$3),2)=1,"")</f>
        <v>1</v>
      </c>
      <c r="L65">
        <f ca="1">IF($B65&gt;0,COUNTIFS($B$5:$B65,6),"")</f>
        <v>12</v>
      </c>
      <c r="N65" t="str">
        <f ca="1">IF(COUNTIF($C$5:$E64,0)&gt;0,"",IF(B64=6,N64,IF(N64=3,N64-2,N64+1)))</f>
        <v/>
      </c>
    </row>
    <row r="66" spans="1:14" x14ac:dyDescent="0.25">
      <c r="A66" t="str">
        <f t="shared" ca="1" si="0"/>
        <v/>
      </c>
      <c r="B66">
        <f t="shared" ca="1" si="3"/>
        <v>3</v>
      </c>
      <c r="C66" t="str">
        <f ca="1">IF($N$5:$N66="","",C65+_xlfn.IFS($A66&lt;&gt;C$3,0,$B66=6,-1,INDEX($G65:$K65,1,$B66),1,TRUE,-1))</f>
        <v/>
      </c>
      <c r="D66" t="str">
        <f ca="1">IF($N$5:$N66="","",D65+_xlfn.IFS($A66&lt;&gt;D$3,0,$B66=6,-1,INDEX($G65:$K65,1,$B66),1,TRUE,-1))</f>
        <v/>
      </c>
      <c r="E66" t="str">
        <f ca="1">IF($N$5:$N66="","",E65+_xlfn.IFS($A66&lt;&gt;E$3,0,$B66=6,-1,INDEX($G65:$K65,1,$B66),1,TRUE,-1))</f>
        <v/>
      </c>
      <c r="G66" t="b">
        <f ca="1">IF($B65&gt;0,MOD(COUNTIFS($B$5:$B66,G$3),2)=1,"")</f>
        <v>0</v>
      </c>
      <c r="H66" t="b">
        <f ca="1">IF($B65&gt;0,MOD(COUNTIFS($B$5:$B66,H$3),2)=1,"")</f>
        <v>1</v>
      </c>
      <c r="I66" t="b">
        <f ca="1">IF($B65&gt;0,MOD(COUNTIFS($B$5:$B66,I$3),2)=1,"")</f>
        <v>0</v>
      </c>
      <c r="J66" t="b">
        <f ca="1">IF($B65&gt;0,MOD(COUNTIFS($B$5:$B66,J$3),2)=1,"")</f>
        <v>0</v>
      </c>
      <c r="K66" t="b">
        <f ca="1">IF($B65&gt;0,MOD(COUNTIFS($B$5:$B66,K$3),2)=1,"")</f>
        <v>1</v>
      </c>
      <c r="L66">
        <f ca="1">IF($B66&gt;0,COUNTIFS($B$5:$B66,6),"")</f>
        <v>12</v>
      </c>
      <c r="N66" t="str">
        <f ca="1">IF(COUNTIF($C$5:$E65,0)&gt;0,"",IF(B65=6,N65,IF(N65=3,N65-2,N65+1)))</f>
        <v/>
      </c>
    </row>
    <row r="67" spans="1:14" x14ac:dyDescent="0.25">
      <c r="A67" t="str">
        <f t="shared" ca="1" si="0"/>
        <v/>
      </c>
      <c r="B67">
        <f t="shared" ca="1" si="3"/>
        <v>6</v>
      </c>
      <c r="C67" t="str">
        <f ca="1">IF($N$5:$N67="","",C66+_xlfn.IFS($A67&lt;&gt;C$3,0,$B67=6,-1,INDEX($G66:$K66,1,$B67),1,TRUE,-1))</f>
        <v/>
      </c>
      <c r="D67" t="str">
        <f ca="1">IF($N$5:$N67="","",D66+_xlfn.IFS($A67&lt;&gt;D$3,0,$B67=6,-1,INDEX($G66:$K66,1,$B67),1,TRUE,-1))</f>
        <v/>
      </c>
      <c r="E67" t="str">
        <f ca="1">IF($N$5:$N67="","",E66+_xlfn.IFS($A67&lt;&gt;E$3,0,$B67=6,-1,INDEX($G66:$K66,1,$B67),1,TRUE,-1))</f>
        <v/>
      </c>
      <c r="G67" t="b">
        <f ca="1">IF($B66&gt;0,MOD(COUNTIFS($B$5:$B67,G$3),2)=1,"")</f>
        <v>0</v>
      </c>
      <c r="H67" t="b">
        <f ca="1">IF($B66&gt;0,MOD(COUNTIFS($B$5:$B67,H$3),2)=1,"")</f>
        <v>1</v>
      </c>
      <c r="I67" t="b">
        <f ca="1">IF($B66&gt;0,MOD(COUNTIFS($B$5:$B67,I$3),2)=1,"")</f>
        <v>0</v>
      </c>
      <c r="J67" t="b">
        <f ca="1">IF($B66&gt;0,MOD(COUNTIFS($B$5:$B67,J$3),2)=1,"")</f>
        <v>0</v>
      </c>
      <c r="K67" t="b">
        <f ca="1">IF($B66&gt;0,MOD(COUNTIFS($B$5:$B67,K$3),2)=1,"")</f>
        <v>1</v>
      </c>
      <c r="L67">
        <f ca="1">IF($B67&gt;0,COUNTIFS($B$5:$B67,6),"")</f>
        <v>13</v>
      </c>
      <c r="N67" t="str">
        <f ca="1">IF(COUNTIF($C$5:$E66,0)&gt;0,"",IF(B66=6,N66,IF(N66=3,N66-2,N66+1)))</f>
        <v/>
      </c>
    </row>
    <row r="68" spans="1:14" x14ac:dyDescent="0.25">
      <c r="A68" t="str">
        <f t="shared" ref="A68:A104" ca="1" si="4">IFERROR(INDEX($C$3:$E$3,N68),"")</f>
        <v/>
      </c>
      <c r="B68">
        <f t="shared" ca="1" si="3"/>
        <v>3</v>
      </c>
      <c r="C68" t="str">
        <f ca="1">IF($N$5:$N68="","",C67+_xlfn.IFS($A68&lt;&gt;C$3,0,$B68=6,-1,INDEX($G67:$K67,1,$B68),1,TRUE,-1))</f>
        <v/>
      </c>
      <c r="D68" t="str">
        <f ca="1">IF($N$5:$N68="","",D67+_xlfn.IFS($A68&lt;&gt;D$3,0,$B68=6,-1,INDEX($G67:$K67,1,$B68),1,TRUE,-1))</f>
        <v/>
      </c>
      <c r="E68" t="str">
        <f ca="1">IF($N$5:$N68="","",E67+_xlfn.IFS($A68&lt;&gt;E$3,0,$B68=6,-1,INDEX($G67:$K67,1,$B68),1,TRUE,-1))</f>
        <v/>
      </c>
      <c r="G68" t="b">
        <f ca="1">IF($B67&gt;0,MOD(COUNTIFS($B$5:$B68,G$3),2)=1,"")</f>
        <v>0</v>
      </c>
      <c r="H68" t="b">
        <f ca="1">IF($B67&gt;0,MOD(COUNTIFS($B$5:$B68,H$3),2)=1,"")</f>
        <v>1</v>
      </c>
      <c r="I68" t="b">
        <f ca="1">IF($B67&gt;0,MOD(COUNTIFS($B$5:$B68,I$3),2)=1,"")</f>
        <v>1</v>
      </c>
      <c r="J68" t="b">
        <f ca="1">IF($B67&gt;0,MOD(COUNTIFS($B$5:$B68,J$3),2)=1,"")</f>
        <v>0</v>
      </c>
      <c r="K68" t="b">
        <f ca="1">IF($B67&gt;0,MOD(COUNTIFS($B$5:$B68,K$3),2)=1,"")</f>
        <v>1</v>
      </c>
      <c r="L68">
        <f ca="1">IF($B68&gt;0,COUNTIFS($B$5:$B68,6),"")</f>
        <v>13</v>
      </c>
      <c r="N68" t="str">
        <f ca="1">IF(COUNTIF($C$5:$E67,0)&gt;0,"",IF(B67=6,N67,IF(N67=3,N67-2,N67+1)))</f>
        <v/>
      </c>
    </row>
    <row r="69" spans="1:14" x14ac:dyDescent="0.25">
      <c r="A69" t="str">
        <f t="shared" ca="1" si="4"/>
        <v/>
      </c>
      <c r="B69">
        <f t="shared" ca="1" si="3"/>
        <v>5</v>
      </c>
      <c r="C69" t="str">
        <f ca="1">IF($N$5:$N69="","",C68+_xlfn.IFS($A69&lt;&gt;C$3,0,$B69=6,-1,INDEX($G68:$K68,1,$B69),1,TRUE,-1))</f>
        <v/>
      </c>
      <c r="D69" t="str">
        <f ca="1">IF($N$5:$N69="","",D68+_xlfn.IFS($A69&lt;&gt;D$3,0,$B69=6,-1,INDEX($G68:$K68,1,$B69),1,TRUE,-1))</f>
        <v/>
      </c>
      <c r="E69" t="str">
        <f ca="1">IF($N$5:$N69="","",E68+_xlfn.IFS($A69&lt;&gt;E$3,0,$B69=6,-1,INDEX($G68:$K68,1,$B69),1,TRUE,-1))</f>
        <v/>
      </c>
      <c r="G69" t="b">
        <f ca="1">IF($B68&gt;0,MOD(COUNTIFS($B$5:$B69,G$3),2)=1,"")</f>
        <v>0</v>
      </c>
      <c r="H69" t="b">
        <f ca="1">IF($B68&gt;0,MOD(COUNTIFS($B$5:$B69,H$3),2)=1,"")</f>
        <v>1</v>
      </c>
      <c r="I69" t="b">
        <f ca="1">IF($B68&gt;0,MOD(COUNTIFS($B$5:$B69,I$3),2)=1,"")</f>
        <v>1</v>
      </c>
      <c r="J69" t="b">
        <f ca="1">IF($B68&gt;0,MOD(COUNTIFS($B$5:$B69,J$3),2)=1,"")</f>
        <v>0</v>
      </c>
      <c r="K69" t="b">
        <f ca="1">IF($B68&gt;0,MOD(COUNTIFS($B$5:$B69,K$3),2)=1,"")</f>
        <v>0</v>
      </c>
      <c r="L69">
        <f ca="1">IF($B69&gt;0,COUNTIFS($B$5:$B69,6),"")</f>
        <v>13</v>
      </c>
      <c r="N69" t="str">
        <f ca="1">IF(COUNTIF($C$5:$E68,0)&gt;0,"",IF(B68=6,N68,IF(N68=3,N68-2,N68+1)))</f>
        <v/>
      </c>
    </row>
    <row r="70" spans="1:14" x14ac:dyDescent="0.25">
      <c r="A70" t="str">
        <f t="shared" ca="1" si="4"/>
        <v/>
      </c>
      <c r="B70">
        <f t="shared" ref="B70:B104" ca="1" si="5">RANDBETWEEN(1,6)</f>
        <v>4</v>
      </c>
      <c r="C70" t="str">
        <f ca="1">IF($N$5:$N70="","",C69+_xlfn.IFS($A70&lt;&gt;C$3,0,$B70=6,-1,INDEX($G69:$K69,1,$B70),1,TRUE,-1))</f>
        <v/>
      </c>
      <c r="D70" t="str">
        <f ca="1">IF($N$5:$N70="","",D69+_xlfn.IFS($A70&lt;&gt;D$3,0,$B70=6,-1,INDEX($G69:$K69,1,$B70),1,TRUE,-1))</f>
        <v/>
      </c>
      <c r="E70" t="str">
        <f ca="1">IF($N$5:$N70="","",E69+_xlfn.IFS($A70&lt;&gt;E$3,0,$B70=6,-1,INDEX($G69:$K69,1,$B70),1,TRUE,-1))</f>
        <v/>
      </c>
      <c r="G70" t="b">
        <f ca="1">IF($B69&gt;0,MOD(COUNTIFS($B$5:$B70,G$3),2)=1,"")</f>
        <v>0</v>
      </c>
      <c r="H70" t="b">
        <f ca="1">IF($B69&gt;0,MOD(COUNTIFS($B$5:$B70,H$3),2)=1,"")</f>
        <v>1</v>
      </c>
      <c r="I70" t="b">
        <f ca="1">IF($B69&gt;0,MOD(COUNTIFS($B$5:$B70,I$3),2)=1,"")</f>
        <v>1</v>
      </c>
      <c r="J70" t="b">
        <f ca="1">IF($B69&gt;0,MOD(COUNTIFS($B$5:$B70,J$3),2)=1,"")</f>
        <v>1</v>
      </c>
      <c r="K70" t="b">
        <f ca="1">IF($B69&gt;0,MOD(COUNTIFS($B$5:$B70,K$3),2)=1,"")</f>
        <v>0</v>
      </c>
      <c r="L70">
        <f ca="1">IF($B70&gt;0,COUNTIFS($B$5:$B70,6),"")</f>
        <v>13</v>
      </c>
      <c r="N70" t="str">
        <f ca="1">IF(COUNTIF($C$5:$E69,0)&gt;0,"",IF(B69=6,N69,IF(N69=3,N69-2,N69+1)))</f>
        <v/>
      </c>
    </row>
    <row r="71" spans="1:14" x14ac:dyDescent="0.25">
      <c r="A71" t="str">
        <f t="shared" ca="1" si="4"/>
        <v/>
      </c>
      <c r="B71">
        <f t="shared" ca="1" si="5"/>
        <v>3</v>
      </c>
      <c r="C71" t="str">
        <f ca="1">IF($N$5:$N71="","",C70+_xlfn.IFS($A71&lt;&gt;C$3,0,$B71=6,-1,INDEX($G70:$K70,1,$B71),1,TRUE,-1))</f>
        <v/>
      </c>
      <c r="D71" t="str">
        <f ca="1">IF($N$5:$N71="","",D70+_xlfn.IFS($A71&lt;&gt;D$3,0,$B71=6,-1,INDEX($G70:$K70,1,$B71),1,TRUE,-1))</f>
        <v/>
      </c>
      <c r="E71" t="str">
        <f ca="1">IF($N$5:$N71="","",E70+_xlfn.IFS($A71&lt;&gt;E$3,0,$B71=6,-1,INDEX($G70:$K70,1,$B71),1,TRUE,-1))</f>
        <v/>
      </c>
      <c r="G71" t="b">
        <f ca="1">IF($B70&gt;0,MOD(COUNTIFS($B$5:$B71,G$3),2)=1,"")</f>
        <v>0</v>
      </c>
      <c r="H71" t="b">
        <f ca="1">IF($B70&gt;0,MOD(COUNTIFS($B$5:$B71,H$3),2)=1,"")</f>
        <v>1</v>
      </c>
      <c r="I71" t="b">
        <f ca="1">IF($B70&gt;0,MOD(COUNTIFS($B$5:$B71,I$3),2)=1,"")</f>
        <v>0</v>
      </c>
      <c r="J71" t="b">
        <f ca="1">IF($B70&gt;0,MOD(COUNTIFS($B$5:$B71,J$3),2)=1,"")</f>
        <v>1</v>
      </c>
      <c r="K71" t="b">
        <f ca="1">IF($B70&gt;0,MOD(COUNTIFS($B$5:$B71,K$3),2)=1,"")</f>
        <v>0</v>
      </c>
      <c r="L71">
        <f ca="1">IF($B71&gt;0,COUNTIFS($B$5:$B71,6),"")</f>
        <v>13</v>
      </c>
      <c r="N71" t="str">
        <f ca="1">IF(COUNTIF($C$5:$E70,0)&gt;0,"",IF(B70=6,N70,IF(N70=3,N70-2,N70+1)))</f>
        <v/>
      </c>
    </row>
    <row r="72" spans="1:14" x14ac:dyDescent="0.25">
      <c r="A72" t="str">
        <f t="shared" ca="1" si="4"/>
        <v/>
      </c>
      <c r="B72">
        <f t="shared" ca="1" si="5"/>
        <v>2</v>
      </c>
      <c r="C72" t="str">
        <f ca="1">IF($N$5:$N72="","",C71+_xlfn.IFS($A72&lt;&gt;C$3,0,$B72=6,-1,INDEX($G71:$K71,1,$B72),1,TRUE,-1))</f>
        <v/>
      </c>
      <c r="D72" t="str">
        <f ca="1">IF($N$5:$N72="","",D71+_xlfn.IFS($A72&lt;&gt;D$3,0,$B72=6,-1,INDEX($G71:$K71,1,$B72),1,TRUE,-1))</f>
        <v/>
      </c>
      <c r="E72" t="str">
        <f ca="1">IF($N$5:$N72="","",E71+_xlfn.IFS($A72&lt;&gt;E$3,0,$B72=6,-1,INDEX($G71:$K71,1,$B72),1,TRUE,-1))</f>
        <v/>
      </c>
      <c r="G72" t="b">
        <f ca="1">IF($B71&gt;0,MOD(COUNTIFS($B$5:$B72,G$3),2)=1,"")</f>
        <v>0</v>
      </c>
      <c r="H72" t="b">
        <f ca="1">IF($B71&gt;0,MOD(COUNTIFS($B$5:$B72,H$3),2)=1,"")</f>
        <v>0</v>
      </c>
      <c r="I72" t="b">
        <f ca="1">IF($B71&gt;0,MOD(COUNTIFS($B$5:$B72,I$3),2)=1,"")</f>
        <v>0</v>
      </c>
      <c r="J72" t="b">
        <f ca="1">IF($B71&gt;0,MOD(COUNTIFS($B$5:$B72,J$3),2)=1,"")</f>
        <v>1</v>
      </c>
      <c r="K72" t="b">
        <f ca="1">IF($B71&gt;0,MOD(COUNTIFS($B$5:$B72,K$3),2)=1,"")</f>
        <v>0</v>
      </c>
      <c r="L72">
        <f ca="1">IF($B72&gt;0,COUNTIFS($B$5:$B72,6),"")</f>
        <v>13</v>
      </c>
      <c r="N72" t="str">
        <f ca="1">IF(COUNTIF($C$5:$E71,0)&gt;0,"",IF(B71=6,N71,IF(N71=3,N71-2,N71+1)))</f>
        <v/>
      </c>
    </row>
    <row r="73" spans="1:14" x14ac:dyDescent="0.25">
      <c r="A73" t="str">
        <f t="shared" ca="1" si="4"/>
        <v/>
      </c>
      <c r="B73">
        <f t="shared" ca="1" si="5"/>
        <v>1</v>
      </c>
      <c r="C73" t="str">
        <f ca="1">IF($N$5:$N73="","",C72+_xlfn.IFS($A73&lt;&gt;C$3,0,$B73=6,-1,INDEX($G72:$K72,1,$B73),1,TRUE,-1))</f>
        <v/>
      </c>
      <c r="D73" t="str">
        <f ca="1">IF($N$5:$N73="","",D72+_xlfn.IFS($A73&lt;&gt;D$3,0,$B73=6,-1,INDEX($G72:$K72,1,$B73),1,TRUE,-1))</f>
        <v/>
      </c>
      <c r="E73" t="str">
        <f ca="1">IF($N$5:$N73="","",E72+_xlfn.IFS($A73&lt;&gt;E$3,0,$B73=6,-1,INDEX($G72:$K72,1,$B73),1,TRUE,-1))</f>
        <v/>
      </c>
      <c r="G73" t="b">
        <f ca="1">IF($B72&gt;0,MOD(COUNTIFS($B$5:$B73,G$3),2)=1,"")</f>
        <v>1</v>
      </c>
      <c r="H73" t="b">
        <f ca="1">IF($B72&gt;0,MOD(COUNTIFS($B$5:$B73,H$3),2)=1,"")</f>
        <v>0</v>
      </c>
      <c r="I73" t="b">
        <f ca="1">IF($B72&gt;0,MOD(COUNTIFS($B$5:$B73,I$3),2)=1,"")</f>
        <v>0</v>
      </c>
      <c r="J73" t="b">
        <f ca="1">IF($B72&gt;0,MOD(COUNTIFS($B$5:$B73,J$3),2)=1,"")</f>
        <v>1</v>
      </c>
      <c r="K73" t="b">
        <f ca="1">IF($B72&gt;0,MOD(COUNTIFS($B$5:$B73,K$3),2)=1,"")</f>
        <v>0</v>
      </c>
      <c r="L73">
        <f ca="1">IF($B73&gt;0,COUNTIFS($B$5:$B73,6),"")</f>
        <v>13</v>
      </c>
      <c r="N73" t="str">
        <f ca="1">IF(COUNTIF($C$5:$E72,0)&gt;0,"",IF(B72=6,N72,IF(N72=3,N72-2,N72+1)))</f>
        <v/>
      </c>
    </row>
    <row r="74" spans="1:14" x14ac:dyDescent="0.25">
      <c r="A74" t="str">
        <f t="shared" ca="1" si="4"/>
        <v/>
      </c>
      <c r="B74">
        <f t="shared" ca="1" si="5"/>
        <v>3</v>
      </c>
      <c r="C74" t="str">
        <f ca="1">IF($N$5:$N74="","",C73+_xlfn.IFS($A74&lt;&gt;C$3,0,$B74=6,-1,INDEX($G73:$K73,1,$B74),1,TRUE,-1))</f>
        <v/>
      </c>
      <c r="D74" t="str">
        <f ca="1">IF($N$5:$N74="","",D73+_xlfn.IFS($A74&lt;&gt;D$3,0,$B74=6,-1,INDEX($G73:$K73,1,$B74),1,TRUE,-1))</f>
        <v/>
      </c>
      <c r="E74" t="str">
        <f ca="1">IF($N$5:$N74="","",E73+_xlfn.IFS($A74&lt;&gt;E$3,0,$B74=6,-1,INDEX($G73:$K73,1,$B74),1,TRUE,-1))</f>
        <v/>
      </c>
      <c r="G74" t="b">
        <f ca="1">IF($B73&gt;0,MOD(COUNTIFS($B$5:$B74,G$3),2)=1,"")</f>
        <v>1</v>
      </c>
      <c r="H74" t="b">
        <f ca="1">IF($B73&gt;0,MOD(COUNTIFS($B$5:$B74,H$3),2)=1,"")</f>
        <v>0</v>
      </c>
      <c r="I74" t="b">
        <f ca="1">IF($B73&gt;0,MOD(COUNTIFS($B$5:$B74,I$3),2)=1,"")</f>
        <v>1</v>
      </c>
      <c r="J74" t="b">
        <f ca="1">IF($B73&gt;0,MOD(COUNTIFS($B$5:$B74,J$3),2)=1,"")</f>
        <v>1</v>
      </c>
      <c r="K74" t="b">
        <f ca="1">IF($B73&gt;0,MOD(COUNTIFS($B$5:$B74,K$3),2)=1,"")</f>
        <v>0</v>
      </c>
      <c r="L74">
        <f ca="1">IF($B74&gt;0,COUNTIFS($B$5:$B74,6),"")</f>
        <v>13</v>
      </c>
      <c r="N74" t="str">
        <f ca="1">IF(COUNTIF($C$5:$E73,0)&gt;0,"",IF(B73=6,N73,IF(N73=3,N73-2,N73+1)))</f>
        <v/>
      </c>
    </row>
    <row r="75" spans="1:14" x14ac:dyDescent="0.25">
      <c r="A75" t="str">
        <f t="shared" ca="1" si="4"/>
        <v/>
      </c>
      <c r="B75">
        <f t="shared" ca="1" si="5"/>
        <v>6</v>
      </c>
      <c r="C75" t="str">
        <f ca="1">IF($N$5:$N75="","",C74+_xlfn.IFS($A75&lt;&gt;C$3,0,$B75=6,-1,INDEX($G74:$K74,1,$B75),1,TRUE,-1))</f>
        <v/>
      </c>
      <c r="D75" t="str">
        <f ca="1">IF($N$5:$N75="","",D74+_xlfn.IFS($A75&lt;&gt;D$3,0,$B75=6,-1,INDEX($G74:$K74,1,$B75),1,TRUE,-1))</f>
        <v/>
      </c>
      <c r="E75" t="str">
        <f ca="1">IF($N$5:$N75="","",E74+_xlfn.IFS($A75&lt;&gt;E$3,0,$B75=6,-1,INDEX($G74:$K74,1,$B75),1,TRUE,-1))</f>
        <v/>
      </c>
      <c r="G75" t="b">
        <f ca="1">IF($B74&gt;0,MOD(COUNTIFS($B$5:$B75,G$3),2)=1,"")</f>
        <v>1</v>
      </c>
      <c r="H75" t="b">
        <f ca="1">IF($B74&gt;0,MOD(COUNTIFS($B$5:$B75,H$3),2)=1,"")</f>
        <v>0</v>
      </c>
      <c r="I75" t="b">
        <f ca="1">IF($B74&gt;0,MOD(COUNTIFS($B$5:$B75,I$3),2)=1,"")</f>
        <v>1</v>
      </c>
      <c r="J75" t="b">
        <f ca="1">IF($B74&gt;0,MOD(COUNTIFS($B$5:$B75,J$3),2)=1,"")</f>
        <v>1</v>
      </c>
      <c r="K75" t="b">
        <f ca="1">IF($B74&gt;0,MOD(COUNTIFS($B$5:$B75,K$3),2)=1,"")</f>
        <v>0</v>
      </c>
      <c r="L75">
        <f ca="1">IF($B75&gt;0,COUNTIFS($B$5:$B75,6),"")</f>
        <v>14</v>
      </c>
      <c r="N75" t="str">
        <f ca="1">IF(COUNTIF($C$5:$E74,0)&gt;0,"",IF(B74=6,N74,IF(N74=3,N74-2,N74+1)))</f>
        <v/>
      </c>
    </row>
    <row r="76" spans="1:14" x14ac:dyDescent="0.25">
      <c r="A76" t="str">
        <f t="shared" ca="1" si="4"/>
        <v/>
      </c>
      <c r="B76">
        <f t="shared" ca="1" si="5"/>
        <v>2</v>
      </c>
      <c r="C76" t="str">
        <f ca="1">IF($N$5:$N76="","",C75+_xlfn.IFS($A76&lt;&gt;C$3,0,$B76=6,-1,INDEX($G75:$K75,1,$B76),1,TRUE,-1))</f>
        <v/>
      </c>
      <c r="D76" t="str">
        <f ca="1">IF($N$5:$N76="","",D75+_xlfn.IFS($A76&lt;&gt;D$3,0,$B76=6,-1,INDEX($G75:$K75,1,$B76),1,TRUE,-1))</f>
        <v/>
      </c>
      <c r="E76" t="str">
        <f ca="1">IF($N$5:$N76="","",E75+_xlfn.IFS($A76&lt;&gt;E$3,0,$B76=6,-1,INDEX($G75:$K75,1,$B76),1,TRUE,-1))</f>
        <v/>
      </c>
      <c r="G76" t="b">
        <f ca="1">IF($B75&gt;0,MOD(COUNTIFS($B$5:$B76,G$3),2)=1,"")</f>
        <v>1</v>
      </c>
      <c r="H76" t="b">
        <f ca="1">IF($B75&gt;0,MOD(COUNTIFS($B$5:$B76,H$3),2)=1,"")</f>
        <v>1</v>
      </c>
      <c r="I76" t="b">
        <f ca="1">IF($B75&gt;0,MOD(COUNTIFS($B$5:$B76,I$3),2)=1,"")</f>
        <v>1</v>
      </c>
      <c r="J76" t="b">
        <f ca="1">IF($B75&gt;0,MOD(COUNTIFS($B$5:$B76,J$3),2)=1,"")</f>
        <v>1</v>
      </c>
      <c r="K76" t="b">
        <f ca="1">IF($B75&gt;0,MOD(COUNTIFS($B$5:$B76,K$3),2)=1,"")</f>
        <v>0</v>
      </c>
      <c r="L76">
        <f ca="1">IF($B76&gt;0,COUNTIFS($B$5:$B76,6),"")</f>
        <v>14</v>
      </c>
      <c r="N76" t="str">
        <f ca="1">IF(COUNTIF($C$5:$E75,0)&gt;0,"",IF(B75=6,N75,IF(N75=3,N75-2,N75+1)))</f>
        <v/>
      </c>
    </row>
    <row r="77" spans="1:14" x14ac:dyDescent="0.25">
      <c r="A77" t="str">
        <f t="shared" ca="1" si="4"/>
        <v/>
      </c>
      <c r="B77">
        <f t="shared" ca="1" si="5"/>
        <v>2</v>
      </c>
      <c r="C77" t="str">
        <f ca="1">IF($N$5:$N77="","",C76+_xlfn.IFS($A77&lt;&gt;C$3,0,$B77=6,-1,INDEX($G76:$K76,1,$B77),1,TRUE,-1))</f>
        <v/>
      </c>
      <c r="D77" t="str">
        <f ca="1">IF($N$5:$N77="","",D76+_xlfn.IFS($A77&lt;&gt;D$3,0,$B77=6,-1,INDEX($G76:$K76,1,$B77),1,TRUE,-1))</f>
        <v/>
      </c>
      <c r="E77" t="str">
        <f ca="1">IF($N$5:$N77="","",E76+_xlfn.IFS($A77&lt;&gt;E$3,0,$B77=6,-1,INDEX($G76:$K76,1,$B77),1,TRUE,-1))</f>
        <v/>
      </c>
      <c r="G77" t="b">
        <f ca="1">IF($B76&gt;0,MOD(COUNTIFS($B$5:$B77,G$3),2)=1,"")</f>
        <v>1</v>
      </c>
      <c r="H77" t="b">
        <f ca="1">IF($B76&gt;0,MOD(COUNTIFS($B$5:$B77,H$3),2)=1,"")</f>
        <v>0</v>
      </c>
      <c r="I77" t="b">
        <f ca="1">IF($B76&gt;0,MOD(COUNTIFS($B$5:$B77,I$3),2)=1,"")</f>
        <v>1</v>
      </c>
      <c r="J77" t="b">
        <f ca="1">IF($B76&gt;0,MOD(COUNTIFS($B$5:$B77,J$3),2)=1,"")</f>
        <v>1</v>
      </c>
      <c r="K77" t="b">
        <f ca="1">IF($B76&gt;0,MOD(COUNTIFS($B$5:$B77,K$3),2)=1,"")</f>
        <v>0</v>
      </c>
      <c r="L77">
        <f ca="1">IF($B77&gt;0,COUNTIFS($B$5:$B77,6),"")</f>
        <v>14</v>
      </c>
      <c r="N77" t="str">
        <f ca="1">IF(COUNTIF($C$5:$E76,0)&gt;0,"",IF(B76=6,N76,IF(N76=3,N76-2,N76+1)))</f>
        <v/>
      </c>
    </row>
    <row r="78" spans="1:14" x14ac:dyDescent="0.25">
      <c r="A78" t="str">
        <f t="shared" ca="1" si="4"/>
        <v/>
      </c>
      <c r="B78">
        <f t="shared" ca="1" si="5"/>
        <v>1</v>
      </c>
      <c r="C78" t="str">
        <f ca="1">IF($N$5:$N78="","",C77+_xlfn.IFS($A78&lt;&gt;C$3,0,$B78=6,-1,INDEX($G77:$K77,1,$B78),1,TRUE,-1))</f>
        <v/>
      </c>
      <c r="D78" t="str">
        <f ca="1">IF($N$5:$N78="","",D77+_xlfn.IFS($A78&lt;&gt;D$3,0,$B78=6,-1,INDEX($G77:$K77,1,$B78),1,TRUE,-1))</f>
        <v/>
      </c>
      <c r="E78" t="str">
        <f ca="1">IF($N$5:$N78="","",E77+_xlfn.IFS($A78&lt;&gt;E$3,0,$B78=6,-1,INDEX($G77:$K77,1,$B78),1,TRUE,-1))</f>
        <v/>
      </c>
      <c r="G78" t="b">
        <f ca="1">IF($B77&gt;0,MOD(COUNTIFS($B$5:$B78,G$3),2)=1,"")</f>
        <v>0</v>
      </c>
      <c r="H78" t="b">
        <f ca="1">IF($B77&gt;0,MOD(COUNTIFS($B$5:$B78,H$3),2)=1,"")</f>
        <v>0</v>
      </c>
      <c r="I78" t="b">
        <f ca="1">IF($B77&gt;0,MOD(COUNTIFS($B$5:$B78,I$3),2)=1,"")</f>
        <v>1</v>
      </c>
      <c r="J78" t="b">
        <f ca="1">IF($B77&gt;0,MOD(COUNTIFS($B$5:$B78,J$3),2)=1,"")</f>
        <v>1</v>
      </c>
      <c r="K78" t="b">
        <f ca="1">IF($B77&gt;0,MOD(COUNTIFS($B$5:$B78,K$3),2)=1,"")</f>
        <v>0</v>
      </c>
      <c r="L78">
        <f ca="1">IF($B78&gt;0,COUNTIFS($B$5:$B78,6),"")</f>
        <v>14</v>
      </c>
      <c r="N78" t="str">
        <f ca="1">IF(COUNTIF($C$5:$E77,0)&gt;0,"",IF(B77=6,N77,IF(N77=3,N77-2,N77+1)))</f>
        <v/>
      </c>
    </row>
    <row r="79" spans="1:14" x14ac:dyDescent="0.25">
      <c r="A79" t="str">
        <f t="shared" ca="1" si="4"/>
        <v/>
      </c>
      <c r="B79">
        <f t="shared" ca="1" si="5"/>
        <v>3</v>
      </c>
      <c r="C79" t="str">
        <f ca="1">IF($N$5:$N79="","",C78+_xlfn.IFS($A79&lt;&gt;C$3,0,$B79=6,-1,INDEX($G78:$K78,1,$B79),1,TRUE,-1))</f>
        <v/>
      </c>
      <c r="D79" t="str">
        <f ca="1">IF($N$5:$N79="","",D78+_xlfn.IFS($A79&lt;&gt;D$3,0,$B79=6,-1,INDEX($G78:$K78,1,$B79),1,TRUE,-1))</f>
        <v/>
      </c>
      <c r="E79" t="str">
        <f ca="1">IF($N$5:$N79="","",E78+_xlfn.IFS($A79&lt;&gt;E$3,0,$B79=6,-1,INDEX($G78:$K78,1,$B79),1,TRUE,-1))</f>
        <v/>
      </c>
      <c r="G79" t="b">
        <f ca="1">IF($B78&gt;0,MOD(COUNTIFS($B$5:$B79,G$3),2)=1,"")</f>
        <v>0</v>
      </c>
      <c r="H79" t="b">
        <f ca="1">IF($B78&gt;0,MOD(COUNTIFS($B$5:$B79,H$3),2)=1,"")</f>
        <v>0</v>
      </c>
      <c r="I79" t="b">
        <f ca="1">IF($B78&gt;0,MOD(COUNTIFS($B$5:$B79,I$3),2)=1,"")</f>
        <v>0</v>
      </c>
      <c r="J79" t="b">
        <f ca="1">IF($B78&gt;0,MOD(COUNTIFS($B$5:$B79,J$3),2)=1,"")</f>
        <v>1</v>
      </c>
      <c r="K79" t="b">
        <f ca="1">IF($B78&gt;0,MOD(COUNTIFS($B$5:$B79,K$3),2)=1,"")</f>
        <v>0</v>
      </c>
      <c r="L79">
        <f ca="1">IF($B79&gt;0,COUNTIFS($B$5:$B79,6),"")</f>
        <v>14</v>
      </c>
      <c r="N79" t="str">
        <f ca="1">IF(COUNTIF($C$5:$E78,0)&gt;0,"",IF(B78=6,N78,IF(N78=3,N78-2,N78+1)))</f>
        <v/>
      </c>
    </row>
    <row r="80" spans="1:14" x14ac:dyDescent="0.25">
      <c r="A80" t="str">
        <f t="shared" ca="1" si="4"/>
        <v/>
      </c>
      <c r="B80">
        <f t="shared" ca="1" si="5"/>
        <v>5</v>
      </c>
      <c r="C80" t="str">
        <f ca="1">IF($N$5:$N80="","",C79+_xlfn.IFS($A80&lt;&gt;C$3,0,$B80=6,-1,INDEX($G79:$K79,1,$B80),1,TRUE,-1))</f>
        <v/>
      </c>
      <c r="D80" t="str">
        <f ca="1">IF($N$5:$N80="","",D79+_xlfn.IFS($A80&lt;&gt;D$3,0,$B80=6,-1,INDEX($G79:$K79,1,$B80),1,TRUE,-1))</f>
        <v/>
      </c>
      <c r="E80" t="str">
        <f ca="1">IF($N$5:$N80="","",E79+_xlfn.IFS($A80&lt;&gt;E$3,0,$B80=6,-1,INDEX($G79:$K79,1,$B80),1,TRUE,-1))</f>
        <v/>
      </c>
      <c r="G80" t="b">
        <f ca="1">IF($B79&gt;0,MOD(COUNTIFS($B$5:$B80,G$3),2)=1,"")</f>
        <v>0</v>
      </c>
      <c r="H80" t="b">
        <f ca="1">IF($B79&gt;0,MOD(COUNTIFS($B$5:$B80,H$3),2)=1,"")</f>
        <v>0</v>
      </c>
      <c r="I80" t="b">
        <f ca="1">IF($B79&gt;0,MOD(COUNTIFS($B$5:$B80,I$3),2)=1,"")</f>
        <v>0</v>
      </c>
      <c r="J80" t="b">
        <f ca="1">IF($B79&gt;0,MOD(COUNTIFS($B$5:$B80,J$3),2)=1,"")</f>
        <v>1</v>
      </c>
      <c r="K80" t="b">
        <f ca="1">IF($B79&gt;0,MOD(COUNTIFS($B$5:$B80,K$3),2)=1,"")</f>
        <v>1</v>
      </c>
      <c r="L80">
        <f ca="1">IF($B80&gt;0,COUNTIFS($B$5:$B80,6),"")</f>
        <v>14</v>
      </c>
      <c r="N80" t="str">
        <f ca="1">IF(COUNTIF($C$5:$E79,0)&gt;0,"",IF(B79=6,N79,IF(N79=3,N79-2,N79+1)))</f>
        <v/>
      </c>
    </row>
    <row r="81" spans="1:14" x14ac:dyDescent="0.25">
      <c r="A81" t="str">
        <f t="shared" ca="1" si="4"/>
        <v/>
      </c>
      <c r="B81">
        <f t="shared" ca="1" si="5"/>
        <v>2</v>
      </c>
      <c r="C81" t="str">
        <f ca="1">IF($N$5:$N81="","",C80+_xlfn.IFS($A81&lt;&gt;C$3,0,$B81=6,-1,INDEX($G80:$K80,1,$B81),1,TRUE,-1))</f>
        <v/>
      </c>
      <c r="D81" t="str">
        <f ca="1">IF($N$5:$N81="","",D80+_xlfn.IFS($A81&lt;&gt;D$3,0,$B81=6,-1,INDEX($G80:$K80,1,$B81),1,TRUE,-1))</f>
        <v/>
      </c>
      <c r="E81" t="str">
        <f ca="1">IF($N$5:$N81="","",E80+_xlfn.IFS($A81&lt;&gt;E$3,0,$B81=6,-1,INDEX($G80:$K80,1,$B81),1,TRUE,-1))</f>
        <v/>
      </c>
      <c r="G81" t="b">
        <f ca="1">IF($B80&gt;0,MOD(COUNTIFS($B$5:$B81,G$3),2)=1,"")</f>
        <v>0</v>
      </c>
      <c r="H81" t="b">
        <f ca="1">IF($B80&gt;0,MOD(COUNTIFS($B$5:$B81,H$3),2)=1,"")</f>
        <v>1</v>
      </c>
      <c r="I81" t="b">
        <f ca="1">IF($B80&gt;0,MOD(COUNTIFS($B$5:$B81,I$3),2)=1,"")</f>
        <v>0</v>
      </c>
      <c r="J81" t="b">
        <f ca="1">IF($B80&gt;0,MOD(COUNTIFS($B$5:$B81,J$3),2)=1,"")</f>
        <v>1</v>
      </c>
      <c r="K81" t="b">
        <f ca="1">IF($B80&gt;0,MOD(COUNTIFS($B$5:$B81,K$3),2)=1,"")</f>
        <v>1</v>
      </c>
      <c r="L81">
        <f ca="1">IF($B81&gt;0,COUNTIFS($B$5:$B81,6),"")</f>
        <v>14</v>
      </c>
      <c r="N81" t="str">
        <f ca="1">IF(COUNTIF($C$5:$E80,0)&gt;0,"",IF(B80=6,N80,IF(N80=3,N80-2,N80+1)))</f>
        <v/>
      </c>
    </row>
    <row r="82" spans="1:14" x14ac:dyDescent="0.25">
      <c r="A82" t="str">
        <f t="shared" ca="1" si="4"/>
        <v/>
      </c>
      <c r="B82">
        <f t="shared" ca="1" si="5"/>
        <v>5</v>
      </c>
      <c r="C82" t="str">
        <f ca="1">IF($N$5:$N82="","",C81+_xlfn.IFS($A82&lt;&gt;C$3,0,$B82=6,-1,INDEX($G81:$K81,1,$B82),1,TRUE,-1))</f>
        <v/>
      </c>
      <c r="D82" t="str">
        <f ca="1">IF($N$5:$N82="","",D81+_xlfn.IFS($A82&lt;&gt;D$3,0,$B82=6,-1,INDEX($G81:$K81,1,$B82),1,TRUE,-1))</f>
        <v/>
      </c>
      <c r="E82" t="str">
        <f ca="1">IF($N$5:$N82="","",E81+_xlfn.IFS($A82&lt;&gt;E$3,0,$B82=6,-1,INDEX($G81:$K81,1,$B82),1,TRUE,-1))</f>
        <v/>
      </c>
      <c r="G82" t="b">
        <f ca="1">IF($B81&gt;0,MOD(COUNTIFS($B$5:$B82,G$3),2)=1,"")</f>
        <v>0</v>
      </c>
      <c r="H82" t="b">
        <f ca="1">IF($B81&gt;0,MOD(COUNTIFS($B$5:$B82,H$3),2)=1,"")</f>
        <v>1</v>
      </c>
      <c r="I82" t="b">
        <f ca="1">IF($B81&gt;0,MOD(COUNTIFS($B$5:$B82,I$3),2)=1,"")</f>
        <v>0</v>
      </c>
      <c r="J82" t="b">
        <f ca="1">IF($B81&gt;0,MOD(COUNTIFS($B$5:$B82,J$3),2)=1,"")</f>
        <v>1</v>
      </c>
      <c r="K82" t="b">
        <f ca="1">IF($B81&gt;0,MOD(COUNTIFS($B$5:$B82,K$3),2)=1,"")</f>
        <v>0</v>
      </c>
      <c r="L82">
        <f ca="1">IF($B82&gt;0,COUNTIFS($B$5:$B82,6),"")</f>
        <v>14</v>
      </c>
      <c r="N82" t="str">
        <f ca="1">IF(COUNTIF($C$5:$E81,0)&gt;0,"",IF(B81=6,N81,IF(N81=3,N81-2,N81+1)))</f>
        <v/>
      </c>
    </row>
    <row r="83" spans="1:14" x14ac:dyDescent="0.25">
      <c r="A83" t="str">
        <f t="shared" ca="1" si="4"/>
        <v/>
      </c>
      <c r="B83">
        <f t="shared" ca="1" si="5"/>
        <v>6</v>
      </c>
      <c r="C83" t="str">
        <f ca="1">IF($N$5:$N83="","",C82+_xlfn.IFS($A83&lt;&gt;C$3,0,$B83=6,-1,INDEX($G82:$K82,1,$B83),1,TRUE,-1))</f>
        <v/>
      </c>
      <c r="D83" t="str">
        <f ca="1">IF($N$5:$N83="","",D82+_xlfn.IFS($A83&lt;&gt;D$3,0,$B83=6,-1,INDEX($G82:$K82,1,$B83),1,TRUE,-1))</f>
        <v/>
      </c>
      <c r="E83" t="str">
        <f ca="1">IF($N$5:$N83="","",E82+_xlfn.IFS($A83&lt;&gt;E$3,0,$B83=6,-1,INDEX($G82:$K82,1,$B83),1,TRUE,-1))</f>
        <v/>
      </c>
      <c r="G83" t="b">
        <f ca="1">IF($B82&gt;0,MOD(COUNTIFS($B$5:$B83,G$3),2)=1,"")</f>
        <v>0</v>
      </c>
      <c r="H83" t="b">
        <f ca="1">IF($B82&gt;0,MOD(COUNTIFS($B$5:$B83,H$3),2)=1,"")</f>
        <v>1</v>
      </c>
      <c r="I83" t="b">
        <f ca="1">IF($B82&gt;0,MOD(COUNTIFS($B$5:$B83,I$3),2)=1,"")</f>
        <v>0</v>
      </c>
      <c r="J83" t="b">
        <f ca="1">IF($B82&gt;0,MOD(COUNTIFS($B$5:$B83,J$3),2)=1,"")</f>
        <v>1</v>
      </c>
      <c r="K83" t="b">
        <f ca="1">IF($B82&gt;0,MOD(COUNTIFS($B$5:$B83,K$3),2)=1,"")</f>
        <v>0</v>
      </c>
      <c r="L83">
        <f ca="1">IF($B83&gt;0,COUNTIFS($B$5:$B83,6),"")</f>
        <v>15</v>
      </c>
      <c r="N83" t="str">
        <f ca="1">IF(COUNTIF($C$5:$E82,0)&gt;0,"",IF(B82=6,N82,IF(N82=3,N82-2,N82+1)))</f>
        <v/>
      </c>
    </row>
    <row r="84" spans="1:14" x14ac:dyDescent="0.25">
      <c r="A84" t="str">
        <f t="shared" ca="1" si="4"/>
        <v/>
      </c>
      <c r="B84">
        <f t="shared" ca="1" si="5"/>
        <v>1</v>
      </c>
      <c r="C84" t="str">
        <f ca="1">IF($N$5:$N84="","",C83+_xlfn.IFS($A84&lt;&gt;C$3,0,$B84=6,-1,INDEX($G83:$K83,1,$B84),1,TRUE,-1))</f>
        <v/>
      </c>
      <c r="D84" t="str">
        <f ca="1">IF($N$5:$N84="","",D83+_xlfn.IFS($A84&lt;&gt;D$3,0,$B84=6,-1,INDEX($G83:$K83,1,$B84),1,TRUE,-1))</f>
        <v/>
      </c>
      <c r="E84" t="str">
        <f ca="1">IF($N$5:$N84="","",E83+_xlfn.IFS($A84&lt;&gt;E$3,0,$B84=6,-1,INDEX($G83:$K83,1,$B84),1,TRUE,-1))</f>
        <v/>
      </c>
      <c r="G84" t="b">
        <f ca="1">IF($B83&gt;0,MOD(COUNTIFS($B$5:$B84,G$3),2)=1,"")</f>
        <v>1</v>
      </c>
      <c r="H84" t="b">
        <f ca="1">IF($B83&gt;0,MOD(COUNTIFS($B$5:$B84,H$3),2)=1,"")</f>
        <v>1</v>
      </c>
      <c r="I84" t="b">
        <f ca="1">IF($B83&gt;0,MOD(COUNTIFS($B$5:$B84,I$3),2)=1,"")</f>
        <v>0</v>
      </c>
      <c r="J84" t="b">
        <f ca="1">IF($B83&gt;0,MOD(COUNTIFS($B$5:$B84,J$3),2)=1,"")</f>
        <v>1</v>
      </c>
      <c r="K84" t="b">
        <f ca="1">IF($B83&gt;0,MOD(COUNTIFS($B$5:$B84,K$3),2)=1,"")</f>
        <v>0</v>
      </c>
      <c r="L84">
        <f ca="1">IF($B84&gt;0,COUNTIFS($B$5:$B84,6),"")</f>
        <v>15</v>
      </c>
      <c r="N84" t="str">
        <f ca="1">IF(COUNTIF($C$5:$E83,0)&gt;0,"",IF(B83=6,N83,IF(N83=3,N83-2,N83+1)))</f>
        <v/>
      </c>
    </row>
    <row r="85" spans="1:14" x14ac:dyDescent="0.25">
      <c r="A85" t="str">
        <f t="shared" ca="1" si="4"/>
        <v/>
      </c>
      <c r="B85">
        <f t="shared" ca="1" si="5"/>
        <v>4</v>
      </c>
      <c r="C85" t="str">
        <f ca="1">IF($N$5:$N85="","",C84+_xlfn.IFS($A85&lt;&gt;C$3,0,$B85=6,-1,INDEX($G84:$K84,1,$B85),1,TRUE,-1))</f>
        <v/>
      </c>
      <c r="D85" t="str">
        <f ca="1">IF($N$5:$N85="","",D84+_xlfn.IFS($A85&lt;&gt;D$3,0,$B85=6,-1,INDEX($G84:$K84,1,$B85),1,TRUE,-1))</f>
        <v/>
      </c>
      <c r="E85" t="str">
        <f ca="1">IF($N$5:$N85="","",E84+_xlfn.IFS($A85&lt;&gt;E$3,0,$B85=6,-1,INDEX($G84:$K84,1,$B85),1,TRUE,-1))</f>
        <v/>
      </c>
      <c r="G85" t="b">
        <f ca="1">IF($B84&gt;0,MOD(COUNTIFS($B$5:$B85,G$3),2)=1,"")</f>
        <v>1</v>
      </c>
      <c r="H85" t="b">
        <f ca="1">IF($B84&gt;0,MOD(COUNTIFS($B$5:$B85,H$3),2)=1,"")</f>
        <v>1</v>
      </c>
      <c r="I85" t="b">
        <f ca="1">IF($B84&gt;0,MOD(COUNTIFS($B$5:$B85,I$3),2)=1,"")</f>
        <v>0</v>
      </c>
      <c r="J85" t="b">
        <f ca="1">IF($B84&gt;0,MOD(COUNTIFS($B$5:$B85,J$3),2)=1,"")</f>
        <v>0</v>
      </c>
      <c r="K85" t="b">
        <f ca="1">IF($B84&gt;0,MOD(COUNTIFS($B$5:$B85,K$3),2)=1,"")</f>
        <v>0</v>
      </c>
      <c r="L85">
        <f ca="1">IF($B85&gt;0,COUNTIFS($B$5:$B85,6),"")</f>
        <v>15</v>
      </c>
      <c r="N85" t="str">
        <f ca="1">IF(COUNTIF($C$5:$E84,0)&gt;0,"",IF(B84=6,N84,IF(N84=3,N84-2,N84+1)))</f>
        <v/>
      </c>
    </row>
    <row r="86" spans="1:14" x14ac:dyDescent="0.25">
      <c r="A86" t="str">
        <f t="shared" ca="1" si="4"/>
        <v/>
      </c>
      <c r="B86">
        <f t="shared" ca="1" si="5"/>
        <v>6</v>
      </c>
      <c r="C86" t="str">
        <f ca="1">IF($N$5:$N86="","",C85+_xlfn.IFS($A86&lt;&gt;C$3,0,$B86=6,-1,INDEX($G85:$K85,1,$B86),1,TRUE,-1))</f>
        <v/>
      </c>
      <c r="D86" t="str">
        <f ca="1">IF($N$5:$N86="","",D85+_xlfn.IFS($A86&lt;&gt;D$3,0,$B86=6,-1,INDEX($G85:$K85,1,$B86),1,TRUE,-1))</f>
        <v/>
      </c>
      <c r="E86" t="str">
        <f ca="1">IF($N$5:$N86="","",E85+_xlfn.IFS($A86&lt;&gt;E$3,0,$B86=6,-1,INDEX($G85:$K85,1,$B86),1,TRUE,-1))</f>
        <v/>
      </c>
      <c r="G86" t="b">
        <f ca="1">IF($B85&gt;0,MOD(COUNTIFS($B$5:$B86,G$3),2)=1,"")</f>
        <v>1</v>
      </c>
      <c r="H86" t="b">
        <f ca="1">IF($B85&gt;0,MOD(COUNTIFS($B$5:$B86,H$3),2)=1,"")</f>
        <v>1</v>
      </c>
      <c r="I86" t="b">
        <f ca="1">IF($B85&gt;0,MOD(COUNTIFS($B$5:$B86,I$3),2)=1,"")</f>
        <v>0</v>
      </c>
      <c r="J86" t="b">
        <f ca="1">IF($B85&gt;0,MOD(COUNTIFS($B$5:$B86,J$3),2)=1,"")</f>
        <v>0</v>
      </c>
      <c r="K86" t="b">
        <f ca="1">IF($B85&gt;0,MOD(COUNTIFS($B$5:$B86,K$3),2)=1,"")</f>
        <v>0</v>
      </c>
      <c r="L86">
        <f ca="1">IF($B86&gt;0,COUNTIFS($B$5:$B86,6),"")</f>
        <v>16</v>
      </c>
      <c r="N86" t="str">
        <f ca="1">IF(COUNTIF($C$5:$E85,0)&gt;0,"",IF(B85=6,N85,IF(N85=3,N85-2,N85+1)))</f>
        <v/>
      </c>
    </row>
    <row r="87" spans="1:14" x14ac:dyDescent="0.25">
      <c r="A87" t="str">
        <f t="shared" ca="1" si="4"/>
        <v/>
      </c>
      <c r="B87">
        <f ca="1">RANDBETWEEN(1,6)</f>
        <v>4</v>
      </c>
      <c r="C87" t="str">
        <f ca="1">IF($N$5:$N87="","",C86+_xlfn.IFS($A87&lt;&gt;C$3,0,$B87=6,-1,INDEX($G86:$K86,1,$B87),1,TRUE,-1))</f>
        <v/>
      </c>
      <c r="D87" t="str">
        <f ca="1">IF($N$5:$N87="","",D86+_xlfn.IFS($A87&lt;&gt;D$3,0,$B87=6,-1,INDEX($G86:$K86,1,$B87),1,TRUE,-1))</f>
        <v/>
      </c>
      <c r="E87" t="str">
        <f ca="1">IF($N$5:$N87="","",E86+_xlfn.IFS($A87&lt;&gt;E$3,0,$B87=6,-1,INDEX($G86:$K86,1,$B87),1,TRUE,-1))</f>
        <v/>
      </c>
      <c r="G87" t="b">
        <f ca="1">IF($B86&gt;0,MOD(COUNTIFS($B$5:$B87,G$3),2)=1,"")</f>
        <v>1</v>
      </c>
      <c r="H87" t="b">
        <f ca="1">IF($B86&gt;0,MOD(COUNTIFS($B$5:$B87,H$3),2)=1,"")</f>
        <v>1</v>
      </c>
      <c r="I87" t="b">
        <f ca="1">IF($B86&gt;0,MOD(COUNTIFS($B$5:$B87,I$3),2)=1,"")</f>
        <v>0</v>
      </c>
      <c r="J87" t="b">
        <f ca="1">IF($B86&gt;0,MOD(COUNTIFS($B$5:$B87,J$3),2)=1,"")</f>
        <v>1</v>
      </c>
      <c r="K87" t="b">
        <f ca="1">IF($B86&gt;0,MOD(COUNTIFS($B$5:$B87,K$3),2)=1,"")</f>
        <v>0</v>
      </c>
      <c r="L87">
        <f ca="1">IF($B87&gt;0,COUNTIFS($B$5:$B87,6),"")</f>
        <v>16</v>
      </c>
      <c r="N87" t="str">
        <f ca="1">IF(COUNTIF($C$5:$E86,0)&gt;0,"",IF(B86=6,N86,IF(N86=3,N86-2,N86+1)))</f>
        <v/>
      </c>
    </row>
    <row r="88" spans="1:14" x14ac:dyDescent="0.25">
      <c r="A88" t="str">
        <f t="shared" ca="1" si="4"/>
        <v/>
      </c>
      <c r="B88">
        <f t="shared" ca="1" si="5"/>
        <v>4</v>
      </c>
      <c r="C88" t="str">
        <f ca="1">IF($N$5:$N88="","",C87+_xlfn.IFS($A88&lt;&gt;C$3,0,$B88=6,-1,INDEX($G87:$K87,1,$B88),1,TRUE,-1))</f>
        <v/>
      </c>
      <c r="D88" t="str">
        <f ca="1">IF($N$5:$N88="","",D87+_xlfn.IFS($A88&lt;&gt;D$3,0,$B88=6,-1,INDEX($G87:$K87,1,$B88),1,TRUE,-1))</f>
        <v/>
      </c>
      <c r="E88" t="str">
        <f ca="1">IF($N$5:$N88="","",E87+_xlfn.IFS($A88&lt;&gt;E$3,0,$B88=6,-1,INDEX($G87:$K87,1,$B88),1,TRUE,-1))</f>
        <v/>
      </c>
      <c r="G88" t="b">
        <f ca="1">IF($B87&gt;0,MOD(COUNTIFS($B$5:$B88,G$3),2)=1,"")</f>
        <v>1</v>
      </c>
      <c r="H88" t="b">
        <f ca="1">IF($B87&gt;0,MOD(COUNTIFS($B$5:$B88,H$3),2)=1,"")</f>
        <v>1</v>
      </c>
      <c r="I88" t="b">
        <f ca="1">IF($B87&gt;0,MOD(COUNTIFS($B$5:$B88,I$3),2)=1,"")</f>
        <v>0</v>
      </c>
      <c r="J88" t="b">
        <f ca="1">IF($B87&gt;0,MOD(COUNTIFS($B$5:$B88,J$3),2)=1,"")</f>
        <v>0</v>
      </c>
      <c r="K88" t="b">
        <f ca="1">IF($B87&gt;0,MOD(COUNTIFS($B$5:$B88,K$3),2)=1,"")</f>
        <v>0</v>
      </c>
      <c r="L88">
        <f ca="1">IF($B88&gt;0,COUNTIFS($B$5:$B88,6),"")</f>
        <v>16</v>
      </c>
      <c r="N88" t="str">
        <f ca="1">IF(COUNTIF($C$5:$E87,0)&gt;0,"",IF(B87=6,N87,IF(N87=3,N87-2,N87+1)))</f>
        <v/>
      </c>
    </row>
    <row r="89" spans="1:14" x14ac:dyDescent="0.25">
      <c r="A89" t="str">
        <f t="shared" ca="1" si="4"/>
        <v/>
      </c>
      <c r="B89">
        <f t="shared" ca="1" si="5"/>
        <v>5</v>
      </c>
      <c r="C89" t="str">
        <f ca="1">IF($N$5:$N89="","",C88+_xlfn.IFS($A89&lt;&gt;C$3,0,$B89=6,-1,INDEX($G88:$K88,1,$B89),1,TRUE,-1))</f>
        <v/>
      </c>
      <c r="D89" t="str">
        <f ca="1">IF($N$5:$N89="","",D88+_xlfn.IFS($A89&lt;&gt;D$3,0,$B89=6,-1,INDEX($G88:$K88,1,$B89),1,TRUE,-1))</f>
        <v/>
      </c>
      <c r="E89" t="str">
        <f ca="1">IF($N$5:$N89="","",E88+_xlfn.IFS($A89&lt;&gt;E$3,0,$B89=6,-1,INDEX($G88:$K88,1,$B89),1,TRUE,-1))</f>
        <v/>
      </c>
      <c r="G89" t="b">
        <f ca="1">IF($B88&gt;0,MOD(COUNTIFS($B$5:$B89,G$3),2)=1,"")</f>
        <v>1</v>
      </c>
      <c r="H89" t="b">
        <f ca="1">IF($B88&gt;0,MOD(COUNTIFS($B$5:$B89,H$3),2)=1,"")</f>
        <v>1</v>
      </c>
      <c r="I89" t="b">
        <f ca="1">IF($B88&gt;0,MOD(COUNTIFS($B$5:$B89,I$3),2)=1,"")</f>
        <v>0</v>
      </c>
      <c r="J89" t="b">
        <f ca="1">IF($B88&gt;0,MOD(COUNTIFS($B$5:$B89,J$3),2)=1,"")</f>
        <v>0</v>
      </c>
      <c r="K89" t="b">
        <f ca="1">IF($B88&gt;0,MOD(COUNTIFS($B$5:$B89,K$3),2)=1,"")</f>
        <v>1</v>
      </c>
      <c r="L89">
        <f ca="1">IF($B89&gt;0,COUNTIFS($B$5:$B89,6),"")</f>
        <v>16</v>
      </c>
      <c r="N89" t="str">
        <f ca="1">IF(COUNTIF($C$5:$E88,0)&gt;0,"",IF(B88=6,N88,IF(N88=3,N88-2,N88+1)))</f>
        <v/>
      </c>
    </row>
    <row r="90" spans="1:14" x14ac:dyDescent="0.25">
      <c r="A90" t="str">
        <f t="shared" ca="1" si="4"/>
        <v/>
      </c>
      <c r="B90">
        <f t="shared" ca="1" si="5"/>
        <v>5</v>
      </c>
      <c r="C90" t="str">
        <f ca="1">IF($N$5:$N90="","",C89+_xlfn.IFS($A90&lt;&gt;C$3,0,$B90=6,-1,INDEX($G89:$K89,1,$B90),1,TRUE,-1))</f>
        <v/>
      </c>
      <c r="D90" t="str">
        <f ca="1">IF($N$5:$N90="","",D89+_xlfn.IFS($A90&lt;&gt;D$3,0,$B90=6,-1,INDEX($G89:$K89,1,$B90),1,TRUE,-1))</f>
        <v/>
      </c>
      <c r="E90" t="str">
        <f ca="1">IF($N$5:$N90="","",E89+_xlfn.IFS($A90&lt;&gt;E$3,0,$B90=6,-1,INDEX($G89:$K89,1,$B90),1,TRUE,-1))</f>
        <v/>
      </c>
      <c r="G90" t="b">
        <f ca="1">IF($B89&gt;0,MOD(COUNTIFS($B$5:$B90,G$3),2)=1,"")</f>
        <v>1</v>
      </c>
      <c r="H90" t="b">
        <f ca="1">IF($B89&gt;0,MOD(COUNTIFS($B$5:$B90,H$3),2)=1,"")</f>
        <v>1</v>
      </c>
      <c r="I90" t="b">
        <f ca="1">IF($B89&gt;0,MOD(COUNTIFS($B$5:$B90,I$3),2)=1,"")</f>
        <v>0</v>
      </c>
      <c r="J90" t="b">
        <f ca="1">IF($B89&gt;0,MOD(COUNTIFS($B$5:$B90,J$3),2)=1,"")</f>
        <v>0</v>
      </c>
      <c r="K90" t="b">
        <f ca="1">IF($B89&gt;0,MOD(COUNTIFS($B$5:$B90,K$3),2)=1,"")</f>
        <v>0</v>
      </c>
      <c r="L90">
        <f ca="1">IF($B90&gt;0,COUNTIFS($B$5:$B90,6),"")</f>
        <v>16</v>
      </c>
      <c r="N90" t="str">
        <f ca="1">IF(COUNTIF($C$5:$E89,0)&gt;0,"",IF(B89=6,N89,IF(N89=3,N89-2,N89+1)))</f>
        <v/>
      </c>
    </row>
    <row r="91" spans="1:14" x14ac:dyDescent="0.25">
      <c r="A91" t="str">
        <f t="shared" ca="1" si="4"/>
        <v/>
      </c>
      <c r="B91">
        <f t="shared" ca="1" si="5"/>
        <v>1</v>
      </c>
      <c r="C91" t="str">
        <f ca="1">IF($N$5:$N91="","",C90+_xlfn.IFS($A91&lt;&gt;C$3,0,$B91=6,-1,INDEX($G90:$K90,1,$B91),1,TRUE,-1))</f>
        <v/>
      </c>
      <c r="D91" t="str">
        <f ca="1">IF($N$5:$N91="","",D90+_xlfn.IFS($A91&lt;&gt;D$3,0,$B91=6,-1,INDEX($G90:$K90,1,$B91),1,TRUE,-1))</f>
        <v/>
      </c>
      <c r="E91" t="str">
        <f ca="1">IF($N$5:$N91="","",E90+_xlfn.IFS($A91&lt;&gt;E$3,0,$B91=6,-1,INDEX($G90:$K90,1,$B91),1,TRUE,-1))</f>
        <v/>
      </c>
      <c r="G91" t="b">
        <f ca="1">IF($B90&gt;0,MOD(COUNTIFS($B$5:$B91,G$3),2)=1,"")</f>
        <v>0</v>
      </c>
      <c r="H91" t="b">
        <f ca="1">IF($B90&gt;0,MOD(COUNTIFS($B$5:$B91,H$3),2)=1,"")</f>
        <v>1</v>
      </c>
      <c r="I91" t="b">
        <f ca="1">IF($B90&gt;0,MOD(COUNTIFS($B$5:$B91,I$3),2)=1,"")</f>
        <v>0</v>
      </c>
      <c r="J91" t="b">
        <f ca="1">IF($B90&gt;0,MOD(COUNTIFS($B$5:$B91,J$3),2)=1,"")</f>
        <v>0</v>
      </c>
      <c r="K91" t="b">
        <f ca="1">IF($B90&gt;0,MOD(COUNTIFS($B$5:$B91,K$3),2)=1,"")</f>
        <v>0</v>
      </c>
      <c r="L91">
        <f ca="1">IF($B91&gt;0,COUNTIFS($B$5:$B91,6),"")</f>
        <v>16</v>
      </c>
      <c r="N91" t="str">
        <f ca="1">IF(COUNTIF($C$5:$E90,0)&gt;0,"",IF(B90=6,N90,IF(N90=3,N90-2,N90+1)))</f>
        <v/>
      </c>
    </row>
    <row r="92" spans="1:14" x14ac:dyDescent="0.25">
      <c r="A92" t="str">
        <f t="shared" ca="1" si="4"/>
        <v/>
      </c>
      <c r="B92">
        <f t="shared" ca="1" si="5"/>
        <v>6</v>
      </c>
      <c r="C92" t="str">
        <f ca="1">IF($N$5:$N92="","",C91+_xlfn.IFS($A92&lt;&gt;C$3,0,$B92=6,-1,INDEX($G91:$K91,1,$B92),1,TRUE,-1))</f>
        <v/>
      </c>
      <c r="D92" t="str">
        <f ca="1">IF($N$5:$N92="","",D91+_xlfn.IFS($A92&lt;&gt;D$3,0,$B92=6,-1,INDEX($G91:$K91,1,$B92),1,TRUE,-1))</f>
        <v/>
      </c>
      <c r="E92" t="str">
        <f ca="1">IF($N$5:$N92="","",E91+_xlfn.IFS($A92&lt;&gt;E$3,0,$B92=6,-1,INDEX($G91:$K91,1,$B92),1,TRUE,-1))</f>
        <v/>
      </c>
      <c r="G92" t="b">
        <f ca="1">IF($B91&gt;0,MOD(COUNTIFS($B$5:$B92,G$3),2)=1,"")</f>
        <v>0</v>
      </c>
      <c r="H92" t="b">
        <f ca="1">IF($B91&gt;0,MOD(COUNTIFS($B$5:$B92,H$3),2)=1,"")</f>
        <v>1</v>
      </c>
      <c r="I92" t="b">
        <f ca="1">IF($B91&gt;0,MOD(COUNTIFS($B$5:$B92,I$3),2)=1,"")</f>
        <v>0</v>
      </c>
      <c r="J92" t="b">
        <f ca="1">IF($B91&gt;0,MOD(COUNTIFS($B$5:$B92,J$3),2)=1,"")</f>
        <v>0</v>
      </c>
      <c r="K92" t="b">
        <f ca="1">IF($B91&gt;0,MOD(COUNTIFS($B$5:$B92,K$3),2)=1,"")</f>
        <v>0</v>
      </c>
      <c r="L92">
        <f ca="1">IF($B92&gt;0,COUNTIFS($B$5:$B92,6),"")</f>
        <v>17</v>
      </c>
      <c r="N92" t="str">
        <f ca="1">IF(COUNTIF($C$5:$E91,0)&gt;0,"",IF(B91=6,N91,IF(N91=3,N91-2,N91+1)))</f>
        <v/>
      </c>
    </row>
    <row r="93" spans="1:14" x14ac:dyDescent="0.25">
      <c r="A93" t="str">
        <f t="shared" ca="1" si="4"/>
        <v/>
      </c>
      <c r="B93">
        <f t="shared" ca="1" si="5"/>
        <v>6</v>
      </c>
      <c r="C93" t="str">
        <f ca="1">IF($N$5:$N93="","",C92+_xlfn.IFS($A93&lt;&gt;C$3,0,$B93=6,-1,INDEX($G92:$K92,1,$B93),1,TRUE,-1))</f>
        <v/>
      </c>
      <c r="D93" t="str">
        <f ca="1">IF($N$5:$N93="","",D92+_xlfn.IFS($A93&lt;&gt;D$3,0,$B93=6,-1,INDEX($G92:$K92,1,$B93),1,TRUE,-1))</f>
        <v/>
      </c>
      <c r="E93" t="str">
        <f ca="1">IF($N$5:$N93="","",E92+_xlfn.IFS($A93&lt;&gt;E$3,0,$B93=6,-1,INDEX($G92:$K92,1,$B93),1,TRUE,-1))</f>
        <v/>
      </c>
      <c r="G93" t="b">
        <f ca="1">IF($B92&gt;0,MOD(COUNTIFS($B$5:$B93,G$3),2)=1,"")</f>
        <v>0</v>
      </c>
      <c r="H93" t="b">
        <f ca="1">IF($B92&gt;0,MOD(COUNTIFS($B$5:$B93,H$3),2)=1,"")</f>
        <v>1</v>
      </c>
      <c r="I93" t="b">
        <f ca="1">IF($B92&gt;0,MOD(COUNTIFS($B$5:$B93,I$3),2)=1,"")</f>
        <v>0</v>
      </c>
      <c r="J93" t="b">
        <f ca="1">IF($B92&gt;0,MOD(COUNTIFS($B$5:$B93,J$3),2)=1,"")</f>
        <v>0</v>
      </c>
      <c r="K93" t="b">
        <f ca="1">IF($B92&gt;0,MOD(COUNTIFS($B$5:$B93,K$3),2)=1,"")</f>
        <v>0</v>
      </c>
      <c r="L93">
        <f ca="1">IF($B93&gt;0,COUNTIFS($B$5:$B93,6),"")</f>
        <v>18</v>
      </c>
      <c r="N93" t="str">
        <f ca="1">IF(COUNTIF($C$5:$E92,0)&gt;0,"",IF(B92=6,N92,IF(N92=3,N92-2,N92+1)))</f>
        <v/>
      </c>
    </row>
    <row r="94" spans="1:14" x14ac:dyDescent="0.25">
      <c r="A94" t="str">
        <f t="shared" ca="1" si="4"/>
        <v/>
      </c>
      <c r="B94">
        <f t="shared" ca="1" si="5"/>
        <v>2</v>
      </c>
      <c r="C94" t="str">
        <f ca="1">IF($N$5:$N94="","",C93+_xlfn.IFS($A94&lt;&gt;C$3,0,$B94=6,-1,INDEX($G93:$K93,1,$B94),1,TRUE,-1))</f>
        <v/>
      </c>
      <c r="D94" t="str">
        <f ca="1">IF($N$5:$N94="","",D93+_xlfn.IFS($A94&lt;&gt;D$3,0,$B94=6,-1,INDEX($G93:$K93,1,$B94),1,TRUE,-1))</f>
        <v/>
      </c>
      <c r="E94" t="str">
        <f ca="1">IF($N$5:$N94="","",E93+_xlfn.IFS($A94&lt;&gt;E$3,0,$B94=6,-1,INDEX($G93:$K93,1,$B94),1,TRUE,-1))</f>
        <v/>
      </c>
      <c r="G94" t="b">
        <f ca="1">IF($B93&gt;0,MOD(COUNTIFS($B$5:$B94,G$3),2)=1,"")</f>
        <v>0</v>
      </c>
      <c r="H94" t="b">
        <f ca="1">IF($B93&gt;0,MOD(COUNTIFS($B$5:$B94,H$3),2)=1,"")</f>
        <v>0</v>
      </c>
      <c r="I94" t="b">
        <f ca="1">IF($B93&gt;0,MOD(COUNTIFS($B$5:$B94,I$3),2)=1,"")</f>
        <v>0</v>
      </c>
      <c r="J94" t="b">
        <f ca="1">IF($B93&gt;0,MOD(COUNTIFS($B$5:$B94,J$3),2)=1,"")</f>
        <v>0</v>
      </c>
      <c r="K94" t="b">
        <f ca="1">IF($B93&gt;0,MOD(COUNTIFS($B$5:$B94,K$3),2)=1,"")</f>
        <v>0</v>
      </c>
      <c r="L94">
        <f ca="1">IF($B94&gt;0,COUNTIFS($B$5:$B94,6),"")</f>
        <v>18</v>
      </c>
      <c r="N94" t="str">
        <f ca="1">IF(COUNTIF($C$5:$E93,0)&gt;0,"",IF(B93=6,N93,IF(N93=3,N93-2,N93+1)))</f>
        <v/>
      </c>
    </row>
    <row r="95" spans="1:14" x14ac:dyDescent="0.25">
      <c r="A95" t="str">
        <f t="shared" ca="1" si="4"/>
        <v/>
      </c>
      <c r="B95">
        <f t="shared" ca="1" si="5"/>
        <v>5</v>
      </c>
      <c r="C95" t="str">
        <f ca="1">IF($N$5:$N95="","",C94+_xlfn.IFS($A95&lt;&gt;C$3,0,$B95=6,-1,INDEX($G94:$K94,1,$B95),1,TRUE,-1))</f>
        <v/>
      </c>
      <c r="D95" t="str">
        <f ca="1">IF($N$5:$N95="","",D94+_xlfn.IFS($A95&lt;&gt;D$3,0,$B95=6,-1,INDEX($G94:$K94,1,$B95),1,TRUE,-1))</f>
        <v/>
      </c>
      <c r="E95" t="str">
        <f ca="1">IF($N$5:$N95="","",E94+_xlfn.IFS($A95&lt;&gt;E$3,0,$B95=6,-1,INDEX($G94:$K94,1,$B95),1,TRUE,-1))</f>
        <v/>
      </c>
      <c r="G95" t="b">
        <f ca="1">IF($B94&gt;0,MOD(COUNTIFS($B$5:$B95,G$3),2)=1,"")</f>
        <v>0</v>
      </c>
      <c r="H95" t="b">
        <f ca="1">IF($B94&gt;0,MOD(COUNTIFS($B$5:$B95,H$3),2)=1,"")</f>
        <v>0</v>
      </c>
      <c r="I95" t="b">
        <f ca="1">IF($B94&gt;0,MOD(COUNTIFS($B$5:$B95,I$3),2)=1,"")</f>
        <v>0</v>
      </c>
      <c r="J95" t="b">
        <f ca="1">IF($B94&gt;0,MOD(COUNTIFS($B$5:$B95,J$3),2)=1,"")</f>
        <v>0</v>
      </c>
      <c r="K95" t="b">
        <f ca="1">IF($B94&gt;0,MOD(COUNTIFS($B$5:$B95,K$3),2)=1,"")</f>
        <v>1</v>
      </c>
      <c r="L95">
        <f ca="1">IF($B95&gt;0,COUNTIFS($B$5:$B95,6),"")</f>
        <v>18</v>
      </c>
      <c r="N95" t="str">
        <f ca="1">IF(COUNTIF($C$5:$E94,0)&gt;0,"",IF(B94=6,N94,IF(N94=3,N94-2,N94+1)))</f>
        <v/>
      </c>
    </row>
    <row r="96" spans="1:14" x14ac:dyDescent="0.25">
      <c r="A96" t="str">
        <f t="shared" ca="1" si="4"/>
        <v/>
      </c>
      <c r="B96">
        <f t="shared" ca="1" si="5"/>
        <v>2</v>
      </c>
      <c r="C96" t="str">
        <f ca="1">IF($N$5:$N96="","",C95+_xlfn.IFS($A96&lt;&gt;C$3,0,$B96=6,-1,INDEX($G95:$K95,1,$B96),1,TRUE,-1))</f>
        <v/>
      </c>
      <c r="D96" t="str">
        <f ca="1">IF($N$5:$N96="","",D95+_xlfn.IFS($A96&lt;&gt;D$3,0,$B96=6,-1,INDEX($G95:$K95,1,$B96),1,TRUE,-1))</f>
        <v/>
      </c>
      <c r="E96" t="str">
        <f ca="1">IF($N$5:$N96="","",E95+_xlfn.IFS($A96&lt;&gt;E$3,0,$B96=6,-1,INDEX($G95:$K95,1,$B96),1,TRUE,-1))</f>
        <v/>
      </c>
      <c r="G96" t="b">
        <f ca="1">IF($B95&gt;0,MOD(COUNTIFS($B$5:$B96,G$3),2)=1,"")</f>
        <v>0</v>
      </c>
      <c r="H96" t="b">
        <f ca="1">IF($B95&gt;0,MOD(COUNTIFS($B$5:$B96,H$3),2)=1,"")</f>
        <v>1</v>
      </c>
      <c r="I96" t="b">
        <f ca="1">IF($B95&gt;0,MOD(COUNTIFS($B$5:$B96,I$3),2)=1,"")</f>
        <v>0</v>
      </c>
      <c r="J96" t="b">
        <f ca="1">IF($B95&gt;0,MOD(COUNTIFS($B$5:$B96,J$3),2)=1,"")</f>
        <v>0</v>
      </c>
      <c r="K96" t="b">
        <f ca="1">IF($B95&gt;0,MOD(COUNTIFS($B$5:$B96,K$3),2)=1,"")</f>
        <v>1</v>
      </c>
      <c r="L96">
        <f ca="1">IF($B96&gt;0,COUNTIFS($B$5:$B96,6),"")</f>
        <v>18</v>
      </c>
      <c r="N96" t="str">
        <f ca="1">IF(COUNTIF($C$5:$E95,0)&gt;0,"",IF(B95=6,N95,IF(N95=3,N95-2,N95+1)))</f>
        <v/>
      </c>
    </row>
    <row r="97" spans="1:14" x14ac:dyDescent="0.25">
      <c r="A97" t="str">
        <f t="shared" ca="1" si="4"/>
        <v/>
      </c>
      <c r="B97">
        <f t="shared" ca="1" si="5"/>
        <v>2</v>
      </c>
      <c r="C97" t="str">
        <f ca="1">IF($N$5:$N97="","",C96+_xlfn.IFS($A97&lt;&gt;C$3,0,$B97=6,-1,INDEX($G96:$K96,1,$B97),1,TRUE,-1))</f>
        <v/>
      </c>
      <c r="D97" t="str">
        <f ca="1">IF($N$5:$N97="","",D96+_xlfn.IFS($A97&lt;&gt;D$3,0,$B97=6,-1,INDEX($G96:$K96,1,$B97),1,TRUE,-1))</f>
        <v/>
      </c>
      <c r="E97" t="str">
        <f ca="1">IF($N$5:$N97="","",E96+_xlfn.IFS($A97&lt;&gt;E$3,0,$B97=6,-1,INDEX($G96:$K96,1,$B97),1,TRUE,-1))</f>
        <v/>
      </c>
      <c r="G97" t="b">
        <f ca="1">IF($B96&gt;0,MOD(COUNTIFS($B$5:$B97,G$3),2)=1,"")</f>
        <v>0</v>
      </c>
      <c r="H97" t="b">
        <f ca="1">IF($B96&gt;0,MOD(COUNTIFS($B$5:$B97,H$3),2)=1,"")</f>
        <v>0</v>
      </c>
      <c r="I97" t="b">
        <f ca="1">IF($B96&gt;0,MOD(COUNTIFS($B$5:$B97,I$3),2)=1,"")</f>
        <v>0</v>
      </c>
      <c r="J97" t="b">
        <f ca="1">IF($B96&gt;0,MOD(COUNTIFS($B$5:$B97,J$3),2)=1,"")</f>
        <v>0</v>
      </c>
      <c r="K97" t="b">
        <f ca="1">IF($B96&gt;0,MOD(COUNTIFS($B$5:$B97,K$3),2)=1,"")</f>
        <v>1</v>
      </c>
      <c r="L97">
        <f ca="1">IF($B97&gt;0,COUNTIFS($B$5:$B97,6),"")</f>
        <v>18</v>
      </c>
      <c r="N97" t="str">
        <f ca="1">IF(COUNTIF($C$5:$E96,0)&gt;0,"",IF(B96=6,N96,IF(N96=3,N96-2,N96+1)))</f>
        <v/>
      </c>
    </row>
    <row r="98" spans="1:14" x14ac:dyDescent="0.25">
      <c r="A98" t="str">
        <f t="shared" ca="1" si="4"/>
        <v/>
      </c>
      <c r="B98">
        <f t="shared" ca="1" si="5"/>
        <v>5</v>
      </c>
      <c r="C98" t="str">
        <f ca="1">IF($N$5:$N98="","",C97+_xlfn.IFS($A98&lt;&gt;C$3,0,$B98=6,-1,INDEX($G97:$K97,1,$B98),1,TRUE,-1))</f>
        <v/>
      </c>
      <c r="D98" t="str">
        <f ca="1">IF($N$5:$N98="","",D97+_xlfn.IFS($A98&lt;&gt;D$3,0,$B98=6,-1,INDEX($G97:$K97,1,$B98),1,TRUE,-1))</f>
        <v/>
      </c>
      <c r="E98" t="str">
        <f ca="1">IF($N$5:$N98="","",E97+_xlfn.IFS($A98&lt;&gt;E$3,0,$B98=6,-1,INDEX($G97:$K97,1,$B98),1,TRUE,-1))</f>
        <v/>
      </c>
      <c r="G98" t="b">
        <f ca="1">IF($B97&gt;0,MOD(COUNTIFS($B$5:$B98,G$3),2)=1,"")</f>
        <v>0</v>
      </c>
      <c r="H98" t="b">
        <f ca="1">IF($B97&gt;0,MOD(COUNTIFS($B$5:$B98,H$3),2)=1,"")</f>
        <v>0</v>
      </c>
      <c r="I98" t="b">
        <f ca="1">IF($B97&gt;0,MOD(COUNTIFS($B$5:$B98,I$3),2)=1,"")</f>
        <v>0</v>
      </c>
      <c r="J98" t="b">
        <f ca="1">IF($B97&gt;0,MOD(COUNTIFS($B$5:$B98,J$3),2)=1,"")</f>
        <v>0</v>
      </c>
      <c r="K98" t="b">
        <f ca="1">IF($B97&gt;0,MOD(COUNTIFS($B$5:$B98,K$3),2)=1,"")</f>
        <v>0</v>
      </c>
      <c r="L98">
        <f ca="1">IF($B98&gt;0,COUNTIFS($B$5:$B98,6),"")</f>
        <v>18</v>
      </c>
      <c r="N98" t="str">
        <f ca="1">IF(COUNTIF($C$5:$E97,0)&gt;0,"",IF(B97=6,N97,IF(N97=3,N97-2,N97+1)))</f>
        <v/>
      </c>
    </row>
    <row r="99" spans="1:14" x14ac:dyDescent="0.25">
      <c r="A99" t="str">
        <f t="shared" ca="1" si="4"/>
        <v/>
      </c>
      <c r="B99">
        <f t="shared" ca="1" si="5"/>
        <v>4</v>
      </c>
      <c r="C99" t="str">
        <f ca="1">IF($N$5:$N99="","",C98+_xlfn.IFS($A99&lt;&gt;C$3,0,$B99=6,-1,INDEX($G98:$K98,1,$B99),1,TRUE,-1))</f>
        <v/>
      </c>
      <c r="D99" t="str">
        <f ca="1">IF($N$5:$N99="","",D98+_xlfn.IFS($A99&lt;&gt;D$3,0,$B99=6,-1,INDEX($G98:$K98,1,$B99),1,TRUE,-1))</f>
        <v/>
      </c>
      <c r="E99" t="str">
        <f ca="1">IF($N$5:$N99="","",E98+_xlfn.IFS($A99&lt;&gt;E$3,0,$B99=6,-1,INDEX($G98:$K98,1,$B99),1,TRUE,-1))</f>
        <v/>
      </c>
      <c r="G99" t="b">
        <f ca="1">IF($B98&gt;0,MOD(COUNTIFS($B$5:$B99,G$3),2)=1,"")</f>
        <v>0</v>
      </c>
      <c r="H99" t="b">
        <f ca="1">IF($B98&gt;0,MOD(COUNTIFS($B$5:$B99,H$3),2)=1,"")</f>
        <v>0</v>
      </c>
      <c r="I99" t="b">
        <f ca="1">IF($B98&gt;0,MOD(COUNTIFS($B$5:$B99,I$3),2)=1,"")</f>
        <v>0</v>
      </c>
      <c r="J99" t="b">
        <f ca="1">IF($B98&gt;0,MOD(COUNTIFS($B$5:$B99,J$3),2)=1,"")</f>
        <v>1</v>
      </c>
      <c r="K99" t="b">
        <f ca="1">IF($B98&gt;0,MOD(COUNTIFS($B$5:$B99,K$3),2)=1,"")</f>
        <v>0</v>
      </c>
      <c r="L99">
        <f ca="1">IF($B99&gt;0,COUNTIFS($B$5:$B99,6),"")</f>
        <v>18</v>
      </c>
      <c r="N99" t="str">
        <f ca="1">IF(COUNTIF($C$5:$E98,0)&gt;0,"",IF(B98=6,N98,IF(N98=3,N98-2,N98+1)))</f>
        <v/>
      </c>
    </row>
    <row r="100" spans="1:14" x14ac:dyDescent="0.25">
      <c r="A100" t="str">
        <f t="shared" ca="1" si="4"/>
        <v/>
      </c>
      <c r="B100">
        <f t="shared" ca="1" si="5"/>
        <v>3</v>
      </c>
      <c r="C100" t="str">
        <f ca="1">IF($N$5:$N100="","",C99+_xlfn.IFS($A100&lt;&gt;C$3,0,$B100=6,-1,INDEX($G99:$K99,1,$B100),1,TRUE,-1))</f>
        <v/>
      </c>
      <c r="D100" t="str">
        <f ca="1">IF($N$5:$N100="","",D99+_xlfn.IFS($A100&lt;&gt;D$3,0,$B100=6,-1,INDEX($G99:$K99,1,$B100),1,TRUE,-1))</f>
        <v/>
      </c>
      <c r="E100" t="str">
        <f ca="1">IF($N$5:$N100="","",E99+_xlfn.IFS($A100&lt;&gt;E$3,0,$B100=6,-1,INDEX($G99:$K99,1,$B100),1,TRUE,-1))</f>
        <v/>
      </c>
      <c r="G100" t="b">
        <f ca="1">IF($B99&gt;0,MOD(COUNTIFS($B$5:$B100,G$3),2)=1,"")</f>
        <v>0</v>
      </c>
      <c r="H100" t="b">
        <f ca="1">IF($B99&gt;0,MOD(COUNTIFS($B$5:$B100,H$3),2)=1,"")</f>
        <v>0</v>
      </c>
      <c r="I100" t="b">
        <f ca="1">IF($B99&gt;0,MOD(COUNTIFS($B$5:$B100,I$3),2)=1,"")</f>
        <v>1</v>
      </c>
      <c r="J100" t="b">
        <f ca="1">IF($B99&gt;0,MOD(COUNTIFS($B$5:$B100,J$3),2)=1,"")</f>
        <v>1</v>
      </c>
      <c r="K100" t="b">
        <f ca="1">IF($B99&gt;0,MOD(COUNTIFS($B$5:$B100,K$3),2)=1,"")</f>
        <v>0</v>
      </c>
      <c r="L100">
        <f ca="1">IF($B100&gt;0,COUNTIFS($B$5:$B100,6),"")</f>
        <v>18</v>
      </c>
      <c r="N100" t="str">
        <f ca="1">IF(COUNTIF($C$5:$E99,0)&gt;0,"",IF(B99=6,N99,IF(N99=3,N99-2,N99+1)))</f>
        <v/>
      </c>
    </row>
    <row r="101" spans="1:14" x14ac:dyDescent="0.25">
      <c r="A101" t="str">
        <f t="shared" ca="1" si="4"/>
        <v/>
      </c>
      <c r="B101">
        <f t="shared" ca="1" si="5"/>
        <v>1</v>
      </c>
      <c r="C101" t="str">
        <f ca="1">IF($N$5:$N101="","",C100+_xlfn.IFS($A101&lt;&gt;C$3,0,$B101=6,-1,INDEX($G100:$K100,1,$B101),1,TRUE,-1))</f>
        <v/>
      </c>
      <c r="D101" t="str">
        <f ca="1">IF($N$5:$N101="","",D100+_xlfn.IFS($A101&lt;&gt;D$3,0,$B101=6,-1,INDEX($G100:$K100,1,$B101),1,TRUE,-1))</f>
        <v/>
      </c>
      <c r="E101" t="str">
        <f ca="1">IF($N$5:$N101="","",E100+_xlfn.IFS($A101&lt;&gt;E$3,0,$B101=6,-1,INDEX($G100:$K100,1,$B101),1,TRUE,-1))</f>
        <v/>
      </c>
      <c r="G101" t="b">
        <f ca="1">IF($B100&gt;0,MOD(COUNTIFS($B$5:$B101,G$3),2)=1,"")</f>
        <v>1</v>
      </c>
      <c r="H101" t="b">
        <f ca="1">IF($B100&gt;0,MOD(COUNTIFS($B$5:$B101,H$3),2)=1,"")</f>
        <v>0</v>
      </c>
      <c r="I101" t="b">
        <f ca="1">IF($B100&gt;0,MOD(COUNTIFS($B$5:$B101,I$3),2)=1,"")</f>
        <v>1</v>
      </c>
      <c r="J101" t="b">
        <f ca="1">IF($B100&gt;0,MOD(COUNTIFS($B$5:$B101,J$3),2)=1,"")</f>
        <v>1</v>
      </c>
      <c r="K101" t="b">
        <f ca="1">IF($B100&gt;0,MOD(COUNTIFS($B$5:$B101,K$3),2)=1,"")</f>
        <v>0</v>
      </c>
      <c r="L101">
        <f ca="1">IF($B101&gt;0,COUNTIFS($B$5:$B101,6),"")</f>
        <v>18</v>
      </c>
      <c r="N101" t="str">
        <f ca="1">IF(COUNTIF($C$5:$E100,0)&gt;0,"",IF(B100=6,N100,IF(N100=3,N100-2,N100+1)))</f>
        <v/>
      </c>
    </row>
    <row r="102" spans="1:14" x14ac:dyDescent="0.25">
      <c r="A102" t="str">
        <f t="shared" ca="1" si="4"/>
        <v/>
      </c>
      <c r="B102">
        <f t="shared" ca="1" si="5"/>
        <v>6</v>
      </c>
      <c r="C102" t="str">
        <f ca="1">IF($N$5:$N102="","",C101+_xlfn.IFS($A102&lt;&gt;C$3,0,$B102=6,-1,INDEX($G101:$K101,1,$B102),1,TRUE,-1))</f>
        <v/>
      </c>
      <c r="D102" t="str">
        <f ca="1">IF($N$5:$N102="","",D101+_xlfn.IFS($A102&lt;&gt;D$3,0,$B102=6,-1,INDEX($G101:$K101,1,$B102),1,TRUE,-1))</f>
        <v/>
      </c>
      <c r="E102" t="str">
        <f ca="1">IF($N$5:$N102="","",E101+_xlfn.IFS($A102&lt;&gt;E$3,0,$B102=6,-1,INDEX($G101:$K101,1,$B102),1,TRUE,-1))</f>
        <v/>
      </c>
      <c r="G102" t="b">
        <f ca="1">IF($B101&gt;0,MOD(COUNTIFS($B$5:$B102,G$3),2)=1,"")</f>
        <v>1</v>
      </c>
      <c r="H102" t="b">
        <f ca="1">IF($B101&gt;0,MOD(COUNTIFS($B$5:$B102,H$3),2)=1,"")</f>
        <v>0</v>
      </c>
      <c r="I102" t="b">
        <f ca="1">IF($B101&gt;0,MOD(COUNTIFS($B$5:$B102,I$3),2)=1,"")</f>
        <v>1</v>
      </c>
      <c r="J102" t="b">
        <f ca="1">IF($B101&gt;0,MOD(COUNTIFS($B$5:$B102,J$3),2)=1,"")</f>
        <v>1</v>
      </c>
      <c r="K102" t="b">
        <f ca="1">IF($B101&gt;0,MOD(COUNTIFS($B$5:$B102,K$3),2)=1,"")</f>
        <v>0</v>
      </c>
      <c r="L102">
        <f ca="1">IF($B102&gt;0,COUNTIFS($B$5:$B102,6),"")</f>
        <v>19</v>
      </c>
      <c r="N102" t="str">
        <f ca="1">IF(COUNTIF($C$5:$E101,0)&gt;0,"",IF(B101=6,N101,IF(N101=3,N101-2,N101+1)))</f>
        <v/>
      </c>
    </row>
    <row r="103" spans="1:14" x14ac:dyDescent="0.25">
      <c r="A103" t="str">
        <f t="shared" ca="1" si="4"/>
        <v/>
      </c>
      <c r="B103">
        <f t="shared" ca="1" si="5"/>
        <v>5</v>
      </c>
      <c r="C103" t="str">
        <f ca="1">IF($N$5:$N103="","",C102+_xlfn.IFS($A103&lt;&gt;C$3,0,$B103=6,-1,INDEX($G102:$K102,1,$B103),1,TRUE,-1))</f>
        <v/>
      </c>
      <c r="D103" t="str">
        <f ca="1">IF($N$5:$N103="","",D102+_xlfn.IFS($A103&lt;&gt;D$3,0,$B103=6,-1,INDEX($G102:$K102,1,$B103),1,TRUE,-1))</f>
        <v/>
      </c>
      <c r="E103" t="str">
        <f ca="1">IF($N$5:$N103="","",E102+_xlfn.IFS($A103&lt;&gt;E$3,0,$B103=6,-1,INDEX($G102:$K102,1,$B103),1,TRUE,-1))</f>
        <v/>
      </c>
      <c r="G103" t="b">
        <f ca="1">IF($B102&gt;0,MOD(COUNTIFS($B$5:$B103,G$3),2)=1,"")</f>
        <v>1</v>
      </c>
      <c r="H103" t="b">
        <f ca="1">IF($B102&gt;0,MOD(COUNTIFS($B$5:$B103,H$3),2)=1,"")</f>
        <v>0</v>
      </c>
      <c r="I103" t="b">
        <f ca="1">IF($B102&gt;0,MOD(COUNTIFS($B$5:$B103,I$3),2)=1,"")</f>
        <v>1</v>
      </c>
      <c r="J103" t="b">
        <f ca="1">IF($B102&gt;0,MOD(COUNTIFS($B$5:$B103,J$3),2)=1,"")</f>
        <v>1</v>
      </c>
      <c r="K103" t="b">
        <f ca="1">IF($B102&gt;0,MOD(COUNTIFS($B$5:$B103,K$3),2)=1,"")</f>
        <v>1</v>
      </c>
      <c r="L103">
        <f ca="1">IF($B103&gt;0,COUNTIFS($B$5:$B103,6),"")</f>
        <v>19</v>
      </c>
      <c r="N103" t="str">
        <f ca="1">IF(COUNTIF($C$5:$E102,0)&gt;0,"",IF(B102=6,N102,IF(N102=3,N102-2,N102+1)))</f>
        <v/>
      </c>
    </row>
    <row r="104" spans="1:14" x14ac:dyDescent="0.25">
      <c r="A104" t="str">
        <f t="shared" ca="1" si="4"/>
        <v/>
      </c>
      <c r="B104">
        <f t="shared" ca="1" si="5"/>
        <v>1</v>
      </c>
      <c r="C104" t="str">
        <f ca="1">IF($N$5:$N104="","",C103+_xlfn.IFS($A104&lt;&gt;C$3,0,$B104=6,-1,INDEX($G103:$K103,1,$B104),1,TRUE,-1))</f>
        <v/>
      </c>
      <c r="D104" t="str">
        <f ca="1">IF($N$5:$N104="","",D103+_xlfn.IFS($A104&lt;&gt;D$3,0,$B104=6,-1,INDEX($G103:$K103,1,$B104),1,TRUE,-1))</f>
        <v/>
      </c>
      <c r="E104" t="str">
        <f ca="1">IF($N$5:$N104="","",E103+_xlfn.IFS($A104&lt;&gt;E$3,0,$B104=6,-1,INDEX($G103:$K103,1,$B104),1,TRUE,-1))</f>
        <v/>
      </c>
      <c r="G104" t="b">
        <f ca="1">IF($B103&gt;0,MOD(COUNTIFS($B$5:$B104,G$3),2)=1,"")</f>
        <v>0</v>
      </c>
      <c r="H104" t="b">
        <f ca="1">IF($B103&gt;0,MOD(COUNTIFS($B$5:$B104,H$3),2)=1,"")</f>
        <v>0</v>
      </c>
      <c r="I104" t="b">
        <f ca="1">IF($B103&gt;0,MOD(COUNTIFS($B$5:$B104,I$3),2)=1,"")</f>
        <v>1</v>
      </c>
      <c r="J104" t="b">
        <f ca="1">IF($B103&gt;0,MOD(COUNTIFS($B$5:$B104,J$3),2)=1,"")</f>
        <v>1</v>
      </c>
      <c r="K104" t="b">
        <f ca="1">IF($B103&gt;0,MOD(COUNTIFS($B$5:$B104,K$3),2)=1,"")</f>
        <v>1</v>
      </c>
      <c r="L104">
        <f ca="1">IF($B104&gt;0,COUNTIFS($B$5:$B104,6),"")</f>
        <v>19</v>
      </c>
      <c r="N104" t="str">
        <f ca="1">IF(COUNTIF($C$5:$E103,0)&gt;0,"",IF(B103=6,N103,IF(N103=3,N103-2,N103+1)))</f>
        <v/>
      </c>
    </row>
  </sheetData>
  <conditionalFormatting sqref="G5:K104">
    <cfRule type="cellIs" dxfId="1" priority="2" operator="equal">
      <formula>TRUE</formula>
    </cfRule>
    <cfRule type="cellIs" dxfId="0" priority="1" operator="equal">
      <formula>FALSE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Sipos Kristóf</dc:creator>
  <cp:lastModifiedBy>Sipos Kristóf</cp:lastModifiedBy>
  <dcterms:created xsi:type="dcterms:W3CDTF">2026-03-25T08:45:34Z</dcterms:created>
  <dcterms:modified xsi:type="dcterms:W3CDTF">2026-04-22T07:09:59Z</dcterms:modified>
</cp:coreProperties>
</file>