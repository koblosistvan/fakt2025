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Python\fakt2025\Sipos Kristóf\Excel\nkp\1.Feladat\"/>
    </mc:Choice>
  </mc:AlternateContent>
  <xr:revisionPtr revIDLastSave="0" documentId="13_ncr:1_{8B0D3BD7-6431-4753-995C-5DF6CE46040F}" xr6:coauthVersionLast="36" xr6:coauthVersionMax="36" xr10:uidLastSave="{00000000-0000-0000-0000-000000000000}"/>
  <bookViews>
    <workbookView xWindow="0" yWindow="0" windowWidth="21600" windowHeight="9405" xr2:uid="{295E5CFA-215C-4D59-A02A-5C9D0D16A841}"/>
  </bookViews>
  <sheets>
    <sheet name="Munka1" sheetId="1" r:id="rId1"/>
  </sheets>
  <definedNames>
    <definedName name="címjegyzék">Munka1!$A$2:$D$34</definedName>
    <definedName name="h">Munka1!$H$3:$H$9</definedName>
    <definedName name="távolságok">Munka1!$H$3:$H$9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5" i="1" l="1"/>
  <c r="K4" i="1" s="1"/>
  <c r="K6" i="1"/>
  <c r="K3" i="1"/>
  <c r="K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2" i="1"/>
  <c r="L4" i="1" l="1"/>
</calcChain>
</file>

<file path=xl/sharedStrings.xml><?xml version="1.0" encoding="utf-8"?>
<sst xmlns="http://schemas.openxmlformats.org/spreadsheetml/2006/main" count="45" uniqueCount="44">
  <si>
    <t>Üzlet neve</t>
  </si>
  <si>
    <t>x (m)</t>
  </si>
  <si>
    <t>y (m)</t>
  </si>
  <si>
    <t>Nevek</t>
  </si>
  <si>
    <t>Táv (m)</t>
  </si>
  <si>
    <t>Telephely</t>
  </si>
  <si>
    <t>Napi úthossz:</t>
  </si>
  <si>
    <t>El-Hordó</t>
  </si>
  <si>
    <t>Legnagyobb táv:</t>
  </si>
  <si>
    <t>Foxi</t>
  </si>
  <si>
    <t>Üzletek között:</t>
  </si>
  <si>
    <t>Rézkatlan</t>
  </si>
  <si>
    <t>Hányadik:</t>
  </si>
  <si>
    <t>Ama-tőr</t>
  </si>
  <si>
    <t>Karavándor</t>
  </si>
  <si>
    <t>Batiszt</t>
  </si>
  <si>
    <t>Bábel</t>
  </si>
  <si>
    <t>Csigavér</t>
  </si>
  <si>
    <t>Hajtás</t>
  </si>
  <si>
    <t>TopRongy</t>
  </si>
  <si>
    <t>Tör-Pék</t>
  </si>
  <si>
    <t>Vasi</t>
  </si>
  <si>
    <t>IdeSüss</t>
  </si>
  <si>
    <t>Írókéz</t>
  </si>
  <si>
    <t>Kistorkos</t>
  </si>
  <si>
    <t>KopaszTom</t>
  </si>
  <si>
    <t>RakpArt</t>
  </si>
  <si>
    <t>SzemPont</t>
  </si>
  <si>
    <t>Telebendő</t>
  </si>
  <si>
    <t>Épkézláb</t>
  </si>
  <si>
    <t>Gondoldó</t>
  </si>
  <si>
    <t>Gyöngy-Ház</t>
  </si>
  <si>
    <t>Kutyabaj</t>
  </si>
  <si>
    <t>Panyolai</t>
  </si>
  <si>
    <t>Netmester</t>
  </si>
  <si>
    <t>Zár-Ba-Zár</t>
  </si>
  <si>
    <t>Aranybánya</t>
  </si>
  <si>
    <t>Dologidő</t>
  </si>
  <si>
    <t>Kulcsember</t>
  </si>
  <si>
    <t>Ládafia</t>
  </si>
  <si>
    <t>Tájképész</t>
  </si>
  <si>
    <t>Tekergő</t>
  </si>
  <si>
    <t>Üzlet    sorszáma</t>
  </si>
  <si>
    <t>Napi   sorrend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</si>
</sst>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0&quot; m&quot;"/>
    <numFmt numFmtId="166" formatCode="0&quot; km&quot;"/>
  </numFmts>
  <fonts count="2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166" fontId="0" fillId="0" borderId="0" xfId="0" applyNumberFormat="1"/>
    <xf numFmtId="1" fontId="0" fillId="0" borderId="0" xfId="0" applyNumberFormat="1"/>
    <xf numFmtId="0" fontId="0" fillId="0" borderId="0" xfId="0" applyNumberFormat="1" applyAlignment="1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4" xfId="0" applyBorder="1"/>
    <xf numFmtId="0" fontId="0" fillId="0" borderId="5" xfId="0" applyBorder="1"/>
    <xf numFmtId="165" fontId="0" fillId="0" borderId="6" xfId="0" applyNumberForma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2" borderId="0" xfId="0" applyFill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AD114-8165-478A-95D7-2D41F4864188}">
  <dimension ref="A1:L34"/>
  <sheetViews>
    <sheetView tabSelected="1" workbookViewId="0">
      <selection activeCell="K26" sqref="K26"/>
    </sheetView>
  </sheetViews>
  <sheetFormatPr defaultRowHeight="15" x14ac:dyDescent="0.25"/>
  <cols>
    <col min="1" max="1" width="9.140625" bestFit="1" customWidth="1"/>
    <col min="2" max="2" width="11.42578125" bestFit="1" customWidth="1"/>
    <col min="3" max="4" width="6" bestFit="1" customWidth="1"/>
    <col min="6" max="6" width="12.42578125" bestFit="1" customWidth="1"/>
    <col min="7" max="7" width="11.42578125" bestFit="1" customWidth="1"/>
    <col min="8" max="8" width="10.28515625" bestFit="1" customWidth="1"/>
    <col min="10" max="10" width="15.42578125" bestFit="1" customWidth="1"/>
    <col min="11" max="11" width="10.28515625" bestFit="1" customWidth="1"/>
    <col min="12" max="12" width="10.5703125" bestFit="1" customWidth="1"/>
    <col min="14" max="14" width="10.28515625" bestFit="1" customWidth="1"/>
  </cols>
  <sheetData>
    <row r="1" spans="1:12" ht="30" customHeight="1" x14ac:dyDescent="0.25">
      <c r="A1" s="4" t="s">
        <v>42</v>
      </c>
      <c r="B1" s="4" t="s">
        <v>0</v>
      </c>
      <c r="C1" s="5" t="s">
        <v>1</v>
      </c>
      <c r="D1" s="5" t="s">
        <v>2</v>
      </c>
      <c r="F1" s="6" t="s">
        <v>43</v>
      </c>
      <c r="G1" s="7" t="s">
        <v>3</v>
      </c>
      <c r="H1" s="8" t="s">
        <v>4</v>
      </c>
    </row>
    <row r="2" spans="1:12" x14ac:dyDescent="0.25">
      <c r="A2">
        <v>1</v>
      </c>
      <c r="B2" t="s">
        <v>5</v>
      </c>
      <c r="C2">
        <v>-6890</v>
      </c>
      <c r="D2">
        <v>-4890</v>
      </c>
      <c r="F2" s="9">
        <v>1</v>
      </c>
      <c r="G2" s="10" t="str">
        <f>IFERROR(LOOKUP(F2,$A$2:$B$34),"")</f>
        <v>Telephely</v>
      </c>
      <c r="H2" s="11">
        <f>IFERROR(ABS(VLOOKUP(F2,címjegyzék,3)-VLOOKUP(F3,címjegyzék,3))+ABS(VLOOKUP(F2,címjegyzék,4)-VLOOKUP(F3,címjegyzék,4)),"")</f>
        <v>2502</v>
      </c>
      <c r="J2" t="s">
        <v>6</v>
      </c>
      <c r="K2" s="1">
        <f>SUM(H2:H30)/1000</f>
        <v>247.64400000000001</v>
      </c>
    </row>
    <row r="3" spans="1:12" x14ac:dyDescent="0.25">
      <c r="A3">
        <v>2</v>
      </c>
      <c r="B3" t="s">
        <v>7</v>
      </c>
      <c r="C3">
        <v>10612</v>
      </c>
      <c r="D3">
        <v>9767</v>
      </c>
      <c r="F3" s="9">
        <v>29</v>
      </c>
      <c r="G3" s="10" t="str">
        <f t="shared" ref="G3:G30" si="0">IFERROR(LOOKUP(F3,$A$2:$B$34),"")</f>
        <v>Dologidő</v>
      </c>
      <c r="H3" s="11">
        <f>IFERROR(ABS(VLOOKUP(F3,címjegyzék,3)-VLOOKUP(F4,címjegyzék,3))+ABS(VLOOKUP(F3,címjegyzék,4)-VLOOKUP(F4,címjegyzék,4)),"")</f>
        <v>9645</v>
      </c>
      <c r="J3" t="s">
        <v>8</v>
      </c>
      <c r="K3" s="1">
        <f>MAX(H2:H30)/1000</f>
        <v>27.888999999999999</v>
      </c>
    </row>
    <row r="4" spans="1:12" x14ac:dyDescent="0.25">
      <c r="A4">
        <v>3</v>
      </c>
      <c r="B4" t="s">
        <v>9</v>
      </c>
      <c r="C4">
        <v>1766</v>
      </c>
      <c r="D4">
        <v>-8893</v>
      </c>
      <c r="F4" s="9">
        <v>10</v>
      </c>
      <c r="G4" s="10" t="str">
        <f t="shared" si="0"/>
        <v>TopRongy</v>
      </c>
      <c r="H4" s="11">
        <f>IFERROR(ABS(VLOOKUP(F4,címjegyzék,3)-VLOOKUP(F5,címjegyzék,3))+ABS(VLOOKUP(F4,címjegyzék,4)-VLOOKUP(F5,címjegyzék,4)),"")</f>
        <v>2458</v>
      </c>
      <c r="J4" t="s">
        <v>10</v>
      </c>
      <c r="K4" s="3" t="str">
        <f>INDEX(F2:H30,K5,2)</f>
        <v>Batiszt</v>
      </c>
      <c r="L4" t="str">
        <f>INDEX(F2:H30,K5+1,2)</f>
        <v>Netmester</v>
      </c>
    </row>
    <row r="5" spans="1:12" x14ac:dyDescent="0.25">
      <c r="A5">
        <v>4</v>
      </c>
      <c r="B5" t="s">
        <v>11</v>
      </c>
      <c r="C5">
        <v>7791</v>
      </c>
      <c r="D5">
        <v>-620</v>
      </c>
      <c r="F5" s="9">
        <v>19</v>
      </c>
      <c r="G5" s="10" t="str">
        <f t="shared" si="0"/>
        <v>Telebendő</v>
      </c>
      <c r="H5" s="11">
        <f>IFERROR(ABS(VLOOKUP(F5,címjegyzék,3)-VLOOKUP(F6,címjegyzék,3))+ABS(VLOOKUP(F5,címjegyzék,4)-VLOOKUP(F6,címjegyzék,4)),"")</f>
        <v>1179</v>
      </c>
      <c r="J5" t="s">
        <v>12</v>
      </c>
      <c r="K5" s="2">
        <f>MATCH(MAX(H2:H30),H2:H30,0)</f>
        <v>10</v>
      </c>
    </row>
    <row r="6" spans="1:12" x14ac:dyDescent="0.25">
      <c r="A6">
        <v>5</v>
      </c>
      <c r="B6" t="s">
        <v>13</v>
      </c>
      <c r="C6">
        <v>-120</v>
      </c>
      <c r="D6">
        <v>-7376</v>
      </c>
      <c r="F6" s="9">
        <v>22</v>
      </c>
      <c r="G6" s="10" t="str">
        <f t="shared" si="0"/>
        <v>Gyöngy-Ház</v>
      </c>
      <c r="H6" s="11">
        <f>IFERROR(ABS(VLOOKUP(F6,címjegyzék,3)-VLOOKUP(F7,címjegyzék,3))+ABS(VLOOKUP(F6,címjegyzék,4)-VLOOKUP(F7,címjegyzék,4)),"")</f>
        <v>7872</v>
      </c>
      <c r="J6" s="15" t="s">
        <v>14</v>
      </c>
      <c r="K6" s="2">
        <f>COUNTIF(G2:G30,J6)</f>
        <v>2</v>
      </c>
    </row>
    <row r="7" spans="1:12" x14ac:dyDescent="0.25">
      <c r="A7">
        <v>6</v>
      </c>
      <c r="B7" t="s">
        <v>15</v>
      </c>
      <c r="C7">
        <v>-1827</v>
      </c>
      <c r="D7">
        <v>-5652</v>
      </c>
      <c r="F7" s="9">
        <v>24</v>
      </c>
      <c r="G7" s="10" t="str">
        <f t="shared" si="0"/>
        <v>Karavándor</v>
      </c>
      <c r="H7" s="11">
        <f>IFERROR(ABS(VLOOKUP(F7,címjegyzék,3)-VLOOKUP(F8,címjegyzék,3))+ABS(VLOOKUP(F7,címjegyzék,4)-VLOOKUP(F8,címjegyzék,4)),"")</f>
        <v>1800</v>
      </c>
    </row>
    <row r="8" spans="1:12" x14ac:dyDescent="0.25">
      <c r="A8">
        <v>7</v>
      </c>
      <c r="B8" t="s">
        <v>16</v>
      </c>
      <c r="C8">
        <v>7568</v>
      </c>
      <c r="D8">
        <v>-4715</v>
      </c>
      <c r="F8" s="9">
        <v>1</v>
      </c>
      <c r="G8" s="10" t="str">
        <f t="shared" si="0"/>
        <v>Telephely</v>
      </c>
      <c r="H8" s="11">
        <f>IFERROR(ABS(VLOOKUP(F8,címjegyzék,3)-VLOOKUP(F9,címjegyzék,3))+ABS(VLOOKUP(F8,címjegyzék,4)-VLOOKUP(F9,címjegyzék,4)),"")</f>
        <v>23709</v>
      </c>
    </row>
    <row r="9" spans="1:12" x14ac:dyDescent="0.25">
      <c r="A9">
        <v>8</v>
      </c>
      <c r="B9" t="s">
        <v>17</v>
      </c>
      <c r="C9">
        <v>10221</v>
      </c>
      <c r="D9">
        <v>5907</v>
      </c>
      <c r="F9" s="9">
        <v>13</v>
      </c>
      <c r="G9" s="10" t="str">
        <f t="shared" si="0"/>
        <v>IdeSüss</v>
      </c>
      <c r="H9" s="11">
        <f>IFERROR(ABS(VLOOKUP(F9,címjegyzék,3)-VLOOKUP(F10,címjegyzék,3))+ABS(VLOOKUP(F9,címjegyzék,4)-VLOOKUP(F10,címjegyzék,4)),"")</f>
        <v>9756</v>
      </c>
    </row>
    <row r="10" spans="1:12" x14ac:dyDescent="0.25">
      <c r="A10">
        <v>9</v>
      </c>
      <c r="B10" t="s">
        <v>18</v>
      </c>
      <c r="C10">
        <v>5347</v>
      </c>
      <c r="D10">
        <v>3725</v>
      </c>
      <c r="F10" s="9">
        <v>27</v>
      </c>
      <c r="G10" s="10" t="str">
        <f t="shared" si="0"/>
        <v>Zár-Ba-Zár</v>
      </c>
      <c r="H10" s="11">
        <f>IFERROR(ABS(VLOOKUP(F10,címjegyzék,3)-VLOOKUP(F11,címjegyzék,3))+ABS(VLOOKUP(F10,címjegyzék,4)-VLOOKUP(F11,címjegyzék,4)),"")</f>
        <v>9652</v>
      </c>
    </row>
    <row r="11" spans="1:12" x14ac:dyDescent="0.25">
      <c r="A11">
        <v>10</v>
      </c>
      <c r="B11" t="s">
        <v>19</v>
      </c>
      <c r="C11">
        <v>-7349</v>
      </c>
      <c r="D11">
        <v>1794</v>
      </c>
      <c r="F11" s="9">
        <v>6</v>
      </c>
      <c r="G11" s="10" t="str">
        <f t="shared" si="0"/>
        <v>Batiszt</v>
      </c>
      <c r="H11" s="11">
        <f>IFERROR(ABS(VLOOKUP(F11,címjegyzék,3)-VLOOKUP(F12,címjegyzék,3))+ABS(VLOOKUP(F11,címjegyzék,4)-VLOOKUP(F12,címjegyzék,4)),"")</f>
        <v>27889</v>
      </c>
    </row>
    <row r="12" spans="1:12" x14ac:dyDescent="0.25">
      <c r="A12">
        <v>11</v>
      </c>
      <c r="B12" t="s">
        <v>20</v>
      </c>
      <c r="C12">
        <v>8489</v>
      </c>
      <c r="D12">
        <v>7261</v>
      </c>
      <c r="F12" s="9">
        <v>26</v>
      </c>
      <c r="G12" s="10" t="str">
        <f t="shared" si="0"/>
        <v>Netmester</v>
      </c>
      <c r="H12" s="11">
        <f>IFERROR(ABS(VLOOKUP(F12,címjegyzék,3)-VLOOKUP(F13,címjegyzék,3))+ABS(VLOOKUP(F12,címjegyzék,4)-VLOOKUP(F13,címjegyzék,4)),"")</f>
        <v>16475</v>
      </c>
    </row>
    <row r="13" spans="1:12" x14ac:dyDescent="0.25">
      <c r="A13">
        <v>12</v>
      </c>
      <c r="B13" t="s">
        <v>21</v>
      </c>
      <c r="C13">
        <v>-7856</v>
      </c>
      <c r="D13">
        <v>5015</v>
      </c>
      <c r="F13" s="9">
        <v>30</v>
      </c>
      <c r="G13" s="10" t="str">
        <f t="shared" si="0"/>
        <v>Kulcsember</v>
      </c>
      <c r="H13" s="11">
        <f>IFERROR(ABS(VLOOKUP(F13,címjegyzék,3)-VLOOKUP(F14,címjegyzék,3))+ABS(VLOOKUP(F13,címjegyzék,4)-VLOOKUP(F14,címjegyzék,4)),"")</f>
        <v>20516</v>
      </c>
    </row>
    <row r="14" spans="1:12" x14ac:dyDescent="0.25">
      <c r="A14">
        <v>13</v>
      </c>
      <c r="B14" t="s">
        <v>22</v>
      </c>
      <c r="C14">
        <v>9949</v>
      </c>
      <c r="D14">
        <v>1980</v>
      </c>
      <c r="F14" s="9">
        <v>16</v>
      </c>
      <c r="G14" s="10" t="str">
        <f t="shared" si="0"/>
        <v>KopaszTom</v>
      </c>
      <c r="H14" s="11">
        <f>IFERROR(ABS(VLOOKUP(F14,címjegyzék,3)-VLOOKUP(F15,címjegyzék,3))+ABS(VLOOKUP(F14,címjegyzék,4)-VLOOKUP(F15,címjegyzék,4)),"")</f>
        <v>4836</v>
      </c>
    </row>
    <row r="15" spans="1:12" x14ac:dyDescent="0.25">
      <c r="A15">
        <v>14</v>
      </c>
      <c r="B15" t="s">
        <v>23</v>
      </c>
      <c r="C15">
        <v>-1629</v>
      </c>
      <c r="D15">
        <v>2234</v>
      </c>
      <c r="F15" s="9">
        <v>2</v>
      </c>
      <c r="G15" s="10" t="str">
        <f t="shared" si="0"/>
        <v>El-Hordó</v>
      </c>
      <c r="H15" s="11">
        <f>IFERROR(ABS(VLOOKUP(F15,címjegyzék,3)-VLOOKUP(F16,címjegyzék,3))+ABS(VLOOKUP(F15,címjegyzék,4)-VLOOKUP(F16,címjegyzék,4)),"")</f>
        <v>23220</v>
      </c>
    </row>
    <row r="16" spans="1:12" x14ac:dyDescent="0.25">
      <c r="A16">
        <v>15</v>
      </c>
      <c r="B16" t="s">
        <v>24</v>
      </c>
      <c r="C16">
        <v>-3890</v>
      </c>
      <c r="D16">
        <v>-6820</v>
      </c>
      <c r="F16" s="9">
        <v>12</v>
      </c>
      <c r="G16" s="10" t="str">
        <f t="shared" si="0"/>
        <v>Vasi</v>
      </c>
      <c r="H16" s="11">
        <f>IFERROR(ABS(VLOOKUP(F16,címjegyzék,3)-VLOOKUP(F17,címjegyzék,3))+ABS(VLOOKUP(F16,címjegyzék,4)-VLOOKUP(F17,címjegyzék,4)),"")</f>
        <v>7576</v>
      </c>
    </row>
    <row r="17" spans="1:8" x14ac:dyDescent="0.25">
      <c r="A17">
        <v>16</v>
      </c>
      <c r="B17" t="s">
        <v>25</v>
      </c>
      <c r="C17">
        <v>6052</v>
      </c>
      <c r="D17">
        <v>10043</v>
      </c>
      <c r="F17" s="9">
        <v>20</v>
      </c>
      <c r="G17" s="10" t="str">
        <f t="shared" si="0"/>
        <v>Épkézláb</v>
      </c>
      <c r="H17" s="11">
        <f>IFERROR(ABS(VLOOKUP(F17,címjegyzék,3)-VLOOKUP(F18,címjegyzék,3))+ABS(VLOOKUP(F17,címjegyzék,4)-VLOOKUP(F18,címjegyzék,4)),"")</f>
        <v>16515</v>
      </c>
    </row>
    <row r="18" spans="1:8" x14ac:dyDescent="0.25">
      <c r="A18">
        <v>17</v>
      </c>
      <c r="B18" t="s">
        <v>26</v>
      </c>
      <c r="C18">
        <v>-246</v>
      </c>
      <c r="D18">
        <v>3559</v>
      </c>
      <c r="F18" s="9">
        <v>1</v>
      </c>
      <c r="G18" s="10" t="str">
        <f t="shared" si="0"/>
        <v>Telephely</v>
      </c>
      <c r="H18" s="11">
        <f>IFERROR(ABS(VLOOKUP(F18,címjegyzék,3)-VLOOKUP(F19,címjegyzék,3))+ABS(VLOOKUP(F18,címjegyzék,4)-VLOOKUP(F19,címjegyzék,4)),"")</f>
        <v>1800</v>
      </c>
    </row>
    <row r="19" spans="1:8" x14ac:dyDescent="0.25">
      <c r="A19">
        <v>18</v>
      </c>
      <c r="B19" t="s">
        <v>27</v>
      </c>
      <c r="C19">
        <v>-3993</v>
      </c>
      <c r="D19">
        <v>3658</v>
      </c>
      <c r="F19" s="9">
        <v>24</v>
      </c>
      <c r="G19" s="10" t="str">
        <f t="shared" si="0"/>
        <v>Karavándor</v>
      </c>
      <c r="H19" s="11">
        <f>IFERROR(ABS(VLOOKUP(F19,címjegyzék,3)-VLOOKUP(F20,címjegyzék,3))+ABS(VLOOKUP(F19,címjegyzék,4)-VLOOKUP(F20,címjegyzék,4)),"")</f>
        <v>7872</v>
      </c>
    </row>
    <row r="20" spans="1:8" x14ac:dyDescent="0.25">
      <c r="A20">
        <v>19</v>
      </c>
      <c r="B20" t="s">
        <v>28</v>
      </c>
      <c r="C20">
        <v>-5001</v>
      </c>
      <c r="D20">
        <v>1904</v>
      </c>
      <c r="F20" s="9">
        <v>22</v>
      </c>
      <c r="G20" s="10" t="str">
        <f t="shared" si="0"/>
        <v>Gyöngy-Ház</v>
      </c>
      <c r="H20" s="11">
        <f>IFERROR(ABS(VLOOKUP(F20,címjegyzék,3)-VLOOKUP(F21,címjegyzék,3))+ABS(VLOOKUP(F20,címjegyzék,4)-VLOOKUP(F21,címjegyzék,4)),"")</f>
        <v>15340</v>
      </c>
    </row>
    <row r="21" spans="1:8" x14ac:dyDescent="0.25">
      <c r="A21">
        <v>20</v>
      </c>
      <c r="B21" t="s">
        <v>29</v>
      </c>
      <c r="C21">
        <v>-3108</v>
      </c>
      <c r="D21">
        <v>7843</v>
      </c>
      <c r="F21" s="9">
        <v>5</v>
      </c>
      <c r="G21" s="10" t="str">
        <f t="shared" si="0"/>
        <v>Ama-tőr</v>
      </c>
      <c r="H21" s="11">
        <f>IFERROR(ABS(VLOOKUP(F21,címjegyzék,3)-VLOOKUP(F22,címjegyzék,3))+ABS(VLOOKUP(F21,címjegyzék,4)-VLOOKUP(F22,címjegyzék,4)),"")</f>
        <v>3431</v>
      </c>
    </row>
    <row r="22" spans="1:8" x14ac:dyDescent="0.25">
      <c r="A22">
        <v>21</v>
      </c>
      <c r="B22" t="s">
        <v>30</v>
      </c>
      <c r="C22">
        <v>8672</v>
      </c>
      <c r="D22">
        <v>6305</v>
      </c>
      <c r="F22" s="9">
        <v>6</v>
      </c>
      <c r="G22" s="10" t="str">
        <f t="shared" si="0"/>
        <v>Batiszt</v>
      </c>
      <c r="H22" s="11">
        <f>IFERROR(ABS(VLOOKUP(F22,címjegyzék,3)-VLOOKUP(F23,címjegyzék,3))+ABS(VLOOKUP(F22,címjegyzék,4)-VLOOKUP(F23,címjegyzék,4)),"")</f>
        <v>14650</v>
      </c>
    </row>
    <row r="23" spans="1:8" x14ac:dyDescent="0.25">
      <c r="A23">
        <v>22</v>
      </c>
      <c r="B23" t="s">
        <v>31</v>
      </c>
      <c r="C23">
        <v>-5560</v>
      </c>
      <c r="D23">
        <v>2524</v>
      </c>
      <c r="F23" s="9">
        <v>4</v>
      </c>
      <c r="G23" s="10" t="str">
        <f t="shared" si="0"/>
        <v>Rézkatlan</v>
      </c>
      <c r="H23" s="11">
        <f>IFERROR(ABS(VLOOKUP(F23,címjegyzék,3)-VLOOKUP(F24,címjegyzék,3))+ABS(VLOOKUP(F23,címjegyzék,4)-VLOOKUP(F24,címjegyzék,4)),"")</f>
        <v>18951</v>
      </c>
    </row>
    <row r="24" spans="1:8" x14ac:dyDescent="0.25">
      <c r="A24">
        <v>23</v>
      </c>
      <c r="B24" t="s">
        <v>32</v>
      </c>
      <c r="C24">
        <v>5369</v>
      </c>
      <c r="D24">
        <v>-3261</v>
      </c>
      <c r="F24" s="9">
        <v>1</v>
      </c>
      <c r="G24" s="10" t="str">
        <f t="shared" si="0"/>
        <v>Telephely</v>
      </c>
      <c r="H24" s="11" t="str">
        <f>IFERROR(ABS(VLOOKUP(F24,címjegyzék,3)-VLOOKUP(F25,címjegyzék,3))+ABS(VLOOKUP(F24,címjegyzék,4)-VLOOKUP(F25,címjegyzék,4)),"")</f>
        <v/>
      </c>
    </row>
    <row r="25" spans="1:8" x14ac:dyDescent="0.25">
      <c r="A25">
        <v>24</v>
      </c>
      <c r="B25" t="s">
        <v>14</v>
      </c>
      <c r="C25">
        <v>-5096</v>
      </c>
      <c r="D25">
        <v>-4884</v>
      </c>
      <c r="F25" s="9"/>
      <c r="G25" s="10" t="str">
        <f t="shared" si="0"/>
        <v/>
      </c>
      <c r="H25" s="11" t="str">
        <f>IFERROR(ABS(VLOOKUP(F25,címjegyzék,3)-VLOOKUP(F26,címjegyzék,3))+ABS(VLOOKUP(F25,címjegyzék,4)-VLOOKUP(F26,címjegyzék,4)),"")</f>
        <v/>
      </c>
    </row>
    <row r="26" spans="1:8" x14ac:dyDescent="0.25">
      <c r="A26">
        <v>25</v>
      </c>
      <c r="B26" t="s">
        <v>33</v>
      </c>
      <c r="C26">
        <v>9984</v>
      </c>
      <c r="D26">
        <v>-1766</v>
      </c>
      <c r="F26" s="9"/>
      <c r="G26" s="10" t="str">
        <f t="shared" si="0"/>
        <v/>
      </c>
      <c r="H26" s="11" t="str">
        <f>IFERROR(ABS(VLOOKUP(F26,címjegyzék,3)-VLOOKUP(F27,címjegyzék,3))+ABS(VLOOKUP(F26,címjegyzék,4)-VLOOKUP(F27,címjegyzék,4)),"")</f>
        <v/>
      </c>
    </row>
    <row r="27" spans="1:8" x14ac:dyDescent="0.25">
      <c r="A27">
        <v>26</v>
      </c>
      <c r="B27" t="s">
        <v>34</v>
      </c>
      <c r="C27">
        <v>10230</v>
      </c>
      <c r="D27">
        <v>10180</v>
      </c>
      <c r="F27" s="9"/>
      <c r="G27" s="10" t="str">
        <f t="shared" si="0"/>
        <v/>
      </c>
      <c r="H27" s="11" t="str">
        <f>IFERROR(ABS(VLOOKUP(F27,címjegyzék,3)-VLOOKUP(F28,címjegyzék,3))+ABS(VLOOKUP(F27,címjegyzék,4)-VLOOKUP(F28,címjegyzék,4)),"")</f>
        <v/>
      </c>
    </row>
    <row r="28" spans="1:8" x14ac:dyDescent="0.25">
      <c r="A28">
        <v>27</v>
      </c>
      <c r="B28" t="s">
        <v>35</v>
      </c>
      <c r="C28">
        <v>2074</v>
      </c>
      <c r="D28">
        <v>99</v>
      </c>
      <c r="F28" s="9"/>
      <c r="G28" s="10" t="str">
        <f t="shared" si="0"/>
        <v/>
      </c>
      <c r="H28" s="11" t="str">
        <f>IFERROR(ABS(VLOOKUP(F28,címjegyzék,3)-VLOOKUP(F29,címjegyzék,3))+ABS(VLOOKUP(F28,címjegyzék,4)-VLOOKUP(F29,címjegyzék,4)),"")</f>
        <v/>
      </c>
    </row>
    <row r="29" spans="1:8" x14ac:dyDescent="0.25">
      <c r="A29">
        <v>28</v>
      </c>
      <c r="B29" t="s">
        <v>36</v>
      </c>
      <c r="C29">
        <v>2819</v>
      </c>
      <c r="D29">
        <v>409</v>
      </c>
      <c r="F29" s="9"/>
      <c r="G29" s="10" t="str">
        <f t="shared" si="0"/>
        <v/>
      </c>
      <c r="H29" s="11" t="str">
        <f>IFERROR(ABS(VLOOKUP(F29,címjegyzék,3)-VLOOKUP(F30,címjegyzék,3))+ABS(VLOOKUP(F29,címjegyzék,4)-VLOOKUP(F30,címjegyzék,4)),"")</f>
        <v/>
      </c>
    </row>
    <row r="30" spans="1:8" x14ac:dyDescent="0.25">
      <c r="A30">
        <v>29</v>
      </c>
      <c r="B30" t="s">
        <v>37</v>
      </c>
      <c r="C30">
        <v>-6438</v>
      </c>
      <c r="D30">
        <v>-6940</v>
      </c>
      <c r="F30" s="9"/>
      <c r="G30" s="10" t="str">
        <f t="shared" si="0"/>
        <v/>
      </c>
      <c r="H30" s="11" t="str">
        <f>IFERROR(ABS(VLOOKUP(F30,címjegyzék,3)-VLOOKUP(F31,címjegyzék,3))+ABS(VLOOKUP(F30,címjegyzék,4)-VLOOKUP(F31,címjegyzék,4)),"")</f>
        <v/>
      </c>
    </row>
    <row r="31" spans="1:8" ht="15.75" thickBot="1" x14ac:dyDescent="0.3">
      <c r="A31">
        <v>30</v>
      </c>
      <c r="B31" t="s">
        <v>38</v>
      </c>
      <c r="C31">
        <v>10545</v>
      </c>
      <c r="D31">
        <v>-5980</v>
      </c>
      <c r="F31" s="12"/>
      <c r="G31" s="13"/>
      <c r="H31" s="14"/>
    </row>
    <row r="32" spans="1:8" x14ac:dyDescent="0.25">
      <c r="A32">
        <v>31</v>
      </c>
      <c r="B32" t="s">
        <v>39</v>
      </c>
      <c r="C32">
        <v>5003</v>
      </c>
      <c r="D32">
        <v>-538</v>
      </c>
    </row>
    <row r="33" spans="1:4" x14ac:dyDescent="0.25">
      <c r="A33">
        <v>32</v>
      </c>
      <c r="B33" t="s">
        <v>40</v>
      </c>
      <c r="C33">
        <v>-1952</v>
      </c>
      <c r="D33">
        <v>2339</v>
      </c>
    </row>
    <row r="34" spans="1:4" x14ac:dyDescent="0.25">
      <c r="A34">
        <v>33</v>
      </c>
      <c r="B34" t="s">
        <v>41</v>
      </c>
      <c r="C34">
        <v>-3817</v>
      </c>
      <c r="D34">
        <v>10256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Munkalapok</vt:lpstr>
      </vt:variant>
      <vt:variant>
        <vt:i4>1</vt:i4>
      </vt:variant>
      <vt:variant>
        <vt:lpstr>Névvel ellátott tartományok</vt:lpstr>
      </vt:variant>
      <vt:variant>
        <vt:i4>3</vt:i4>
      </vt:variant>
    </vt:vector>
  </HeadingPairs>
  <TitlesOfParts>
    <vt:vector size="4" baseType="lpstr">
      <vt:lpstr>Munka1</vt:lpstr>
      <vt:lpstr>címjegyzék</vt:lpstr>
      <vt:lpstr>h</vt:lpstr>
      <vt:lpstr>távolságok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Sipos Kristóf</dc:creator>
  <cp:lastModifiedBy>Sipos Kristóf</cp:lastModifiedBy>
  <dcterms:created xsi:type="dcterms:W3CDTF">2026-03-25T07:20:47Z</dcterms:created>
  <dcterms:modified xsi:type="dcterms:W3CDTF">2026-03-25T08:44:00Z</dcterms:modified>
</cp:coreProperties>
</file>