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0D3B6607-2DCD-4580-8F2B-05385454FE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definedNames>
    <definedName name="_xlnm._FilterDatabase" localSheetId="0" hidden="1">Munka1!$A$1:$AC$51</definedName>
    <definedName name="_xlnm.Print_Area" localSheetId="0">Munka1!$A$1:$E$11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  <c r="Z12" i="1"/>
  <c r="Z2" i="1"/>
  <c r="Z6" i="1"/>
  <c r="Z50" i="1"/>
  <c r="Z28" i="1"/>
  <c r="Z45" i="1"/>
  <c r="Z27" i="1"/>
  <c r="Z20" i="1"/>
  <c r="Z8" i="1"/>
  <c r="Z14" i="1"/>
  <c r="Z5" i="1"/>
  <c r="Z43" i="1"/>
  <c r="Z22" i="1"/>
  <c r="Z16" i="1"/>
  <c r="Z10" i="1"/>
  <c r="Z51" i="1"/>
  <c r="Z13" i="1"/>
  <c r="Z42" i="1"/>
  <c r="Z4" i="1"/>
  <c r="Z37" i="1"/>
  <c r="Z40" i="1"/>
  <c r="Z31" i="1"/>
  <c r="Z32" i="1"/>
  <c r="Z34" i="1"/>
  <c r="Z24" i="1"/>
  <c r="Z29" i="1"/>
  <c r="Z19" i="1"/>
  <c r="Z47" i="1"/>
  <c r="Z30" i="1"/>
  <c r="Z38" i="1"/>
  <c r="Z21" i="1"/>
  <c r="Z49" i="1"/>
  <c r="Z48" i="1"/>
  <c r="Z7" i="1"/>
  <c r="Z35" i="1"/>
  <c r="Z11" i="1"/>
  <c r="Z15" i="1"/>
  <c r="Z36" i="1"/>
  <c r="Z39" i="1"/>
  <c r="Z17" i="1"/>
  <c r="Z18" i="1"/>
  <c r="Z23" i="1"/>
  <c r="Z3" i="1"/>
  <c r="Z46" i="1"/>
  <c r="Z41" i="1"/>
  <c r="Z33" i="1"/>
  <c r="Z25" i="1"/>
  <c r="Z9" i="1"/>
  <c r="Z44" i="1"/>
  <c r="Z26" i="1"/>
  <c r="W12" i="1"/>
  <c r="W6" i="1"/>
  <c r="W50" i="1"/>
  <c r="W28" i="1"/>
  <c r="W45" i="1"/>
  <c r="W27" i="1"/>
  <c r="W20" i="1"/>
  <c r="W8" i="1"/>
  <c r="W14" i="1"/>
  <c r="W5" i="1"/>
  <c r="W43" i="1"/>
  <c r="W22" i="1"/>
  <c r="W16" i="1"/>
  <c r="W10" i="1"/>
  <c r="W51" i="1"/>
  <c r="W13" i="1"/>
  <c r="W42" i="1"/>
  <c r="W4" i="1"/>
  <c r="W37" i="1"/>
  <c r="W40" i="1"/>
  <c r="W31" i="1"/>
  <c r="W32" i="1"/>
  <c r="W34" i="1"/>
  <c r="W24" i="1"/>
  <c r="W29" i="1"/>
  <c r="W19" i="1"/>
  <c r="W47" i="1"/>
  <c r="W30" i="1"/>
  <c r="W38" i="1"/>
  <c r="W21" i="1"/>
  <c r="W49" i="1"/>
  <c r="W48" i="1"/>
  <c r="W7" i="1"/>
  <c r="W35" i="1"/>
  <c r="W11" i="1"/>
  <c r="W15" i="1"/>
  <c r="W36" i="1"/>
  <c r="W39" i="1"/>
  <c r="W17" i="1"/>
  <c r="W18" i="1"/>
  <c r="W23" i="1"/>
  <c r="W3" i="1"/>
  <c r="W46" i="1"/>
  <c r="W41" i="1"/>
  <c r="W33" i="1"/>
  <c r="W25" i="1"/>
  <c r="W9" i="1"/>
  <c r="W44" i="1"/>
  <c r="W26" i="1"/>
  <c r="E12" i="1"/>
  <c r="E2" i="1"/>
  <c r="E6" i="1"/>
  <c r="E50" i="1"/>
  <c r="E28" i="1"/>
  <c r="E45" i="1"/>
  <c r="E27" i="1"/>
  <c r="E20" i="1"/>
  <c r="E8" i="1"/>
  <c r="E14" i="1"/>
  <c r="E5" i="1"/>
  <c r="E43" i="1"/>
  <c r="E22" i="1"/>
  <c r="E16" i="1"/>
  <c r="E10" i="1"/>
  <c r="E51" i="1"/>
  <c r="E13" i="1"/>
  <c r="E42" i="1"/>
  <c r="E4" i="1"/>
  <c r="E37" i="1"/>
  <c r="E40" i="1"/>
  <c r="E31" i="1"/>
  <c r="E32" i="1"/>
  <c r="E34" i="1"/>
  <c r="E24" i="1"/>
  <c r="E29" i="1"/>
  <c r="E19" i="1"/>
  <c r="E47" i="1"/>
  <c r="E30" i="1"/>
  <c r="E38" i="1"/>
  <c r="E21" i="1"/>
  <c r="E49" i="1"/>
  <c r="E48" i="1"/>
  <c r="E7" i="1"/>
  <c r="E35" i="1"/>
  <c r="E11" i="1"/>
  <c r="E15" i="1"/>
  <c r="E36" i="1"/>
  <c r="E39" i="1"/>
  <c r="E17" i="1"/>
  <c r="E18" i="1"/>
  <c r="E23" i="1"/>
  <c r="E3" i="1"/>
  <c r="E46" i="1"/>
  <c r="E41" i="1"/>
  <c r="E33" i="1"/>
  <c r="E25" i="1"/>
  <c r="E9" i="1"/>
  <c r="E44" i="1"/>
  <c r="E26" i="1"/>
  <c r="AB2" i="1" l="1"/>
  <c r="AB26" i="1"/>
  <c r="AB44" i="1"/>
  <c r="AB9" i="1"/>
  <c r="AB25" i="1"/>
  <c r="AB33" i="1"/>
  <c r="AB41" i="1"/>
  <c r="AB46" i="1"/>
  <c r="AB3" i="1"/>
  <c r="AB23" i="1"/>
  <c r="AB18" i="1"/>
  <c r="AB17" i="1"/>
  <c r="AB39" i="1"/>
  <c r="AB36" i="1"/>
  <c r="AB15" i="1"/>
  <c r="AB11" i="1"/>
  <c r="AB35" i="1"/>
  <c r="AB7" i="1"/>
  <c r="AB48" i="1"/>
  <c r="AB49" i="1"/>
  <c r="AB21" i="1"/>
  <c r="AB38" i="1"/>
  <c r="AB30" i="1"/>
  <c r="AB47" i="1"/>
  <c r="AB19" i="1"/>
  <c r="AB29" i="1"/>
  <c r="AB24" i="1"/>
  <c r="AB34" i="1"/>
  <c r="AB32" i="1"/>
  <c r="AB31" i="1"/>
  <c r="AB40" i="1"/>
  <c r="AB37" i="1"/>
  <c r="AB4" i="1"/>
  <c r="AB42" i="1"/>
  <c r="AB13" i="1"/>
  <c r="AB51" i="1"/>
  <c r="AB10" i="1"/>
  <c r="AB16" i="1"/>
  <c r="AB22" i="1"/>
  <c r="AB43" i="1"/>
  <c r="AB5" i="1"/>
  <c r="AB14" i="1"/>
  <c r="AB8" i="1"/>
  <c r="AB20" i="1"/>
  <c r="AB27" i="1"/>
  <c r="AB45" i="1"/>
  <c r="AB28" i="1"/>
  <c r="AB50" i="1"/>
  <c r="AB6" i="1"/>
  <c r="AB12" i="1"/>
  <c r="AC26" i="1"/>
  <c r="AC44" i="1"/>
  <c r="AC9" i="1"/>
  <c r="AC25" i="1"/>
  <c r="AC33" i="1"/>
  <c r="AC41" i="1"/>
  <c r="AC46" i="1"/>
  <c r="AC3" i="1"/>
  <c r="AC23" i="1"/>
  <c r="AC18" i="1"/>
  <c r="AC17" i="1"/>
  <c r="AC39" i="1"/>
  <c r="AC36" i="1"/>
  <c r="AC15" i="1"/>
  <c r="AC11" i="1"/>
  <c r="AC35" i="1"/>
  <c r="AC7" i="1"/>
  <c r="AC48" i="1"/>
  <c r="AC49" i="1"/>
  <c r="AC21" i="1"/>
  <c r="AC38" i="1"/>
  <c r="AC30" i="1"/>
  <c r="AC47" i="1"/>
  <c r="AC19" i="1"/>
  <c r="AC29" i="1"/>
  <c r="AC24" i="1"/>
  <c r="AC34" i="1"/>
  <c r="AC32" i="1"/>
  <c r="AC31" i="1"/>
  <c r="AC40" i="1"/>
  <c r="AC37" i="1"/>
  <c r="AC4" i="1"/>
  <c r="AC42" i="1"/>
  <c r="AC13" i="1"/>
  <c r="AC51" i="1"/>
  <c r="AC10" i="1"/>
  <c r="AC16" i="1"/>
  <c r="AC22" i="1"/>
  <c r="AC43" i="1"/>
  <c r="AC5" i="1"/>
  <c r="AC14" i="1"/>
  <c r="AC8" i="1"/>
  <c r="AC20" i="1"/>
  <c r="AC27" i="1"/>
  <c r="AC45" i="1"/>
  <c r="AC28" i="1"/>
  <c r="AC50" i="1"/>
  <c r="AC6" i="1"/>
  <c r="AC2" i="1"/>
  <c r="AC12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<sst xmlns="http://schemas.openxmlformats.org/spreadsheetml/2006/main" count="79" uniqueCount="79">
  <si>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</si>
  <si>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</si>
  <si>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</si>
  <si>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</si>
  <si>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</si>
  <si>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</si>
  <si>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</si>
  <si>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</si>
  <si>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</si>
  <si>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</si>
  <si>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</si>
  <si>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</si>
  <si>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</si>
  <si>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</si>
  <si>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</si>
  <si>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</si>
  <si>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</si>
  <si>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</si>
  <si>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</si>
  <si>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</si>
  <si>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</si>
  <si>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</si>
  <si>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</si>
  <si>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</si>
  <si>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</si>
  <si>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</si>
  <si>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</si>
  <si>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</si>
  <si>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</si>
  <si>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JI31B022</t>
  </si>
  <si>
    <t>JI31E14D</t>
  </si>
  <si>
    <t>JI31CAEB</t>
  </si>
  <si>
    <t>JI31B92B</t>
  </si>
  <si>
    <t>JI31B0D3</t>
  </si>
  <si>
    <t>JI31DCDF</t>
  </si>
  <si>
    <t>JI31B6F1</t>
  </si>
  <si>
    <t>JI3240F2</t>
  </si>
  <si>
    <t>JI31BB92</t>
  </si>
  <si>
    <t>JI31DE25</t>
  </si>
  <si>
    <t>JI31AED1</t>
  </si>
  <si>
    <t>JI31BD7F</t>
  </si>
  <si>
    <t>JI31B8E0</t>
  </si>
  <si>
    <t>JI31DEB2</t>
  </si>
  <si>
    <t>JI31BAEE</t>
  </si>
  <si>
    <t>JI31DFB7</t>
  </si>
  <si>
    <t>JI31E0AD</t>
  </si>
  <si>
    <t>JI31D62E</t>
  </si>
  <si>
    <t>JI31B67B</t>
  </si>
  <si>
    <t>JI31DBE8</t>
  </si>
  <si>
    <t>JI31B97D</t>
  </si>
  <si>
    <t>JI31E0DD</t>
  </si>
  <si>
    <t>JI31D500</t>
  </si>
  <si>
    <t>JI31E3EE</t>
  </si>
  <si>
    <t>JI31ADB6</t>
  </si>
  <si>
    <t>JI31B4D1</t>
  </si>
  <si>
    <t>JI31B358</t>
  </si>
  <si>
    <t>JI31D542</t>
  </si>
  <si>
    <t>JI31D7A8</t>
  </si>
  <si>
    <t>JI31D1F7</t>
  </si>
  <si>
    <t>JI31D236</t>
  </si>
  <si>
    <t>JI31E3B8</t>
  </si>
  <si>
    <t>JI31D3DD</t>
  </si>
  <si>
    <t>JI31DDF2</t>
  </si>
  <si>
    <t>JI31DEC6</t>
  </si>
  <si>
    <t>JI31CD37</t>
  </si>
  <si>
    <t>JI31DBCA</t>
  </si>
  <si>
    <t>JI31DF02</t>
  </si>
  <si>
    <t>JI31D093</t>
  </si>
  <si>
    <t>JI31E2EA</t>
  </si>
  <si>
    <t>JI31C5F7</t>
  </si>
  <si>
    <t>JI31B973</t>
  </si>
  <si>
    <t>JI331149</t>
  </si>
  <si>
    <t>JI31B3C1</t>
  </si>
  <si>
    <t>JI31E2AA</t>
  </si>
  <si>
    <t>JI31D695</t>
  </si>
  <si>
    <t>JI31DC61</t>
  </si>
  <si>
    <t>JI31DBF9</t>
  </si>
  <si>
    <t>JI31B2CB</t>
  </si>
  <si>
    <t>JI31BCAE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</si>
</sst>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vertical="center" textRotation="90"/>
    </xf>
    <xf numFmtId="45" fontId="0" fillId="0" borderId="0" xfId="0" applyNumberFormat="1"/>
    <xf numFmtId="46" fontId="0" fillId="0" borderId="1" xfId="0" applyNumberFormat="1" applyBorder="1"/>
    <xf numFmtId="45" fontId="0" fillId="0" borderId="1" xfId="0" applyNumberFormat="1" applyBorder="1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workbookViewId="0">
      <selection activeCell="E1" sqref="E1"/>
    </sheetView>
  </sheetViews>
  <sheetFormatPr defaultRowHeight="15"/>
  <cols>
    <col min="1" max="1" width="9.5703125" bestFit="1" customWidth="1"/>
    <col min="2" max="3" width="3.28515625" style="2" bestFit="1" customWidth="1"/>
    <col min="4" max="4" width="3" style="2" bestFit="1" customWidth="1"/>
    <col min="5" max="5" width="7.7109375" bestFit="1" customWidth="1"/>
    <col min="6" max="27" width="6" bestFit="1" customWidth="1"/>
    <col min="28" max="29" width="7.5703125" bestFit="1" customWidth="1"/>
  </cols>
  <sheetData>
    <row r="1" spans="1:29" ht="107.25">
      <c r="A1" s="4" t="s">
        <v>0</v>
      </c>
      <c r="B1" s="5" t="s">
        <v>1</v>
      </c>
      <c r="C1" s="5" t="s">
        <v>2</v>
      </c>
      <c r="D1" s="5" t="s">
        <v>3</v>
      </c>
      <c r="E1" s="9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9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s="3">
        <v>1</v>
      </c>
      <c r="C2" s="3">
        <v>1</v>
      </c>
      <c r="D2" s="3">
        <v>2</v>
      </c>
      <c r="E2" s="7">
        <f>SUM(F2:V2)</f>
        <v>4.6400462962962956E-2</v>
      </c>
      <c r="F2" s="6">
        <v>2.9166666666666668E-3</v>
      </c>
      <c r="G2" s="6">
        <v>3.2291666666666666E-3</v>
      </c>
      <c r="H2" s="6">
        <v>2.8472222222222223E-3</v>
      </c>
      <c r="I2" s="6">
        <v>1.2962962962962963E-3</v>
      </c>
      <c r="J2" s="6">
        <v>2.9861111111111113E-3</v>
      </c>
      <c r="K2" s="6">
        <v>2.5925925925925925E-3</v>
      </c>
      <c r="L2" s="6">
        <v>2.9861111111111113E-3</v>
      </c>
      <c r="M2" s="6">
        <v>2.9513888888888888E-3</v>
      </c>
      <c r="N2" s="6">
        <v>3.1597222222222222E-3</v>
      </c>
      <c r="O2" s="6">
        <v>3.3680555555555556E-3</v>
      </c>
      <c r="P2" s="6">
        <v>2.9745370370370373E-3</v>
      </c>
      <c r="Q2" s="6">
        <v>1.25E-3</v>
      </c>
      <c r="R2" s="6">
        <v>2.9861111111111113E-3</v>
      </c>
      <c r="S2" s="6">
        <v>2.4537037037037036E-3</v>
      </c>
      <c r="T2" s="6">
        <v>2.3842592592592591E-3</v>
      </c>
      <c r="U2" s="6">
        <v>2.6157407407407405E-3</v>
      </c>
      <c r="V2" s="8">
        <v>3.4027777777777776E-3</v>
      </c>
      <c r="W2" s="6">
        <f>F2+H2+J2+L2+N2+P2+R2+T2</f>
        <v>2.3240740740740742E-2</v>
      </c>
      <c r="X2" s="6">
        <f>MIN(F2,H2,J2,L2,N2,P2,R2,T2)</f>
        <v>2.3842592592592591E-3</v>
      </c>
      <c r="Y2" s="6">
        <f>AVERAGE(F2,H2,J2,L2,N2,P2,R2,T2)</f>
        <v>2.9050925925925928E-3</v>
      </c>
      <c r="Z2" s="6">
        <f>G2+I2+K2+M2+O2+Q2+S2+U2</f>
        <v>1.9756944444444442E-2</v>
      </c>
      <c r="AA2" s="6">
        <f>AVERAGE(G2,I2,K2,M2,O2,Q2,S2,U2)</f>
        <v>2.4696180555555552E-3</v>
      </c>
      <c r="AB2" s="1">
        <f>_xlfn.PERCENTOF(W2,E2)</f>
        <v>0.50087303566974317</v>
      </c>
      <c r="AC2" s="1">
        <f>_xlfn.PERCENTOF(Z2,E2)</f>
        <v>0.42579196807183839</v>
      </c>
    </row>
    <row r="3" spans="1:29">
      <c r="A3" t="s">
        <v>30</v>
      </c>
      <c r="B3" s="3">
        <v>2</v>
      </c>
      <c r="C3" s="3">
        <v>1</v>
      </c>
      <c r="D3" s="3">
        <v>3</v>
      </c>
      <c r="E3" s="7">
        <f>SUM(F3:V3)</f>
        <v>4.6990740740740729E-2</v>
      </c>
      <c r="F3" s="6">
        <v>2.8124999999999999E-3</v>
      </c>
      <c r="G3" s="6">
        <v>3.1828703703703702E-3</v>
      </c>
      <c r="H3" s="6">
        <v>2.8472222222222223E-3</v>
      </c>
      <c r="I3" s="6">
        <v>1.6087962962962963E-3</v>
      </c>
      <c r="J3" s="6">
        <v>2.9050925925925928E-3</v>
      </c>
      <c r="K3" s="6">
        <v>2.7199074074074074E-3</v>
      </c>
      <c r="L3" s="6">
        <v>3.0439814814814813E-3</v>
      </c>
      <c r="M3" s="6">
        <v>2.8935185185185184E-3</v>
      </c>
      <c r="N3" s="6">
        <v>3.0324074074074073E-3</v>
      </c>
      <c r="O3" s="6">
        <v>3.3680555555555556E-3</v>
      </c>
      <c r="P3" s="6">
        <v>3.0671296296296297E-3</v>
      </c>
      <c r="Q3" s="6">
        <v>1.1574074074074073E-3</v>
      </c>
      <c r="R3" s="6">
        <v>3.0324074074074073E-3</v>
      </c>
      <c r="S3" s="6">
        <v>2.2453703703703702E-3</v>
      </c>
      <c r="T3" s="6">
        <v>2.4652777777777776E-3</v>
      </c>
      <c r="U3" s="6">
        <v>2.9050925925925928E-3</v>
      </c>
      <c r="V3" s="8">
        <v>3.7037037037037038E-3</v>
      </c>
      <c r="W3" s="6">
        <f>F3+H3+J3+L3+N3+P3+R3+T3</f>
        <v>2.3206018518518518E-2</v>
      </c>
      <c r="X3" s="6">
        <f>MIN(F3,H3,J3,L3,N3,P3,R3,T3)</f>
        <v>2.4652777777777776E-3</v>
      </c>
      <c r="Y3" s="6">
        <f>AVERAGE(F3,H3,J3,L3,N3,P3,R3,T3)</f>
        <v>2.9007523148148148E-3</v>
      </c>
      <c r="Z3" s="6">
        <f>G3+I3+K3+M3+O3+Q3+S3+U3</f>
        <v>2.0081018518518519E-2</v>
      </c>
      <c r="AA3" s="6">
        <f>AVERAGE(G3,I3,K3,M3,O3,Q3,S3,U3)</f>
        <v>2.5101273148148149E-3</v>
      </c>
      <c r="AB3" s="1">
        <f>_xlfn.PERCENTOF(W3,E3)</f>
        <v>0.49384236453201985</v>
      </c>
      <c r="AC3" s="1">
        <f>_xlfn.PERCENTOF(Z3,E3)</f>
        <v>0.42733990147783263</v>
      </c>
    </row>
    <row r="4" spans="1:29">
      <c r="A4" t="s">
        <v>31</v>
      </c>
      <c r="B4" s="3">
        <v>3</v>
      </c>
      <c r="C4" s="3">
        <v>2</v>
      </c>
      <c r="D4" s="3">
        <v>3</v>
      </c>
      <c r="E4" s="7">
        <f>SUM(F4:V4)</f>
        <v>4.701388888888889E-2</v>
      </c>
      <c r="F4" s="6">
        <v>2.8009259259259259E-3</v>
      </c>
      <c r="G4" s="6">
        <v>3.3680555555555556E-3</v>
      </c>
      <c r="H4" s="6">
        <v>2.8240740740740739E-3</v>
      </c>
      <c r="I4" s="6">
        <v>1.7592592592592592E-3</v>
      </c>
      <c r="J4" s="6">
        <v>3.0208333333333333E-3</v>
      </c>
      <c r="K4" s="6">
        <v>2.9861111111111113E-3</v>
      </c>
      <c r="L4" s="6">
        <v>2.9513888888888888E-3</v>
      </c>
      <c r="M4" s="6">
        <v>3.2638888888888891E-3</v>
      </c>
      <c r="N4" s="6">
        <v>2.9976851851851853E-3</v>
      </c>
      <c r="O4" s="6">
        <v>3.3564814814814816E-3</v>
      </c>
      <c r="P4" s="6">
        <v>2.9282407407407408E-3</v>
      </c>
      <c r="Q4" s="6">
        <v>1.5277777777777779E-3</v>
      </c>
      <c r="R4" s="6">
        <v>2.8703703703703703E-3</v>
      </c>
      <c r="S4" s="6">
        <v>2.3379629629629631E-3</v>
      </c>
      <c r="T4" s="6">
        <v>2.1875000000000002E-3</v>
      </c>
      <c r="U4" s="6">
        <v>2.5925925925925925E-3</v>
      </c>
      <c r="V4" s="8">
        <v>3.2407407407407406E-3</v>
      </c>
      <c r="W4" s="6">
        <f>F4+H4+J4+L4+N4+P4+R4+T4</f>
        <v>2.2581018518518521E-2</v>
      </c>
      <c r="X4" s="6">
        <f>MIN(F4,H4,J4,L4,N4,P4,R4,T4)</f>
        <v>2.1875000000000002E-3</v>
      </c>
      <c r="Y4" s="6">
        <f>AVERAGE(F4,H4,J4,L4,N4,P4,R4,T4)</f>
        <v>2.8226273148148151E-3</v>
      </c>
      <c r="Z4" s="6">
        <f>G4+I4+K4+M4+O4+Q4+S4+U4</f>
        <v>2.119212962962963E-2</v>
      </c>
      <c r="AA4" s="6">
        <f>AVERAGE(G4,I4,K4,M4,O4,Q4,S4,U4)</f>
        <v>2.6490162037037038E-3</v>
      </c>
      <c r="AB4" s="1">
        <f>_xlfn.PERCENTOF(W4,E4)</f>
        <v>0.4803052683407189</v>
      </c>
      <c r="AC4" s="1">
        <f>_xlfn.PERCENTOF(Z4,E4)</f>
        <v>0.45076317085179712</v>
      </c>
    </row>
    <row r="5" spans="1:29">
      <c r="A5" t="s">
        <v>32</v>
      </c>
      <c r="B5" s="3">
        <v>4</v>
      </c>
      <c r="C5" s="3">
        <v>1</v>
      </c>
      <c r="D5" s="3">
        <v>4</v>
      </c>
      <c r="E5" s="7">
        <f>SUM(F5:V5)</f>
        <v>4.7349537037037037E-2</v>
      </c>
      <c r="F5" s="6">
        <v>2.9629629629629628E-3</v>
      </c>
      <c r="G5" s="6">
        <v>3.2407407407407406E-3</v>
      </c>
      <c r="H5" s="6">
        <v>2.8703703703703703E-3</v>
      </c>
      <c r="I5" s="6">
        <v>1.7824074074074075E-3</v>
      </c>
      <c r="J5" s="6">
        <v>2.9745370370370373E-3</v>
      </c>
      <c r="K5" s="6">
        <v>2.9745370370370373E-3</v>
      </c>
      <c r="L5" s="6">
        <v>2.9629629629629628E-3</v>
      </c>
      <c r="M5" s="6">
        <v>2.627314814814815E-3</v>
      </c>
      <c r="N5" s="6">
        <v>2.9745370370370373E-3</v>
      </c>
      <c r="O5" s="6">
        <v>3.3333333333333335E-3</v>
      </c>
      <c r="P5" s="6">
        <v>2.9861111111111113E-3</v>
      </c>
      <c r="Q5" s="6">
        <v>1.5046296296296296E-3</v>
      </c>
      <c r="R5" s="6">
        <v>2.9629629629629628E-3</v>
      </c>
      <c r="S5" s="6">
        <v>2.627314814814815E-3</v>
      </c>
      <c r="T5" s="6">
        <v>2.3611111111111111E-3</v>
      </c>
      <c r="U5" s="6">
        <v>2.7430555555555554E-3</v>
      </c>
      <c r="V5" s="8">
        <v>3.460648148148148E-3</v>
      </c>
      <c r="W5" s="6">
        <f>F5+H5+J5+L5+N5+P5+R5+T5</f>
        <v>2.3055555555555555E-2</v>
      </c>
      <c r="X5" s="6">
        <f>MIN(F5,H5,J5,L5,N5,P5,R5,T5)</f>
        <v>2.3611111111111111E-3</v>
      </c>
      <c r="Y5" s="6">
        <f>AVERAGE(F5,H5,J5,L5,N5,P5,R5,T5)</f>
        <v>2.8819444444444444E-3</v>
      </c>
      <c r="Z5" s="6">
        <f>G5+I5+K5+M5+O5+Q5+S5+U5</f>
        <v>2.0833333333333336E-2</v>
      </c>
      <c r="AA5" s="6">
        <f>AVERAGE(G5,I5,K5,M5,O5,Q5,S5,U5)</f>
        <v>2.604166666666667E-3</v>
      </c>
      <c r="AB5" s="1">
        <f>_xlfn.PERCENTOF(W5,E5)</f>
        <v>0.48692251283304816</v>
      </c>
      <c r="AC5" s="1">
        <f>_xlfn.PERCENTOF(Z5,E5)</f>
        <v>0.43999022243950137</v>
      </c>
    </row>
    <row r="6" spans="1:29">
      <c r="A6" t="s">
        <v>33</v>
      </c>
      <c r="B6" s="3">
        <v>5</v>
      </c>
      <c r="C6" s="3">
        <v>2</v>
      </c>
      <c r="D6" s="3">
        <v>4</v>
      </c>
      <c r="E6" s="7">
        <f>SUM(F6:V6)</f>
        <v>4.746527777777778E-2</v>
      </c>
      <c r="F6" s="6">
        <v>3.2407407407407406E-3</v>
      </c>
      <c r="G6" s="6">
        <v>3.1828703703703702E-3</v>
      </c>
      <c r="H6" s="6">
        <v>2.9861111111111113E-3</v>
      </c>
      <c r="I6" s="6">
        <v>1.1689814814814816E-3</v>
      </c>
      <c r="J6" s="6">
        <v>3.1250000000000002E-3</v>
      </c>
      <c r="K6" s="6">
        <v>2.8587962962962963E-3</v>
      </c>
      <c r="L6" s="6">
        <v>3.0787037037037037E-3</v>
      </c>
      <c r="M6" s="6">
        <v>2.7083333333333334E-3</v>
      </c>
      <c r="N6" s="6">
        <v>3.1597222222222222E-3</v>
      </c>
      <c r="O6" s="6">
        <v>3.2407407407407406E-3</v>
      </c>
      <c r="P6" s="6">
        <v>3.0787037037037037E-3</v>
      </c>
      <c r="Q6" s="6">
        <v>1.238425925925926E-3</v>
      </c>
      <c r="R6" s="6">
        <v>3.0787037037037037E-3</v>
      </c>
      <c r="S6" s="6">
        <v>2.2453703703703702E-3</v>
      </c>
      <c r="T6" s="6">
        <v>2.4537037037037036E-3</v>
      </c>
      <c r="U6" s="6">
        <v>3.1481481481481482E-3</v>
      </c>
      <c r="V6" s="8">
        <v>3.472222222222222E-3</v>
      </c>
      <c r="W6" s="6">
        <f>F6+H6+J6+L6+N6+P6+R6+T6</f>
        <v>2.420138888888889E-2</v>
      </c>
      <c r="X6" s="6">
        <f>MIN(F6,H6,J6,L6,N6,P6,R6,T6)</f>
        <v>2.4537037037037036E-3</v>
      </c>
      <c r="Y6" s="6">
        <f>AVERAGE(F6,H6,J6,L6,N6,P6,R6,T6)</f>
        <v>3.0251736111111113E-3</v>
      </c>
      <c r="Z6" s="6">
        <f>G6+I6+K6+M6+O6+Q6+S6+U6</f>
        <v>1.9791666666666666E-2</v>
      </c>
      <c r="AA6" s="6">
        <f>AVERAGE(G6,I6,K6,M6,O6,Q6,S6,U6)</f>
        <v>2.4739583333333332E-3</v>
      </c>
      <c r="AB6" s="1">
        <f>_xlfn.PERCENTOF(W6,E6)</f>
        <v>0.50987564008778352</v>
      </c>
      <c r="AC6" s="1">
        <f>_xlfn.PERCENTOF(Z6,E6)</f>
        <v>0.41697147037307969</v>
      </c>
    </row>
    <row r="7" spans="1:29">
      <c r="A7" t="s">
        <v>34</v>
      </c>
      <c r="B7" s="3">
        <v>6</v>
      </c>
      <c r="C7" s="3">
        <v>1</v>
      </c>
      <c r="D7" s="3">
        <v>6</v>
      </c>
      <c r="E7" s="7">
        <f>SUM(F7:V7)</f>
        <v>4.7812499999999994E-2</v>
      </c>
      <c r="F7" s="6">
        <v>2.9398148148148148E-3</v>
      </c>
      <c r="G7" s="6">
        <v>3.3912037037037036E-3</v>
      </c>
      <c r="H7" s="6">
        <v>2.8935185185185184E-3</v>
      </c>
      <c r="I7" s="6">
        <v>1.2152777777777778E-3</v>
      </c>
      <c r="J7" s="6">
        <v>3.0902777777777777E-3</v>
      </c>
      <c r="K7" s="6">
        <v>2.5694444444444445E-3</v>
      </c>
      <c r="L7" s="6">
        <v>3.0902777777777777E-3</v>
      </c>
      <c r="M7" s="6">
        <v>2.7662037037037039E-3</v>
      </c>
      <c r="N7" s="6">
        <v>3.1134259259259257E-3</v>
      </c>
      <c r="O7" s="6">
        <v>3.3912037037037036E-3</v>
      </c>
      <c r="P7" s="6">
        <v>3.0902777777777777E-3</v>
      </c>
      <c r="Q7" s="6">
        <v>1.1574074074074073E-3</v>
      </c>
      <c r="R7" s="6">
        <v>3.0787037037037037E-3</v>
      </c>
      <c r="S7" s="6">
        <v>2.9398148148148148E-3</v>
      </c>
      <c r="T7" s="6">
        <v>2.5000000000000001E-3</v>
      </c>
      <c r="U7" s="6">
        <v>3.0439814814814813E-3</v>
      </c>
      <c r="V7" s="8">
        <v>3.5416666666666665E-3</v>
      </c>
      <c r="W7" s="6">
        <f>F7+H7+J7+L7+N7+P7+R7+T7</f>
        <v>2.3796296296296298E-2</v>
      </c>
      <c r="X7" s="6">
        <f>MIN(F7,H7,J7,L7,N7,P7,R7,T7)</f>
        <v>2.5000000000000001E-3</v>
      </c>
      <c r="Y7" s="6">
        <f>AVERAGE(F7,H7,J7,L7,N7,P7,R7,T7)</f>
        <v>2.9745370370370373E-3</v>
      </c>
      <c r="Z7" s="6">
        <f>G7+I7+K7+M7+O7+Q7+S7+U7</f>
        <v>2.0474537037037038E-2</v>
      </c>
      <c r="AA7" s="6">
        <f>AVERAGE(G7,I7,K7,M7,O7,Q7,S7,U7)</f>
        <v>2.5593171296296297E-3</v>
      </c>
      <c r="AB7" s="1">
        <f>_xlfn.PERCENTOF(W7,E7)</f>
        <v>0.49770031469377884</v>
      </c>
      <c r="AC7" s="1">
        <f>_xlfn.PERCENTOF(Z7,E7)</f>
        <v>0.42822561123214725</v>
      </c>
    </row>
    <row r="8" spans="1:29">
      <c r="A8" t="s">
        <v>35</v>
      </c>
      <c r="B8" s="3">
        <v>7</v>
      </c>
      <c r="C8" s="3">
        <v>3</v>
      </c>
      <c r="D8" s="3">
        <v>3</v>
      </c>
      <c r="E8" s="7">
        <f>SUM(F8:V8)</f>
        <v>4.8194444444444436E-2</v>
      </c>
      <c r="F8" s="6">
        <v>3.1828703703703702E-3</v>
      </c>
      <c r="G8" s="6">
        <v>3.3564814814814816E-3</v>
      </c>
      <c r="H8" s="6">
        <v>3.0555555555555557E-3</v>
      </c>
      <c r="I8" s="6">
        <v>1.5509259259259259E-3</v>
      </c>
      <c r="J8" s="6">
        <v>3.1365740740740742E-3</v>
      </c>
      <c r="K8" s="6">
        <v>3.2870370370370371E-3</v>
      </c>
      <c r="L8" s="6">
        <v>3.1018518518518517E-3</v>
      </c>
      <c r="M8" s="6">
        <v>2.673611111111111E-3</v>
      </c>
      <c r="N8" s="6">
        <v>3.2291666666666666E-3</v>
      </c>
      <c r="O8" s="6">
        <v>3.3564814814814816E-3</v>
      </c>
      <c r="P8" s="6">
        <v>3.1944444444444446E-3</v>
      </c>
      <c r="Q8" s="6">
        <v>1.1574074074074073E-3</v>
      </c>
      <c r="R8" s="6">
        <v>3.2175925925925926E-3</v>
      </c>
      <c r="S8" s="6">
        <v>2.2685185185185187E-3</v>
      </c>
      <c r="T8" s="6">
        <v>2.4189814814814816E-3</v>
      </c>
      <c r="U8" s="6">
        <v>2.6157407407407405E-3</v>
      </c>
      <c r="V8" s="8">
        <v>3.3912037037037036E-3</v>
      </c>
      <c r="W8" s="6">
        <f>F8+H8+J8+L8+N8+P8+R8+T8</f>
        <v>2.4537037037037034E-2</v>
      </c>
      <c r="X8" s="6">
        <f>MIN(F8,H8,J8,L8,N8,P8,R8,T8)</f>
        <v>2.4189814814814816E-3</v>
      </c>
      <c r="Y8" s="6">
        <f>AVERAGE(F8,H8,J8,L8,N8,P8,R8,T8)</f>
        <v>3.0671296296296293E-3</v>
      </c>
      <c r="Z8" s="6">
        <f>G8+I8+K8+M8+O8+Q8+S8+U8</f>
        <v>2.0266203703703706E-2</v>
      </c>
      <c r="AA8" s="6">
        <f>AVERAGE(G8,I8,K8,M8,O8,Q8,S8,U8)</f>
        <v>2.5332754629629633E-3</v>
      </c>
      <c r="AB8" s="1">
        <f>_xlfn.PERCENTOF(W8,E8)</f>
        <v>0.5091258405379443</v>
      </c>
      <c r="AC8" s="1">
        <f>_xlfn.PERCENTOF(Z8,E8)</f>
        <v>0.42050912584053807</v>
      </c>
    </row>
    <row r="9" spans="1:29">
      <c r="A9" t="s">
        <v>36</v>
      </c>
      <c r="B9" s="3">
        <v>8</v>
      </c>
      <c r="C9" s="3">
        <v>4</v>
      </c>
      <c r="D9" s="3">
        <v>3</v>
      </c>
      <c r="E9" s="7">
        <f>SUM(F9:V9)</f>
        <v>4.8356481481481486E-2</v>
      </c>
      <c r="F9" s="6">
        <v>3.0555555555555557E-3</v>
      </c>
      <c r="G9" s="6">
        <v>3.2870370370370371E-3</v>
      </c>
      <c r="H9" s="6">
        <v>3.0902777777777777E-3</v>
      </c>
      <c r="I9" s="6">
        <v>1.3773148148148147E-3</v>
      </c>
      <c r="J9" s="6">
        <v>3.3564814814814816E-3</v>
      </c>
      <c r="K9" s="6">
        <v>2.9861111111111113E-3</v>
      </c>
      <c r="L9" s="6">
        <v>3.2407407407407406E-3</v>
      </c>
      <c r="M9" s="6">
        <v>2.3611111111111111E-3</v>
      </c>
      <c r="N9" s="6">
        <v>3.3680555555555556E-3</v>
      </c>
      <c r="O9" s="6">
        <v>3.3912037037037036E-3</v>
      </c>
      <c r="P9" s="6">
        <v>3.2638888888888891E-3</v>
      </c>
      <c r="Q9" s="6">
        <v>1.3194444444444445E-3</v>
      </c>
      <c r="R9" s="6">
        <v>3.1712962962962962E-3</v>
      </c>
      <c r="S9" s="6">
        <v>2.2453703703703702E-3</v>
      </c>
      <c r="T9" s="6">
        <v>2.4421296296296296E-3</v>
      </c>
      <c r="U9" s="6">
        <v>2.476851851851852E-3</v>
      </c>
      <c r="V9" s="8">
        <v>3.9236111111111112E-3</v>
      </c>
      <c r="W9" s="6">
        <f>F9+H9+J9+L9+N9+P9+R9+T9</f>
        <v>2.4988425925925928E-2</v>
      </c>
      <c r="X9" s="6">
        <f>MIN(F9,H9,J9,L9,N9,P9,R9,T9)</f>
        <v>2.4421296296296296E-3</v>
      </c>
      <c r="Y9" s="6">
        <f>AVERAGE(F9,H9,J9,L9,N9,P9,R9,T9)</f>
        <v>3.123553240740741E-3</v>
      </c>
      <c r="Z9" s="6">
        <f>G9+I9+K9+M9+O9+Q9+S9+U9</f>
        <v>1.9444444444444445E-2</v>
      </c>
      <c r="AA9" s="6">
        <f>AVERAGE(G9,I9,K9,M9,O9,Q9,S9,U9)</f>
        <v>2.4305555555555556E-3</v>
      </c>
      <c r="AB9" s="1">
        <f>_xlfn.PERCENTOF(W9,E9)</f>
        <v>0.51675442795595983</v>
      </c>
      <c r="AC9" s="1">
        <f>_xlfn.PERCENTOF(Z9,E9)</f>
        <v>0.40210627094303492</v>
      </c>
    </row>
    <row r="10" spans="1:29">
      <c r="A10" t="s">
        <v>37</v>
      </c>
      <c r="B10" s="3">
        <v>9</v>
      </c>
      <c r="C10" s="3">
        <v>5</v>
      </c>
      <c r="D10" s="3">
        <v>3</v>
      </c>
      <c r="E10" s="7">
        <f>SUM(F10:V10)</f>
        <v>4.8414351851851854E-2</v>
      </c>
      <c r="F10" s="6">
        <v>3.2060185185185186E-3</v>
      </c>
      <c r="G10" s="6">
        <v>3.449074074074074E-3</v>
      </c>
      <c r="H10" s="6">
        <v>3.0787037037037037E-3</v>
      </c>
      <c r="I10" s="6">
        <v>1.5046296296296296E-3</v>
      </c>
      <c r="J10" s="6">
        <v>3.1365740740740742E-3</v>
      </c>
      <c r="K10" s="6">
        <v>2.8472222222222223E-3</v>
      </c>
      <c r="L10" s="6">
        <v>3.0902777777777777E-3</v>
      </c>
      <c r="M10" s="6">
        <v>3.2754629629629631E-3</v>
      </c>
      <c r="N10" s="6">
        <v>3.0092592592592593E-3</v>
      </c>
      <c r="O10" s="6">
        <v>3.472222222222222E-3</v>
      </c>
      <c r="P10" s="6">
        <v>3.0555555555555557E-3</v>
      </c>
      <c r="Q10" s="6">
        <v>1.0995370370370371E-3</v>
      </c>
      <c r="R10" s="6">
        <v>3.0787037037037037E-3</v>
      </c>
      <c r="S10" s="6">
        <v>2.1875000000000002E-3</v>
      </c>
      <c r="T10" s="6">
        <v>2.3726851851851851E-3</v>
      </c>
      <c r="U10" s="6">
        <v>2.9745370370370373E-3</v>
      </c>
      <c r="V10" s="8">
        <v>3.5763888888888889E-3</v>
      </c>
      <c r="W10" s="6">
        <f>F10+H10+J10+L10+N10+P10+R10+T10</f>
        <v>2.402777777777778E-2</v>
      </c>
      <c r="X10" s="6">
        <f>MIN(F10,H10,J10,L10,N10,P10,R10,T10)</f>
        <v>2.3726851851851851E-3</v>
      </c>
      <c r="Y10" s="6">
        <f>AVERAGE(F10,H10,J10,L10,N10,P10,R10,T10)</f>
        <v>3.0034722222222225E-3</v>
      </c>
      <c r="Z10" s="6">
        <f>G10+I10+K10+M10+O10+Q10+S10+U10</f>
        <v>2.0810185185185185E-2</v>
      </c>
      <c r="AA10" s="6">
        <f>AVERAGE(G10,I10,K10,M10,O10,Q10,S10,U10)</f>
        <v>2.6012731481481481E-3</v>
      </c>
      <c r="AB10" s="1">
        <f>_xlfn.PERCENTOF(W10,E10)</f>
        <v>0.49629452546019603</v>
      </c>
      <c r="AC10" s="1">
        <f>_xlfn.PERCENTOF(Z10,E10)</f>
        <v>0.4298350466172603</v>
      </c>
    </row>
    <row r="11" spans="1:29">
      <c r="A11" t="s">
        <v>38</v>
      </c>
      <c r="B11" s="3">
        <v>10</v>
      </c>
      <c r="C11" s="3">
        <v>2</v>
      </c>
      <c r="D11" s="3">
        <v>2</v>
      </c>
      <c r="E11" s="7">
        <f>SUM(F11:V11)</f>
        <v>4.8483796296296289E-2</v>
      </c>
      <c r="F11" s="6">
        <v>3.0439814814814813E-3</v>
      </c>
      <c r="G11" s="6">
        <v>3.3333333333333335E-3</v>
      </c>
      <c r="H11" s="6">
        <v>2.9282407407407408E-3</v>
      </c>
      <c r="I11" s="6">
        <v>1.2731481481481483E-3</v>
      </c>
      <c r="J11" s="6">
        <v>3.1481481481481482E-3</v>
      </c>
      <c r="K11" s="6">
        <v>3.0092592592592593E-3</v>
      </c>
      <c r="L11" s="6">
        <v>3.2060185185185186E-3</v>
      </c>
      <c r="M11" s="6">
        <v>2.7662037037037039E-3</v>
      </c>
      <c r="N11" s="6">
        <v>3.1828703703703702E-3</v>
      </c>
      <c r="O11" s="6">
        <v>3.3564814814814816E-3</v>
      </c>
      <c r="P11" s="6">
        <v>3.1018518518518517E-3</v>
      </c>
      <c r="Q11" s="6">
        <v>1.1921296296296296E-3</v>
      </c>
      <c r="R11" s="6">
        <v>3.1481481481481482E-3</v>
      </c>
      <c r="S11" s="6">
        <v>2.3032407407407407E-3</v>
      </c>
      <c r="T11" s="6">
        <v>2.3611111111111111E-3</v>
      </c>
      <c r="U11" s="6">
        <v>3.2175925925925926E-3</v>
      </c>
      <c r="V11" s="8">
        <v>3.9120370370370368E-3</v>
      </c>
      <c r="W11" s="6">
        <f>F11+H11+J11+L11+N11+P11+R11+T11</f>
        <v>2.4120370370370375E-2</v>
      </c>
      <c r="X11" s="6">
        <f>MIN(F11,H11,J11,L11,N11,P11,R11,T11)</f>
        <v>2.3611111111111111E-3</v>
      </c>
      <c r="Y11" s="6">
        <f>AVERAGE(F11,H11,J11,L11,N11,P11,R11,T11)</f>
        <v>3.0150462962962969E-3</v>
      </c>
      <c r="Z11" s="6">
        <f>G11+I11+K11+M11+O11+Q11+S11+U11</f>
        <v>2.0451388888888887E-2</v>
      </c>
      <c r="AA11" s="6">
        <f>AVERAGE(G11,I11,K11,M11,O11,Q11,S11,U11)</f>
        <v>2.5564236111111109E-3</v>
      </c>
      <c r="AB11" s="1">
        <f>_xlfn.PERCENTOF(W11,E11)</f>
        <v>0.49749343518739575</v>
      </c>
      <c r="AC11" s="1">
        <f>_xlfn.PERCENTOF(Z11,E11)</f>
        <v>0.42181904989257585</v>
      </c>
    </row>
    <row r="12" spans="1:29">
      <c r="A12" t="s">
        <v>39</v>
      </c>
      <c r="B12" s="3">
        <v>11</v>
      </c>
      <c r="C12" s="3">
        <v>6</v>
      </c>
      <c r="D12" s="3">
        <v>3</v>
      </c>
      <c r="E12" s="7">
        <f>SUM(F12:V12)</f>
        <v>4.8483796296296296E-2</v>
      </c>
      <c r="F12" s="6">
        <v>3.1365740740740742E-3</v>
      </c>
      <c r="G12" s="6">
        <v>3.2986111111111111E-3</v>
      </c>
      <c r="H12" s="6">
        <v>2.9166666666666668E-3</v>
      </c>
      <c r="I12" s="6">
        <v>1.6782407407407408E-3</v>
      </c>
      <c r="J12" s="6">
        <v>2.9861111111111113E-3</v>
      </c>
      <c r="K12" s="6">
        <v>3.3912037037037036E-3</v>
      </c>
      <c r="L12" s="6">
        <v>2.9861111111111113E-3</v>
      </c>
      <c r="M12" s="6">
        <v>2.7430555555555554E-3</v>
      </c>
      <c r="N12" s="6">
        <v>3.0324074074074073E-3</v>
      </c>
      <c r="O12" s="6">
        <v>3.3449074074074076E-3</v>
      </c>
      <c r="P12" s="6">
        <v>2.9861111111111113E-3</v>
      </c>
      <c r="Q12" s="6">
        <v>1.2847222222222223E-3</v>
      </c>
      <c r="R12" s="6">
        <v>2.9513888888888888E-3</v>
      </c>
      <c r="S12" s="6">
        <v>2.3726851851851851E-3</v>
      </c>
      <c r="T12" s="6">
        <v>2.4074074074074076E-3</v>
      </c>
      <c r="U12" s="6">
        <v>3.0208333333333333E-3</v>
      </c>
      <c r="V12" s="8">
        <v>3.9467592592592592E-3</v>
      </c>
      <c r="W12" s="6">
        <f>F12+H12+J12+L12+N12+P12+R12+T12</f>
        <v>2.3402777777777776E-2</v>
      </c>
      <c r="X12" s="6">
        <f>MIN(F12,H12,J12,L12,N12,P12,R12,T12)</f>
        <v>2.4074074074074076E-3</v>
      </c>
      <c r="Y12" s="6">
        <f>AVERAGE(F12,H12,J12,L12,N12,P12,R12,T12)</f>
        <v>2.925347222222222E-3</v>
      </c>
      <c r="Z12" s="6">
        <f>G12+I12+K12+M12+O12+Q12+S12+U12</f>
        <v>2.1134259259259262E-2</v>
      </c>
      <c r="AA12" s="6">
        <f>AVERAGE(G12,I12,K12,M12,O12,Q12,S12,U12)</f>
        <v>2.6417824074074078E-3</v>
      </c>
      <c r="AB12" s="1">
        <f>_xlfn.PERCENTOF(W12,E12)</f>
        <v>0.48269276677011219</v>
      </c>
      <c r="AC12" s="1">
        <f>_xlfn.PERCENTOF(Z12,E12)</f>
        <v>0.43590355693482941</v>
      </c>
    </row>
    <row r="13" spans="1:29">
      <c r="A13" t="s">
        <v>40</v>
      </c>
      <c r="B13" s="3">
        <v>12</v>
      </c>
      <c r="C13" s="3">
        <v>7</v>
      </c>
      <c r="D13" s="3">
        <v>3</v>
      </c>
      <c r="E13" s="7">
        <f>SUM(F13:V13)</f>
        <v>4.8796296296296296E-2</v>
      </c>
      <c r="F13" s="6">
        <v>2.673611111111111E-3</v>
      </c>
      <c r="G13" s="6">
        <v>3.3101851851851851E-3</v>
      </c>
      <c r="H13" s="6">
        <v>2.6967592592592594E-3</v>
      </c>
      <c r="I13" s="6">
        <v>1.5856481481481481E-3</v>
      </c>
      <c r="J13" s="6">
        <v>2.8935185185185184E-3</v>
      </c>
      <c r="K13" s="6">
        <v>3.8773148148148148E-3</v>
      </c>
      <c r="L13" s="6">
        <v>2.7199074074074074E-3</v>
      </c>
      <c r="M13" s="6">
        <v>2.8009259259259259E-3</v>
      </c>
      <c r="N13" s="6">
        <v>2.7893518518518519E-3</v>
      </c>
      <c r="O13" s="6">
        <v>3.3912037037037036E-3</v>
      </c>
      <c r="P13" s="6">
        <v>2.8124999999999999E-3</v>
      </c>
      <c r="Q13" s="6">
        <v>2.2337962962962962E-3</v>
      </c>
      <c r="R13" s="6">
        <v>2.7083333333333334E-3</v>
      </c>
      <c r="S13" s="6">
        <v>2.6157407407407405E-3</v>
      </c>
      <c r="T13" s="6">
        <v>2.1296296296296298E-3</v>
      </c>
      <c r="U13" s="6">
        <v>3.2870370370370371E-3</v>
      </c>
      <c r="V13" s="8">
        <v>4.2708333333333331E-3</v>
      </c>
      <c r="W13" s="6">
        <f>F13+H13+J13+L13+N13+P13+R13+T13</f>
        <v>2.1423611111111112E-2</v>
      </c>
      <c r="X13" s="6">
        <f>MIN(F13,H13,J13,L13,N13,P13,R13,T13)</f>
        <v>2.1296296296296298E-3</v>
      </c>
      <c r="Y13" s="6">
        <f>AVERAGE(F13,H13,J13,L13,N13,P13,R13,T13)</f>
        <v>2.677951388888889E-3</v>
      </c>
      <c r="Z13" s="6">
        <f>G13+I13+K13+M13+O13+Q13+S13+U13</f>
        <v>2.3101851851851853E-2</v>
      </c>
      <c r="AA13" s="6">
        <f>AVERAGE(G13,I13,K13,M13,O13,Q13,S13,U13)</f>
        <v>2.8877314814814816E-3</v>
      </c>
      <c r="AB13" s="1">
        <f>_xlfn.PERCENTOF(W13,E13)</f>
        <v>0.43904174573055033</v>
      </c>
      <c r="AC13" s="1">
        <f>_xlfn.PERCENTOF(Z13,E13)</f>
        <v>0.47343453510436434</v>
      </c>
    </row>
    <row r="14" spans="1:29">
      <c r="A14" t="s">
        <v>41</v>
      </c>
      <c r="B14" s="3">
        <v>13</v>
      </c>
      <c r="C14" s="3">
        <v>8</v>
      </c>
      <c r="D14" s="3">
        <v>3</v>
      </c>
      <c r="E14" s="7">
        <f>SUM(F14:V14)</f>
        <v>4.884259259259259E-2</v>
      </c>
      <c r="F14" s="6">
        <v>2.8356481481481483E-3</v>
      </c>
      <c r="G14" s="6">
        <v>3.2060185185185186E-3</v>
      </c>
      <c r="H14" s="6">
        <v>2.9745370370370373E-3</v>
      </c>
      <c r="I14" s="6">
        <v>1.8749999999999999E-3</v>
      </c>
      <c r="J14" s="6">
        <v>3.0787037037037037E-3</v>
      </c>
      <c r="K14" s="6">
        <v>3.6458333333333334E-3</v>
      </c>
      <c r="L14" s="6">
        <v>3.0324074074074073E-3</v>
      </c>
      <c r="M14" s="6">
        <v>2.7893518518518519E-3</v>
      </c>
      <c r="N14" s="6">
        <v>3.1134259259259257E-3</v>
      </c>
      <c r="O14" s="6">
        <v>3.3564814814814816E-3</v>
      </c>
      <c r="P14" s="6">
        <v>3.1250000000000002E-3</v>
      </c>
      <c r="Q14" s="6">
        <v>1.4004629629629629E-3</v>
      </c>
      <c r="R14" s="6">
        <v>3.1828703703703702E-3</v>
      </c>
      <c r="S14" s="6">
        <v>2.3958333333333331E-3</v>
      </c>
      <c r="T14" s="6">
        <v>2.4421296296296296E-3</v>
      </c>
      <c r="U14" s="6">
        <v>2.7777777777777779E-3</v>
      </c>
      <c r="V14" s="8">
        <v>3.6111111111111109E-3</v>
      </c>
      <c r="W14" s="6">
        <f>F14+H14+J14+L14+N14+P14+R14+T14</f>
        <v>2.3784722222222224E-2</v>
      </c>
      <c r="X14" s="6">
        <f>MIN(F14,H14,J14,L14,N14,P14,R14,T14)</f>
        <v>2.4421296296296296E-3</v>
      </c>
      <c r="Y14" s="6">
        <f>AVERAGE(F14,H14,J14,L14,N14,P14,R14,T14)</f>
        <v>2.9730902777777781E-3</v>
      </c>
      <c r="Z14" s="6">
        <f>G14+I14+K14+M14+O14+Q14+S14+U14</f>
        <v>2.1446759259259259E-2</v>
      </c>
      <c r="AA14" s="6">
        <f>AVERAGE(G14,I14,K14,M14,O14,Q14,S14,U14)</f>
        <v>2.6808449074074074E-3</v>
      </c>
      <c r="AB14" s="1">
        <f>_xlfn.PERCENTOF(W14,E14)</f>
        <v>0.48696682464454982</v>
      </c>
      <c r="AC14" s="1">
        <f>_xlfn.PERCENTOF(Z14,E14)</f>
        <v>0.43909952606635072</v>
      </c>
    </row>
    <row r="15" spans="1:29">
      <c r="A15" t="s">
        <v>42</v>
      </c>
      <c r="B15" s="3">
        <v>14</v>
      </c>
      <c r="C15" s="3">
        <v>9</v>
      </c>
      <c r="D15" s="3">
        <v>3</v>
      </c>
      <c r="E15" s="7">
        <f>SUM(F15:V15)</f>
        <v>4.8912037037037046E-2</v>
      </c>
      <c r="F15" s="6">
        <v>2.9745370370370373E-3</v>
      </c>
      <c r="G15" s="6">
        <v>3.1481481481481482E-3</v>
      </c>
      <c r="H15" s="6">
        <v>2.9745370370370373E-3</v>
      </c>
      <c r="I15" s="6">
        <v>1.3657407407407407E-3</v>
      </c>
      <c r="J15" s="6">
        <v>3.3912037037037036E-3</v>
      </c>
      <c r="K15" s="6">
        <v>2.8587962962962963E-3</v>
      </c>
      <c r="L15" s="6">
        <v>3.2407407407407406E-3</v>
      </c>
      <c r="M15" s="6">
        <v>3.1597222222222222E-3</v>
      </c>
      <c r="N15" s="6">
        <v>3.2986111111111111E-3</v>
      </c>
      <c r="O15" s="6">
        <v>3.3333333333333335E-3</v>
      </c>
      <c r="P15" s="6">
        <v>3.2986111111111111E-3</v>
      </c>
      <c r="Q15" s="6">
        <v>1.3657407407407407E-3</v>
      </c>
      <c r="R15" s="6">
        <v>3.1365740740740742E-3</v>
      </c>
      <c r="S15" s="6">
        <v>2.4537037037037036E-3</v>
      </c>
      <c r="T15" s="6">
        <v>2.5115740740740741E-3</v>
      </c>
      <c r="U15" s="6">
        <v>2.5115740740740741E-3</v>
      </c>
      <c r="V15" s="8">
        <v>3.8888888888888888E-3</v>
      </c>
      <c r="W15" s="6">
        <f>F15+H15+J15+L15+N15+P15+R15+T15</f>
        <v>2.4826388888888884E-2</v>
      </c>
      <c r="X15" s="6">
        <f>MIN(F15,H15,J15,L15,N15,P15,R15,T15)</f>
        <v>2.5115740740740741E-3</v>
      </c>
      <c r="Y15" s="6">
        <f>AVERAGE(F15,H15,J15,L15,N15,P15,R15,T15)</f>
        <v>3.1032986111111105E-3</v>
      </c>
      <c r="Z15" s="6">
        <f>G15+I15+K15+M15+O15+Q15+S15+U15</f>
        <v>2.0196759259259262E-2</v>
      </c>
      <c r="AA15" s="6">
        <f>AVERAGE(G15,I15,K15,M15,O15,Q15,S15,U15)</f>
        <v>2.5245949074074077E-3</v>
      </c>
      <c r="AB15" s="1">
        <f>_xlfn.PERCENTOF(W15,E15)</f>
        <v>0.50757217226691886</v>
      </c>
      <c r="AC15" s="1">
        <f>_xlfn.PERCENTOF(Z15,E15)</f>
        <v>0.41292001893043062</v>
      </c>
    </row>
    <row r="16" spans="1:29">
      <c r="A16" t="s">
        <v>43</v>
      </c>
      <c r="B16" s="3">
        <v>15</v>
      </c>
      <c r="C16" s="3">
        <v>1</v>
      </c>
      <c r="D16" s="3">
        <v>5</v>
      </c>
      <c r="E16" s="7">
        <f>SUM(F16:V16)</f>
        <v>4.9004629629629627E-2</v>
      </c>
      <c r="F16" s="6">
        <v>2.8124999999999999E-3</v>
      </c>
      <c r="G16" s="6">
        <v>3.4953703703703705E-3</v>
      </c>
      <c r="H16" s="6">
        <v>2.7662037037037039E-3</v>
      </c>
      <c r="I16" s="6">
        <v>1.712962962962963E-3</v>
      </c>
      <c r="J16" s="6">
        <v>2.8819444444444444E-3</v>
      </c>
      <c r="K16" s="6">
        <v>4.2361111111111115E-3</v>
      </c>
      <c r="L16" s="6">
        <v>2.7893518518518519E-3</v>
      </c>
      <c r="M16" s="6">
        <v>2.7199074074074074E-3</v>
      </c>
      <c r="N16" s="6">
        <v>2.8240740740740739E-3</v>
      </c>
      <c r="O16" s="6">
        <v>3.5995370370370369E-3</v>
      </c>
      <c r="P16" s="6">
        <v>2.7777777777777779E-3</v>
      </c>
      <c r="Q16" s="6">
        <v>1.261574074074074E-3</v>
      </c>
      <c r="R16" s="6">
        <v>2.8240740740740739E-3</v>
      </c>
      <c r="S16" s="6">
        <v>2.8819444444444444E-3</v>
      </c>
      <c r="T16" s="6">
        <v>2.2222222222222222E-3</v>
      </c>
      <c r="U16" s="6">
        <v>3.5185185185185185E-3</v>
      </c>
      <c r="V16" s="8">
        <v>3.6805555555555554E-3</v>
      </c>
      <c r="W16" s="6">
        <f>F16+H16+J16+L16+N16+P16+R16+T16</f>
        <v>2.1898148148148146E-2</v>
      </c>
      <c r="X16" s="6">
        <f>MIN(F16,H16,J16,L16,N16,P16,R16,T16)</f>
        <v>2.2222222222222222E-3</v>
      </c>
      <c r="Y16" s="6">
        <f>AVERAGE(F16,H16,J16,L16,N16,P16,R16,T16)</f>
        <v>2.7372685185185182E-3</v>
      </c>
      <c r="Z16" s="6">
        <f>G16+I16+K16+M16+O16+Q16+S16+U16</f>
        <v>2.3425925925925926E-2</v>
      </c>
      <c r="AA16" s="6">
        <f>AVERAGE(G16,I16,K16,M16,O16,Q16,S16,U16)</f>
        <v>2.9282407407407408E-3</v>
      </c>
      <c r="AB16" s="1">
        <f>_xlfn.PERCENTOF(W16,E16)</f>
        <v>0.44685876239962208</v>
      </c>
      <c r="AC16" s="1">
        <f>_xlfn.PERCENTOF(Z16,E16)</f>
        <v>0.47803495512517719</v>
      </c>
    </row>
    <row r="17" spans="1:29">
      <c r="A17" t="s">
        <v>44</v>
      </c>
      <c r="B17" s="3">
        <v>16</v>
      </c>
      <c r="C17" s="3">
        <v>10</v>
      </c>
      <c r="D17" s="3">
        <v>3</v>
      </c>
      <c r="E17" s="7">
        <f>SUM(F17:V17)</f>
        <v>4.9062499999999995E-2</v>
      </c>
      <c r="F17" s="6">
        <v>2.7662037037037039E-3</v>
      </c>
      <c r="G17" s="6">
        <v>3.3680555555555556E-3</v>
      </c>
      <c r="H17" s="6">
        <v>2.9398148148148148E-3</v>
      </c>
      <c r="I17" s="6">
        <v>1.6666666666666668E-3</v>
      </c>
      <c r="J17" s="6">
        <v>3.1597222222222222E-3</v>
      </c>
      <c r="K17" s="6">
        <v>3.5995370370370369E-3</v>
      </c>
      <c r="L17" s="6">
        <v>3.1481481481481482E-3</v>
      </c>
      <c r="M17" s="6">
        <v>2.9050925925925928E-3</v>
      </c>
      <c r="N17" s="6">
        <v>3.0555555555555557E-3</v>
      </c>
      <c r="O17" s="6">
        <v>3.425925925925926E-3</v>
      </c>
      <c r="P17" s="6">
        <v>2.9629629629629628E-3</v>
      </c>
      <c r="Q17" s="6">
        <v>1.0879629629629629E-3</v>
      </c>
      <c r="R17" s="6">
        <v>3.0208333333333333E-3</v>
      </c>
      <c r="S17" s="6">
        <v>2.3842592592592591E-3</v>
      </c>
      <c r="T17" s="6">
        <v>2.2685185185185187E-3</v>
      </c>
      <c r="U17" s="6">
        <v>3.3912037037037036E-3</v>
      </c>
      <c r="V17" s="8">
        <v>3.9120370370370368E-3</v>
      </c>
      <c r="W17" s="6">
        <f>F17+H17+J17+L17+N17+P17+R17+T17</f>
        <v>2.3321759259259257E-2</v>
      </c>
      <c r="X17" s="6">
        <f>MIN(F17,H17,J17,L17,N17,P17,R17,T17)</f>
        <v>2.2685185185185187E-3</v>
      </c>
      <c r="Y17" s="6">
        <f>AVERAGE(F17,H17,J17,L17,N17,P17,R17,T17)</f>
        <v>2.9152199074074072E-3</v>
      </c>
      <c r="Z17" s="6">
        <f>G17+I17+K17+M17+O17+Q17+S17+U17</f>
        <v>2.1828703703703704E-2</v>
      </c>
      <c r="AA17" s="6">
        <f>AVERAGE(G17,I17,K17,M17,O17,Q17,S17,U17)</f>
        <v>2.728587962962963E-3</v>
      </c>
      <c r="AB17" s="1">
        <f>_xlfn.PERCENTOF(W17,E17)</f>
        <v>0.47534795942439256</v>
      </c>
      <c r="AC17" s="1">
        <f>_xlfn.PERCENTOF(Z17,E17)</f>
        <v>0.44491625383345135</v>
      </c>
    </row>
    <row r="18" spans="1:29">
      <c r="A18" t="s">
        <v>45</v>
      </c>
      <c r="B18" s="3">
        <v>17</v>
      </c>
      <c r="C18" s="3">
        <v>3</v>
      </c>
      <c r="D18" s="3">
        <v>2</v>
      </c>
      <c r="E18" s="7">
        <f>SUM(F18:V18)</f>
        <v>4.9074074074074076E-2</v>
      </c>
      <c r="F18" s="6">
        <v>2.8703703703703703E-3</v>
      </c>
      <c r="G18" s="6">
        <v>3.2986111111111111E-3</v>
      </c>
      <c r="H18" s="6">
        <v>2.7777777777777779E-3</v>
      </c>
      <c r="I18" s="6">
        <v>1.5046296296296296E-3</v>
      </c>
      <c r="J18" s="6">
        <v>2.8587962962962963E-3</v>
      </c>
      <c r="K18" s="6">
        <v>3.2754629629629631E-3</v>
      </c>
      <c r="L18" s="6">
        <v>2.8240740740740739E-3</v>
      </c>
      <c r="M18" s="6">
        <v>3.4375E-3</v>
      </c>
      <c r="N18" s="6">
        <v>2.9629629629629628E-3</v>
      </c>
      <c r="O18" s="6">
        <v>3.3217592592592591E-3</v>
      </c>
      <c r="P18" s="6">
        <v>2.9166666666666668E-3</v>
      </c>
      <c r="Q18" s="6">
        <v>1.5509259259259259E-3</v>
      </c>
      <c r="R18" s="6">
        <v>2.9745370370370373E-3</v>
      </c>
      <c r="S18" s="6">
        <v>2.7777777777777779E-3</v>
      </c>
      <c r="T18" s="6">
        <v>2.2685185185185187E-3</v>
      </c>
      <c r="U18" s="6">
        <v>4.0046296296296297E-3</v>
      </c>
      <c r="V18" s="8">
        <v>3.449074074074074E-3</v>
      </c>
      <c r="W18" s="6">
        <f>F18+H18+J18+L18+N18+P18+R18+T18</f>
        <v>2.2453703703703705E-2</v>
      </c>
      <c r="X18" s="6">
        <f>MIN(F18,H18,J18,L18,N18,P18,R18,T18)</f>
        <v>2.2685185185185187E-3</v>
      </c>
      <c r="Y18" s="6">
        <f>AVERAGE(F18,H18,J18,L18,N18,P18,R18,T18)</f>
        <v>2.8067129629629631E-3</v>
      </c>
      <c r="Z18" s="6">
        <f>G18+I18+K18+M18+O18+Q18+S18+U18</f>
        <v>2.3171296296296294E-2</v>
      </c>
      <c r="AA18" s="6">
        <f>AVERAGE(G18,I18,K18,M18,O18,Q18,S18,U18)</f>
        <v>2.8964120370370368E-3</v>
      </c>
      <c r="AB18" s="1">
        <f>_xlfn.PERCENTOF(W18,E18)</f>
        <v>0.45754716981132076</v>
      </c>
      <c r="AC18" s="1">
        <f>_xlfn.PERCENTOF(Z18,E18)</f>
        <v>0.47216981132075464</v>
      </c>
    </row>
    <row r="19" spans="1:29">
      <c r="A19" t="s">
        <v>46</v>
      </c>
      <c r="B19" s="3">
        <v>18</v>
      </c>
      <c r="C19" s="3">
        <v>11</v>
      </c>
      <c r="D19" s="3">
        <v>3</v>
      </c>
      <c r="E19" s="7">
        <f>SUM(F19:V19)</f>
        <v>4.9212962962962972E-2</v>
      </c>
      <c r="F19" s="6">
        <v>3.0555555555555557E-3</v>
      </c>
      <c r="G19" s="6">
        <v>3.2638888888888891E-3</v>
      </c>
      <c r="H19" s="6">
        <v>3.1250000000000002E-3</v>
      </c>
      <c r="I19" s="6">
        <v>1.5277777777777779E-3</v>
      </c>
      <c r="J19" s="6">
        <v>3.2291666666666666E-3</v>
      </c>
      <c r="K19" s="6">
        <v>3.0902777777777777E-3</v>
      </c>
      <c r="L19" s="6">
        <v>3.2870370370370371E-3</v>
      </c>
      <c r="M19" s="6">
        <v>2.8703703703703703E-3</v>
      </c>
      <c r="N19" s="6">
        <v>3.3217592592592591E-3</v>
      </c>
      <c r="O19" s="6">
        <v>3.4953703703703705E-3</v>
      </c>
      <c r="P19" s="6">
        <v>3.3564814814814816E-3</v>
      </c>
      <c r="Q19" s="6">
        <v>1.0416666666666667E-3</v>
      </c>
      <c r="R19" s="6">
        <v>3.2870370370370371E-3</v>
      </c>
      <c r="S19" s="6">
        <v>2.488425925925926E-3</v>
      </c>
      <c r="T19" s="6">
        <v>2.5000000000000001E-3</v>
      </c>
      <c r="U19" s="6">
        <v>2.4537037037037036E-3</v>
      </c>
      <c r="V19" s="8">
        <v>3.8194444444444443E-3</v>
      </c>
      <c r="W19" s="6">
        <f>F19+H19+J19+L19+N19+P19+R19+T19</f>
        <v>2.5162037037037035E-2</v>
      </c>
      <c r="X19" s="6">
        <f>MIN(F19,H19,J19,L19,N19,P19,R19,T19)</f>
        <v>2.5000000000000001E-3</v>
      </c>
      <c r="Y19" s="6">
        <f>AVERAGE(F19,H19,J19,L19,N19,P19,R19,T19)</f>
        <v>3.1452546296296294E-3</v>
      </c>
      <c r="Z19" s="6">
        <f>G19+I19+K19+M19+O19+Q19+S19+U19</f>
        <v>2.0231481481481482E-2</v>
      </c>
      <c r="AA19" s="6">
        <f>AVERAGE(G19,I19,K19,M19,O19,Q19,S19,U19)</f>
        <v>2.5289351851851853E-3</v>
      </c>
      <c r="AB19" s="1">
        <f>_xlfn.PERCENTOF(W19,E19)</f>
        <v>0.51128880526810894</v>
      </c>
      <c r="AC19" s="1">
        <f>_xlfn.PERCENTOF(Z19,E19)</f>
        <v>0.41110065851364058</v>
      </c>
    </row>
    <row r="20" spans="1:29">
      <c r="A20" t="s">
        <v>47</v>
      </c>
      <c r="B20" s="3">
        <v>19</v>
      </c>
      <c r="C20" s="3">
        <v>4</v>
      </c>
      <c r="D20" s="3">
        <v>2</v>
      </c>
      <c r="E20" s="7">
        <f>SUM(F20:V20)</f>
        <v>4.9317129629629634E-2</v>
      </c>
      <c r="F20" s="6">
        <v>3.3217592592592591E-3</v>
      </c>
      <c r="G20" s="6">
        <v>3.2986111111111111E-3</v>
      </c>
      <c r="H20" s="6">
        <v>3.2175925925925926E-3</v>
      </c>
      <c r="I20" s="6">
        <v>1.3657407407407407E-3</v>
      </c>
      <c r="J20" s="6">
        <v>3.3680555555555556E-3</v>
      </c>
      <c r="K20" s="6">
        <v>2.7314814814814814E-3</v>
      </c>
      <c r="L20" s="6">
        <v>3.3449074074074076E-3</v>
      </c>
      <c r="M20" s="6">
        <v>2.6967592592592594E-3</v>
      </c>
      <c r="N20" s="6">
        <v>3.4953703703703705E-3</v>
      </c>
      <c r="O20" s="6">
        <v>3.4375E-3</v>
      </c>
      <c r="P20" s="6">
        <v>3.2523148148148147E-3</v>
      </c>
      <c r="Q20" s="6">
        <v>1.1921296296296296E-3</v>
      </c>
      <c r="R20" s="6">
        <v>3.3333333333333335E-3</v>
      </c>
      <c r="S20" s="6">
        <v>2.0023148148148148E-3</v>
      </c>
      <c r="T20" s="6">
        <v>2.627314814814815E-3</v>
      </c>
      <c r="U20" s="6">
        <v>2.8009259259259259E-3</v>
      </c>
      <c r="V20" s="8">
        <v>3.8310185185185183E-3</v>
      </c>
      <c r="W20" s="6">
        <f>F20+H20+J20+L20+N20+P20+R20+T20</f>
        <v>2.5960648148148149E-2</v>
      </c>
      <c r="X20" s="6">
        <f>MIN(F20,H20,J20,L20,N20,P20,R20,T20)</f>
        <v>2.627314814814815E-3</v>
      </c>
      <c r="Y20" s="6">
        <f>AVERAGE(F20,H20,J20,L20,N20,P20,R20,T20)</f>
        <v>3.2450810185185187E-3</v>
      </c>
      <c r="Z20" s="6">
        <f>G20+I20+K20+M20+O20+Q20+S20+U20</f>
        <v>1.9525462962962963E-2</v>
      </c>
      <c r="AA20" s="6">
        <f>AVERAGE(G20,I20,K20,M20,O20,Q20,S20,U20)</f>
        <v>2.4406828703703704E-3</v>
      </c>
      <c r="AB20" s="1">
        <f>_xlfn.PERCENTOF(W20,E20)</f>
        <v>0.52640225299225529</v>
      </c>
      <c r="AC20" s="1">
        <f>_xlfn.PERCENTOF(Z20,E20)</f>
        <v>0.39591645153719779</v>
      </c>
    </row>
    <row r="21" spans="1:29">
      <c r="A21" t="s">
        <v>48</v>
      </c>
      <c r="B21" s="3">
        <v>20</v>
      </c>
      <c r="C21" s="3">
        <v>2</v>
      </c>
      <c r="D21" s="3">
        <v>5</v>
      </c>
      <c r="E21" s="7">
        <f>SUM(F21:V21)</f>
        <v>4.9675925925925929E-2</v>
      </c>
      <c r="F21" s="6">
        <v>3.1134259259259257E-3</v>
      </c>
      <c r="G21" s="6">
        <v>3.3101851851851851E-3</v>
      </c>
      <c r="H21" s="6">
        <v>2.9166666666666668E-3</v>
      </c>
      <c r="I21" s="6">
        <v>1.1689814814814816E-3</v>
      </c>
      <c r="J21" s="6">
        <v>3.2175925925925926E-3</v>
      </c>
      <c r="K21" s="6">
        <v>2.9976851851851853E-3</v>
      </c>
      <c r="L21" s="6">
        <v>3.0439814814814813E-3</v>
      </c>
      <c r="M21" s="6">
        <v>3.1365740740740742E-3</v>
      </c>
      <c r="N21" s="6">
        <v>3.0324074074074073E-3</v>
      </c>
      <c r="O21" s="6">
        <v>3.6805555555555554E-3</v>
      </c>
      <c r="P21" s="6">
        <v>2.8935185185185184E-3</v>
      </c>
      <c r="Q21" s="6">
        <v>1.25E-3</v>
      </c>
      <c r="R21" s="6">
        <v>2.9745370370370373E-3</v>
      </c>
      <c r="S21" s="6">
        <v>2.3379629629629631E-3</v>
      </c>
      <c r="T21" s="6">
        <v>2.4652777777777776E-3</v>
      </c>
      <c r="U21" s="6">
        <v>4.0277777777777777E-3</v>
      </c>
      <c r="V21" s="8">
        <v>4.1087962962962962E-3</v>
      </c>
      <c r="W21" s="6">
        <f>F21+H21+J21+L21+N21+P21+R21+T21</f>
        <v>2.3657407407407405E-2</v>
      </c>
      <c r="X21" s="6">
        <f>MIN(F21,H21,J21,L21,N21,P21,R21,T21)</f>
        <v>2.4652777777777776E-3</v>
      </c>
      <c r="Y21" s="6">
        <f>AVERAGE(F21,H21,J21,L21,N21,P21,R21,T21)</f>
        <v>2.9571759259259256E-3</v>
      </c>
      <c r="Z21" s="6">
        <f>G21+I21+K21+M21+O21+Q21+S21+U21</f>
        <v>2.1909722222222219E-2</v>
      </c>
      <c r="AA21" s="6">
        <f>AVERAGE(G21,I21,K21,M21,O21,Q21,S21,U21)</f>
        <v>2.7387152777777774E-3</v>
      </c>
      <c r="AB21" s="1">
        <f>_xlfn.PERCENTOF(W21,E21)</f>
        <v>0.47623485554520029</v>
      </c>
      <c r="AC21" s="1">
        <f>_xlfn.PERCENTOF(Z21,E21)</f>
        <v>0.44105312208760478</v>
      </c>
    </row>
    <row r="22" spans="1:29">
      <c r="A22" t="s">
        <v>49</v>
      </c>
      <c r="B22" s="3">
        <v>21</v>
      </c>
      <c r="C22" s="3">
        <v>1</v>
      </c>
      <c r="D22" s="3">
        <v>1</v>
      </c>
      <c r="E22" s="7">
        <f>SUM(F22:V22)</f>
        <v>4.9687499999999996E-2</v>
      </c>
      <c r="F22" s="6">
        <v>2.8703703703703703E-3</v>
      </c>
      <c r="G22" s="6">
        <v>2.9861111111111113E-3</v>
      </c>
      <c r="H22" s="6">
        <v>2.9976851851851853E-3</v>
      </c>
      <c r="I22" s="6">
        <v>1.2847222222222223E-3</v>
      </c>
      <c r="J22" s="6">
        <v>3.2870370370370371E-3</v>
      </c>
      <c r="K22" s="6">
        <v>2.9282407407407408E-3</v>
      </c>
      <c r="L22" s="6">
        <v>3.1828703703703702E-3</v>
      </c>
      <c r="M22" s="6">
        <v>2.5578703703703705E-3</v>
      </c>
      <c r="N22" s="6">
        <v>3.2638888888888891E-3</v>
      </c>
      <c r="O22" s="6">
        <v>3.2407407407407406E-3</v>
      </c>
      <c r="P22" s="6">
        <v>3.2175925925925926E-3</v>
      </c>
      <c r="Q22" s="6">
        <v>1.4351851851851852E-3</v>
      </c>
      <c r="R22" s="6">
        <v>3.2638888888888891E-3</v>
      </c>
      <c r="S22" s="6">
        <v>1.9097222222222222E-3</v>
      </c>
      <c r="T22" s="6">
        <v>2.4537037037037036E-3</v>
      </c>
      <c r="U22" s="6">
        <v>4.5949074074074078E-3</v>
      </c>
      <c r="V22" s="8">
        <v>4.2129629629629626E-3</v>
      </c>
      <c r="W22" s="6">
        <f>F22+H22+J22+L22+N22+P22+R22+T22</f>
        <v>2.4537037037037038E-2</v>
      </c>
      <c r="X22" s="6">
        <f>MIN(F22,H22,J22,L22,N22,P22,R22,T22)</f>
        <v>2.4537037037037036E-3</v>
      </c>
      <c r="Y22" s="6">
        <f>AVERAGE(F22,H22,J22,L22,N22,P22,R22,T22)</f>
        <v>3.0671296296296297E-3</v>
      </c>
      <c r="Z22" s="6">
        <f>G22+I22+K22+M22+O22+Q22+S22+U22</f>
        <v>2.0937500000000001E-2</v>
      </c>
      <c r="AA22" s="6">
        <f>AVERAGE(G22,I22,K22,M22,O22,Q22,S22,U22)</f>
        <v>2.6171875000000002E-3</v>
      </c>
      <c r="AB22" s="1">
        <f>_xlfn.PERCENTOF(W22,E22)</f>
        <v>0.49382716049382724</v>
      </c>
      <c r="AC22" s="1">
        <f>_xlfn.PERCENTOF(Z22,E22)</f>
        <v>0.42138364779874221</v>
      </c>
    </row>
    <row r="23" spans="1:29">
      <c r="A23" t="s">
        <v>50</v>
      </c>
      <c r="B23" s="3">
        <v>22</v>
      </c>
      <c r="C23" s="3">
        <v>12</v>
      </c>
      <c r="D23" s="3">
        <v>3</v>
      </c>
      <c r="E23" s="7">
        <f>SUM(F23:V23)</f>
        <v>4.9768518518518517E-2</v>
      </c>
      <c r="F23" s="6">
        <v>3.0092592592592593E-3</v>
      </c>
      <c r="G23" s="6">
        <v>3.4027777777777776E-3</v>
      </c>
      <c r="H23" s="6">
        <v>2.9861111111111113E-3</v>
      </c>
      <c r="I23" s="6">
        <v>1.5856481481481481E-3</v>
      </c>
      <c r="J23" s="6">
        <v>3.1597222222222222E-3</v>
      </c>
      <c r="K23" s="6">
        <v>3.4375E-3</v>
      </c>
      <c r="L23" s="6">
        <v>3.1828703703703702E-3</v>
      </c>
      <c r="M23" s="6">
        <v>3.2175925925925926E-3</v>
      </c>
      <c r="N23" s="6">
        <v>3.2291666666666666E-3</v>
      </c>
      <c r="O23" s="6">
        <v>3.5300925925925925E-3</v>
      </c>
      <c r="P23" s="6">
        <v>3.2523148148148147E-3</v>
      </c>
      <c r="Q23" s="6">
        <v>1.25E-3</v>
      </c>
      <c r="R23" s="6">
        <v>3.1944444444444446E-3</v>
      </c>
      <c r="S23" s="6">
        <v>2.0833333333333333E-3</v>
      </c>
      <c r="T23" s="6">
        <v>2.5231481481481481E-3</v>
      </c>
      <c r="U23" s="6">
        <v>2.6041666666666665E-3</v>
      </c>
      <c r="V23" s="8">
        <v>4.1203703703703706E-3</v>
      </c>
      <c r="W23" s="6">
        <f>F23+H23+J23+L23+N23+P23+R23+T23</f>
        <v>2.4537037037037038E-2</v>
      </c>
      <c r="X23" s="6">
        <f>MIN(F23,H23,J23,L23,N23,P23,R23,T23)</f>
        <v>2.5231481481481481E-3</v>
      </c>
      <c r="Y23" s="6">
        <f>AVERAGE(F23,H23,J23,L23,N23,P23,R23,T23)</f>
        <v>3.0671296296296297E-3</v>
      </c>
      <c r="Z23" s="6">
        <f>G23+I23+K23+M23+O23+Q23+S23+U23</f>
        <v>2.1111111111111112E-2</v>
      </c>
      <c r="AA23" s="6">
        <f>AVERAGE(G23,I23,K23,M23,O23,Q23,S23,U23)</f>
        <v>2.638888888888889E-3</v>
      </c>
      <c r="AB23" s="1">
        <f>_xlfn.PERCENTOF(W23,E23)</f>
        <v>0.49302325581395351</v>
      </c>
      <c r="AC23" s="1">
        <f>_xlfn.PERCENTOF(Z23,E23)</f>
        <v>0.42418604651162795</v>
      </c>
    </row>
    <row r="24" spans="1:29">
      <c r="A24" t="s">
        <v>51</v>
      </c>
      <c r="B24" s="3">
        <v>23</v>
      </c>
      <c r="C24" s="3">
        <v>13</v>
      </c>
      <c r="D24" s="3">
        <v>3</v>
      </c>
      <c r="E24" s="7">
        <f>SUM(F24:V24)</f>
        <v>4.9791666666666665E-2</v>
      </c>
      <c r="F24" s="6">
        <v>3.0555555555555557E-3</v>
      </c>
      <c r="G24" s="6">
        <v>3.2060185185185186E-3</v>
      </c>
      <c r="H24" s="6">
        <v>3.0902777777777777E-3</v>
      </c>
      <c r="I24" s="6">
        <v>1.8055555555555555E-3</v>
      </c>
      <c r="J24" s="6">
        <v>3.0902777777777777E-3</v>
      </c>
      <c r="K24" s="6">
        <v>2.673611111111111E-3</v>
      </c>
      <c r="L24" s="6">
        <v>3.1712962962962962E-3</v>
      </c>
      <c r="M24" s="6">
        <v>3.6574074074074074E-3</v>
      </c>
      <c r="N24" s="6">
        <v>3.1828703703703702E-3</v>
      </c>
      <c r="O24" s="6">
        <v>3.5069444444444445E-3</v>
      </c>
      <c r="P24" s="6">
        <v>3.1481481481481482E-3</v>
      </c>
      <c r="Q24" s="6">
        <v>1.0300925925925926E-3</v>
      </c>
      <c r="R24" s="6">
        <v>3.2175925925925926E-3</v>
      </c>
      <c r="S24" s="6">
        <v>2.9629629629629628E-3</v>
      </c>
      <c r="T24" s="6">
        <v>2.4652777777777776E-3</v>
      </c>
      <c r="U24" s="6">
        <v>2.8935185185185184E-3</v>
      </c>
      <c r="V24" s="8">
        <v>3.6342592592592594E-3</v>
      </c>
      <c r="W24" s="6">
        <f>F24+H24+J24+L24+N24+P24+R24+T24</f>
        <v>2.4421296296296299E-2</v>
      </c>
      <c r="X24" s="6">
        <f>MIN(F24,H24,J24,L24,N24,P24,R24,T24)</f>
        <v>2.4652777777777776E-3</v>
      </c>
      <c r="Y24" s="6">
        <f>AVERAGE(F24,H24,J24,L24,N24,P24,R24,T24)</f>
        <v>3.0526620370370373E-3</v>
      </c>
      <c r="Z24" s="6">
        <f>G24+I24+K24+M24+O24+Q24+S24+U24</f>
        <v>2.1736111111111109E-2</v>
      </c>
      <c r="AA24" s="6">
        <f>AVERAGE(G24,I24,K24,M24,O24,Q24,S24,U24)</f>
        <v>2.7170138888888886E-3</v>
      </c>
      <c r="AB24" s="1">
        <f>_xlfn.PERCENTOF(W24,E24)</f>
        <v>0.49046954904695494</v>
      </c>
      <c r="AC24" s="1">
        <f>_xlfn.PERCENTOF(Z24,E24)</f>
        <v>0.43654114365411434</v>
      </c>
    </row>
    <row r="25" spans="1:29">
      <c r="A25" t="s">
        <v>52</v>
      </c>
      <c r="B25" s="3">
        <v>24</v>
      </c>
      <c r="C25" s="3">
        <v>5</v>
      </c>
      <c r="D25" s="3">
        <v>2</v>
      </c>
      <c r="E25" s="7">
        <f>SUM(F25:V25)</f>
        <v>4.9918981481481481E-2</v>
      </c>
      <c r="F25" s="6">
        <v>3.0439814814814813E-3</v>
      </c>
      <c r="G25" s="6">
        <v>3.4375E-3</v>
      </c>
      <c r="H25" s="6">
        <v>3.0787037037037037E-3</v>
      </c>
      <c r="I25" s="6">
        <v>1.712962962962963E-3</v>
      </c>
      <c r="J25" s="6">
        <v>3.2638888888888891E-3</v>
      </c>
      <c r="K25" s="6">
        <v>2.8819444444444444E-3</v>
      </c>
      <c r="L25" s="6">
        <v>3.2870370370370371E-3</v>
      </c>
      <c r="M25" s="6">
        <v>2.7777777777777779E-3</v>
      </c>
      <c r="N25" s="6">
        <v>3.2870370370370371E-3</v>
      </c>
      <c r="O25" s="6">
        <v>3.425925925925926E-3</v>
      </c>
      <c r="P25" s="6">
        <v>3.3333333333333335E-3</v>
      </c>
      <c r="Q25" s="6">
        <v>1.2268518518518518E-3</v>
      </c>
      <c r="R25" s="6">
        <v>3.3217592592592591E-3</v>
      </c>
      <c r="S25" s="6">
        <v>2.5694444444444445E-3</v>
      </c>
      <c r="T25" s="6">
        <v>2.488425925925926E-3</v>
      </c>
      <c r="U25" s="6">
        <v>2.9166666666666668E-3</v>
      </c>
      <c r="V25" s="8">
        <v>3.8657407407407408E-3</v>
      </c>
      <c r="W25" s="6">
        <f>F25+H25+J25+L25+N25+P25+R25+T25</f>
        <v>2.5104166666666667E-2</v>
      </c>
      <c r="X25" s="6">
        <f>MIN(F25,H25,J25,L25,N25,P25,R25,T25)</f>
        <v>2.488425925925926E-3</v>
      </c>
      <c r="Y25" s="6">
        <f>AVERAGE(F25,H25,J25,L25,N25,P25,R25,T25)</f>
        <v>3.1380208333333334E-3</v>
      </c>
      <c r="Z25" s="6">
        <f>G25+I25+K25+M25+O25+Q25+S25+U25</f>
        <v>2.0949074074074075E-2</v>
      </c>
      <c r="AA25" s="6">
        <f>AVERAGE(G25,I25,K25,M25,O25,Q25,S25,U25)</f>
        <v>2.6186342592592594E-3</v>
      </c>
      <c r="AB25" s="1">
        <f>_xlfn.PERCENTOF(W25,E25)</f>
        <v>0.50289821469974494</v>
      </c>
      <c r="AC25" s="1">
        <f>_xlfn.PERCENTOF(Z25,E25)</f>
        <v>0.41966148852306984</v>
      </c>
    </row>
    <row r="26" spans="1:29">
      <c r="A26" t="s">
        <v>53</v>
      </c>
      <c r="B26" s="3">
        <v>25</v>
      </c>
      <c r="C26" s="3">
        <v>6</v>
      </c>
      <c r="D26" s="3">
        <v>2</v>
      </c>
      <c r="E26" s="7">
        <f>SUM(F26:V26)</f>
        <v>5.004629629629629E-2</v>
      </c>
      <c r="F26" s="6">
        <v>3.0787037037037037E-3</v>
      </c>
      <c r="G26" s="6">
        <v>3.4953703703703705E-3</v>
      </c>
      <c r="H26" s="6">
        <v>2.9976851851851853E-3</v>
      </c>
      <c r="I26" s="6">
        <v>1.5740740740740741E-3</v>
      </c>
      <c r="J26" s="6">
        <v>3.1944444444444446E-3</v>
      </c>
      <c r="K26" s="6">
        <v>3.1712962962962962E-3</v>
      </c>
      <c r="L26" s="6">
        <v>3.2523148148148147E-3</v>
      </c>
      <c r="M26" s="6">
        <v>3.0555555555555557E-3</v>
      </c>
      <c r="N26" s="6">
        <v>3.3449074074074076E-3</v>
      </c>
      <c r="O26" s="6">
        <v>3.7499999999999999E-3</v>
      </c>
      <c r="P26" s="6">
        <v>3.0787037037037037E-3</v>
      </c>
      <c r="Q26" s="6">
        <v>9.9537037037037042E-4</v>
      </c>
      <c r="R26" s="6">
        <v>3.2291666666666666E-3</v>
      </c>
      <c r="S26" s="6">
        <v>2.1180555555555558E-3</v>
      </c>
      <c r="T26" s="6">
        <v>2.5925925925925925E-3</v>
      </c>
      <c r="U26" s="6">
        <v>3.1597222222222222E-3</v>
      </c>
      <c r="V26" s="8">
        <v>3.9583333333333337E-3</v>
      </c>
      <c r="W26" s="6">
        <f>F26+H26+J26+L26+N26+P26+R26+T26</f>
        <v>2.4768518518518516E-2</v>
      </c>
      <c r="X26" s="6">
        <f>MIN(F26,H26,J26,L26,N26,P26,R26,T26)</f>
        <v>2.5925925925925925E-3</v>
      </c>
      <c r="Y26" s="6">
        <f>AVERAGE(F26,H26,J26,L26,N26,P26,R26,T26)</f>
        <v>3.0960648148148145E-3</v>
      </c>
      <c r="Z26" s="6">
        <f>G26+I26+K26+M26+O26+Q26+S26+U26</f>
        <v>2.1319444444444446E-2</v>
      </c>
      <c r="AA26" s="6">
        <f>AVERAGE(G26,I26,K26,M26,O26,Q26,S26,U26)</f>
        <v>2.6649305555555558E-3</v>
      </c>
      <c r="AB26" s="1">
        <f>_xlfn.PERCENTOF(W26,E26)</f>
        <v>0.49491211840888066</v>
      </c>
      <c r="AC26" s="1">
        <f>_xlfn.PERCENTOF(Z26,E26)</f>
        <v>0.42599444958371885</v>
      </c>
    </row>
    <row r="27" spans="1:29">
      <c r="A27" t="s">
        <v>54</v>
      </c>
      <c r="B27" s="3">
        <v>26</v>
      </c>
      <c r="C27" s="3">
        <v>14</v>
      </c>
      <c r="D27" s="3">
        <v>3</v>
      </c>
      <c r="E27" s="7">
        <f>SUM(F27:V27)</f>
        <v>5.0092592592592598E-2</v>
      </c>
      <c r="F27" s="6">
        <v>3.1481481481481482E-3</v>
      </c>
      <c r="G27" s="6">
        <v>3.1944444444444446E-3</v>
      </c>
      <c r="H27" s="6">
        <v>3.1712962962962962E-3</v>
      </c>
      <c r="I27" s="6">
        <v>1.5393518518518519E-3</v>
      </c>
      <c r="J27" s="6">
        <v>3.2754629629629631E-3</v>
      </c>
      <c r="K27" s="6">
        <v>2.8819444444444444E-3</v>
      </c>
      <c r="L27" s="6">
        <v>3.2638888888888891E-3</v>
      </c>
      <c r="M27" s="6">
        <v>2.3611111111111111E-3</v>
      </c>
      <c r="N27" s="6">
        <v>3.3564814814814816E-3</v>
      </c>
      <c r="O27" s="6">
        <v>3.3217592592592591E-3</v>
      </c>
      <c r="P27" s="6">
        <v>3.3564814814814816E-3</v>
      </c>
      <c r="Q27" s="6">
        <v>1.3541666666666667E-3</v>
      </c>
      <c r="R27" s="6">
        <v>3.3912037037037036E-3</v>
      </c>
      <c r="S27" s="6">
        <v>2.5810185185185185E-3</v>
      </c>
      <c r="T27" s="6">
        <v>2.673611111111111E-3</v>
      </c>
      <c r="U27" s="6">
        <v>3.1134259259259257E-3</v>
      </c>
      <c r="V27" s="8">
        <v>4.1087962962962962E-3</v>
      </c>
      <c r="W27" s="6">
        <f>F27+H27+J27+L27+N27+P27+R27+T27</f>
        <v>2.5636574074074076E-2</v>
      </c>
      <c r="X27" s="6">
        <f>MIN(F27,H27,J27,L27,N27,P27,R27,T27)</f>
        <v>2.673611111111111E-3</v>
      </c>
      <c r="Y27" s="6">
        <f>AVERAGE(F27,H27,J27,L27,N27,P27,R27,T27)</f>
        <v>3.2045717592592594E-3</v>
      </c>
      <c r="Z27" s="6">
        <f>G27+I27+K27+M27+O27+Q27+S27+U27</f>
        <v>2.0347222222222221E-2</v>
      </c>
      <c r="AA27" s="6">
        <f>AVERAGE(G27,I27,K27,M27,O27,Q27,S27,U27)</f>
        <v>2.5434027777777777E-3</v>
      </c>
      <c r="AB27" s="1">
        <f>_xlfn.PERCENTOF(W27,E27)</f>
        <v>0.51178373382624764</v>
      </c>
      <c r="AC27" s="1">
        <f>_xlfn.PERCENTOF(Z27,E27)</f>
        <v>0.40619223659889087</v>
      </c>
    </row>
    <row r="28" spans="1:29">
      <c r="A28" t="s">
        <v>55</v>
      </c>
      <c r="B28" s="3">
        <v>27</v>
      </c>
      <c r="C28" s="3">
        <v>7</v>
      </c>
      <c r="D28" s="3">
        <v>2</v>
      </c>
      <c r="E28" s="7">
        <f>SUM(F28:V28)</f>
        <v>5.0277777777777782E-2</v>
      </c>
      <c r="F28" s="6">
        <v>2.9976851851851853E-3</v>
      </c>
      <c r="G28" s="6">
        <v>3.5069444444444445E-3</v>
      </c>
      <c r="H28" s="6">
        <v>2.9166666666666668E-3</v>
      </c>
      <c r="I28" s="6">
        <v>1.5277777777777779E-3</v>
      </c>
      <c r="J28" s="6">
        <v>3.1944444444444446E-3</v>
      </c>
      <c r="K28" s="6">
        <v>3.414351851851852E-3</v>
      </c>
      <c r="L28" s="6">
        <v>3.1481481481481482E-3</v>
      </c>
      <c r="M28" s="6">
        <v>3.3796296296296296E-3</v>
      </c>
      <c r="N28" s="6">
        <v>3.1481481481481482E-3</v>
      </c>
      <c r="O28" s="6">
        <v>3.425925925925926E-3</v>
      </c>
      <c r="P28" s="6">
        <v>3.0439814814814813E-3</v>
      </c>
      <c r="Q28" s="6">
        <v>1.1805555555555556E-3</v>
      </c>
      <c r="R28" s="6">
        <v>3.1018518518518517E-3</v>
      </c>
      <c r="S28" s="6">
        <v>2.8819444444444444E-3</v>
      </c>
      <c r="T28" s="6">
        <v>2.3495370370370371E-3</v>
      </c>
      <c r="U28" s="6">
        <v>3.2638888888888891E-3</v>
      </c>
      <c r="V28" s="8">
        <v>3.7962962962962963E-3</v>
      </c>
      <c r="W28" s="6">
        <f>F28+H28+J28+L28+N28+P28+R28+T28</f>
        <v>2.3900462962962964E-2</v>
      </c>
      <c r="X28" s="6">
        <f>MIN(F28,H28,J28,L28,N28,P28,R28,T28)</f>
        <v>2.3495370370370371E-3</v>
      </c>
      <c r="Y28" s="6">
        <f>AVERAGE(F28,H28,J28,L28,N28,P28,R28,T28)</f>
        <v>2.9875578703703705E-3</v>
      </c>
      <c r="Z28" s="6">
        <f>G28+I28+K28+M28+O28+Q28+S28+U28</f>
        <v>2.2581018518518518E-2</v>
      </c>
      <c r="AA28" s="6">
        <f>AVERAGE(G28,I28,K28,M28,O28,Q28,S28,U28)</f>
        <v>2.8226273148148147E-3</v>
      </c>
      <c r="AB28" s="1">
        <f>_xlfn.PERCENTOF(W28,E28)</f>
        <v>0.47536832412523017</v>
      </c>
      <c r="AC28" s="1">
        <f>_xlfn.PERCENTOF(Z28,E28)</f>
        <v>0.44912523020257822</v>
      </c>
    </row>
    <row r="29" spans="1:29">
      <c r="A29" t="s">
        <v>56</v>
      </c>
      <c r="B29" s="3">
        <v>28</v>
      </c>
      <c r="C29" s="3">
        <v>15</v>
      </c>
      <c r="D29" s="3">
        <v>3</v>
      </c>
      <c r="E29" s="7">
        <f>SUM(F29:V29)</f>
        <v>5.0358796296296297E-2</v>
      </c>
      <c r="F29" s="6">
        <v>3.1365740740740742E-3</v>
      </c>
      <c r="G29" s="6">
        <v>3.2754629629629631E-3</v>
      </c>
      <c r="H29" s="6">
        <v>3.0324074074074073E-3</v>
      </c>
      <c r="I29" s="6">
        <v>1.7708333333333332E-3</v>
      </c>
      <c r="J29" s="6">
        <v>3.2291666666666666E-3</v>
      </c>
      <c r="K29" s="6">
        <v>3.1944444444444446E-3</v>
      </c>
      <c r="L29" s="6">
        <v>3.2060185185185186E-3</v>
      </c>
      <c r="M29" s="6">
        <v>3.1134259259259257E-3</v>
      </c>
      <c r="N29" s="6">
        <v>3.2986111111111111E-3</v>
      </c>
      <c r="O29" s="6">
        <v>3.3912037037037036E-3</v>
      </c>
      <c r="P29" s="6">
        <v>3.2291666666666666E-3</v>
      </c>
      <c r="Q29" s="6">
        <v>1.4120370370370369E-3</v>
      </c>
      <c r="R29" s="6">
        <v>3.2175925925925926E-3</v>
      </c>
      <c r="S29" s="6">
        <v>2.650462962962963E-3</v>
      </c>
      <c r="T29" s="6">
        <v>2.5115740740740741E-3</v>
      </c>
      <c r="U29" s="6">
        <v>3.2175925925925926E-3</v>
      </c>
      <c r="V29" s="8">
        <v>3.472222222222222E-3</v>
      </c>
      <c r="W29" s="6">
        <f>F29+H29+J29+L29+N29+P29+R29+T29</f>
        <v>2.4861111111111112E-2</v>
      </c>
      <c r="X29" s="6">
        <f>MIN(F29,H29,J29,L29,N29,P29,R29,T29)</f>
        <v>2.5115740740740741E-3</v>
      </c>
      <c r="Y29" s="6">
        <f>AVERAGE(F29,H29,J29,L29,N29,P29,R29,T29)</f>
        <v>3.107638888888889E-3</v>
      </c>
      <c r="Z29" s="6">
        <f>G29+I29+K29+M29+O29+Q29+S29+U29</f>
        <v>2.2025462962962962E-2</v>
      </c>
      <c r="AA29" s="6">
        <f>AVERAGE(G29,I29,K29,M29,O29,Q29,S29,U29)</f>
        <v>2.7531828703703702E-3</v>
      </c>
      <c r="AB29" s="1">
        <f>_xlfn.PERCENTOF(W29,E29)</f>
        <v>0.49367961388186626</v>
      </c>
      <c r="AC29" s="1">
        <f>_xlfn.PERCENTOF(Z29,E29)</f>
        <v>0.43737071937485633</v>
      </c>
    </row>
    <row r="30" spans="1:29">
      <c r="A30" t="s">
        <v>57</v>
      </c>
      <c r="B30" s="3">
        <v>29</v>
      </c>
      <c r="C30" s="3">
        <v>8</v>
      </c>
      <c r="D30" s="3">
        <v>2</v>
      </c>
      <c r="E30" s="7">
        <f>SUM(F30:V30)</f>
        <v>5.0486111111111107E-2</v>
      </c>
      <c r="F30" s="6">
        <v>2.7662037037037039E-3</v>
      </c>
      <c r="G30" s="6">
        <v>3.2870370370370371E-3</v>
      </c>
      <c r="H30" s="6">
        <v>2.9166666666666668E-3</v>
      </c>
      <c r="I30" s="6">
        <v>1.4120370370370369E-3</v>
      </c>
      <c r="J30" s="6">
        <v>3.2638888888888891E-3</v>
      </c>
      <c r="K30" s="6">
        <v>3.3912037037037036E-3</v>
      </c>
      <c r="L30" s="6">
        <v>3.2060185185185186E-3</v>
      </c>
      <c r="M30" s="6">
        <v>2.7893518518518519E-3</v>
      </c>
      <c r="N30" s="6">
        <v>3.2870370370370371E-3</v>
      </c>
      <c r="O30" s="6">
        <v>3.3796296296296296E-3</v>
      </c>
      <c r="P30" s="6">
        <v>4.4791666666666669E-3</v>
      </c>
      <c r="Q30" s="6">
        <v>1.2152777777777778E-3</v>
      </c>
      <c r="R30" s="6">
        <v>3.0902777777777777E-3</v>
      </c>
      <c r="S30" s="6">
        <v>2.4652777777777776E-3</v>
      </c>
      <c r="T30" s="6">
        <v>2.5000000000000001E-3</v>
      </c>
      <c r="U30" s="6">
        <v>3.6689814814814814E-3</v>
      </c>
      <c r="V30" s="8">
        <v>3.3680555555555556E-3</v>
      </c>
      <c r="W30" s="6">
        <f>F30+H30+J30+L30+N30+P30+R30+T30</f>
        <v>2.5509259259259259E-2</v>
      </c>
      <c r="X30" s="6">
        <f>MIN(F30,H30,J30,L30,N30,P30,R30,T30)</f>
        <v>2.5000000000000001E-3</v>
      </c>
      <c r="Y30" s="6">
        <f>AVERAGE(F30,H30,J30,L30,N30,P30,R30,T30)</f>
        <v>3.1886574074074074E-3</v>
      </c>
      <c r="Z30" s="6">
        <f>G30+I30+K30+M30+O30+Q30+S30+U30</f>
        <v>2.1608796296296296E-2</v>
      </c>
      <c r="AA30" s="6">
        <f>AVERAGE(G30,I30,K30,M30,O30,Q30,S30,U30)</f>
        <v>2.701099537037037E-3</v>
      </c>
      <c r="AB30" s="1">
        <f>_xlfn.PERCENTOF(W30,E30)</f>
        <v>0.50527281063732232</v>
      </c>
      <c r="AC30" s="1">
        <f>_xlfn.PERCENTOF(Z30,E30)</f>
        <v>0.42801467216872996</v>
      </c>
    </row>
    <row r="31" spans="1:29">
      <c r="A31" t="s">
        <v>58</v>
      </c>
      <c r="B31" s="3">
        <v>30</v>
      </c>
      <c r="C31" s="3">
        <v>16</v>
      </c>
      <c r="D31" s="3">
        <v>3</v>
      </c>
      <c r="E31" s="7">
        <f>SUM(F31:V31)</f>
        <v>5.0486111111111114E-2</v>
      </c>
      <c r="F31" s="6">
        <v>3.1134259259259257E-3</v>
      </c>
      <c r="G31" s="6">
        <v>3.1134259259259257E-3</v>
      </c>
      <c r="H31" s="6">
        <v>2.9861111111111113E-3</v>
      </c>
      <c r="I31" s="6">
        <v>1.724537037037037E-3</v>
      </c>
      <c r="J31" s="6">
        <v>3.2986111111111111E-3</v>
      </c>
      <c r="K31" s="6">
        <v>3.7037037037037038E-3</v>
      </c>
      <c r="L31" s="6">
        <v>3.1018518518518517E-3</v>
      </c>
      <c r="M31" s="6">
        <v>3.2523148148148147E-3</v>
      </c>
      <c r="N31" s="6">
        <v>3.1134259259259257E-3</v>
      </c>
      <c r="O31" s="6">
        <v>3.3564814814814816E-3</v>
      </c>
      <c r="P31" s="6">
        <v>3.2407407407407406E-3</v>
      </c>
      <c r="Q31" s="6">
        <v>1.2037037037037038E-3</v>
      </c>
      <c r="R31" s="6">
        <v>3.1134259259259257E-3</v>
      </c>
      <c r="S31" s="6">
        <v>2.3379629629629631E-3</v>
      </c>
      <c r="T31" s="6">
        <v>2.4652777777777776E-3</v>
      </c>
      <c r="U31" s="6">
        <v>3.1597222222222222E-3</v>
      </c>
      <c r="V31" s="8">
        <v>4.2013888888888891E-3</v>
      </c>
      <c r="W31" s="6">
        <f>F31+H31+J31+L31+N31+P31+R31+T31</f>
        <v>2.4432870370370372E-2</v>
      </c>
      <c r="X31" s="6">
        <f>MIN(F31,H31,J31,L31,N31,P31,R31,T31)</f>
        <v>2.4652777777777776E-3</v>
      </c>
      <c r="Y31" s="6">
        <f>AVERAGE(F31,H31,J31,L31,N31,P31,R31,T31)</f>
        <v>3.0541087962962965E-3</v>
      </c>
      <c r="Z31" s="6">
        <f>G31+I31+K31+M31+O31+Q31+S31+U31</f>
        <v>2.1851851851851851E-2</v>
      </c>
      <c r="AA31" s="6">
        <f>AVERAGE(G31,I31,K31,M31,O31,Q31,S31,U31)</f>
        <v>2.7314814814814814E-3</v>
      </c>
      <c r="AB31" s="1">
        <f>_xlfn.PERCENTOF(W31,E31)</f>
        <v>0.4839523154516277</v>
      </c>
      <c r="AC31" s="1">
        <f>_xlfn.PERCENTOF(Z31,E31)</f>
        <v>0.43282897753324162</v>
      </c>
    </row>
    <row r="32" spans="1:29">
      <c r="A32" t="s">
        <v>59</v>
      </c>
      <c r="B32" s="3">
        <v>31</v>
      </c>
      <c r="C32" s="3">
        <v>9</v>
      </c>
      <c r="D32" s="3">
        <v>2</v>
      </c>
      <c r="E32" s="7">
        <f>SUM(F32:V32)</f>
        <v>5.0636574074074077E-2</v>
      </c>
      <c r="F32" s="6">
        <v>3.3680555555555556E-3</v>
      </c>
      <c r="G32" s="6">
        <v>3.1944444444444446E-3</v>
      </c>
      <c r="H32" s="6">
        <v>3.0555555555555557E-3</v>
      </c>
      <c r="I32" s="6">
        <v>1.8055555555555555E-3</v>
      </c>
      <c r="J32" s="6">
        <v>3.0787037037037037E-3</v>
      </c>
      <c r="K32" s="6">
        <v>3.425925925925926E-3</v>
      </c>
      <c r="L32" s="6">
        <v>3.0902777777777777E-3</v>
      </c>
      <c r="M32" s="6">
        <v>3.1250000000000002E-3</v>
      </c>
      <c r="N32" s="6">
        <v>3.1481481481481482E-3</v>
      </c>
      <c r="O32" s="6">
        <v>3.4837962962962965E-3</v>
      </c>
      <c r="P32" s="6">
        <v>3.1365740740740742E-3</v>
      </c>
      <c r="Q32" s="6">
        <v>1.0995370370370371E-3</v>
      </c>
      <c r="R32" s="6">
        <v>3.2407407407407406E-3</v>
      </c>
      <c r="S32" s="6">
        <v>2.673611111111111E-3</v>
      </c>
      <c r="T32" s="6">
        <v>2.5462962962962965E-3</v>
      </c>
      <c r="U32" s="6">
        <v>3.1481481481481482E-3</v>
      </c>
      <c r="V32" s="8">
        <v>4.0162037037037041E-3</v>
      </c>
      <c r="W32" s="6">
        <f>F32+H32+J32+L32+N32+P32+R32+T32</f>
        <v>2.4664351851851854E-2</v>
      </c>
      <c r="X32" s="6">
        <f>MIN(F32,H32,J32,L32,N32,P32,R32,T32)</f>
        <v>2.5462962962962965E-3</v>
      </c>
      <c r="Y32" s="6">
        <f>AVERAGE(F32,H32,J32,L32,N32,P32,R32,T32)</f>
        <v>3.0830439814814817E-3</v>
      </c>
      <c r="Z32" s="6">
        <f>G32+I32+K32+M32+O32+Q32+S32+U32</f>
        <v>2.1956018518518521E-2</v>
      </c>
      <c r="AA32" s="6">
        <f>AVERAGE(G32,I32,K32,M32,O32,Q32,S32,U32)</f>
        <v>2.7445023148148151E-3</v>
      </c>
      <c r="AB32" s="1">
        <f>_xlfn.PERCENTOF(W32,E32)</f>
        <v>0.48708571428571429</v>
      </c>
      <c r="AC32" s="1">
        <f>_xlfn.PERCENTOF(Z32,E32)</f>
        <v>0.43360000000000004</v>
      </c>
    </row>
    <row r="33" spans="1:29">
      <c r="A33" t="s">
        <v>60</v>
      </c>
      <c r="B33" s="3">
        <v>32</v>
      </c>
      <c r="C33" s="3">
        <v>17</v>
      </c>
      <c r="D33" s="3">
        <v>3</v>
      </c>
      <c r="E33" s="7">
        <f>SUM(F33:V33)</f>
        <v>5.0694444444444438E-2</v>
      </c>
      <c r="F33" s="6">
        <v>3.2060185185185186E-3</v>
      </c>
      <c r="G33" s="6">
        <v>3.0671296296296297E-3</v>
      </c>
      <c r="H33" s="6">
        <v>3.1944444444444446E-3</v>
      </c>
      <c r="I33" s="6">
        <v>1.3425925925925925E-3</v>
      </c>
      <c r="J33" s="6">
        <v>3.449074074074074E-3</v>
      </c>
      <c r="K33" s="6">
        <v>2.9050925925925928E-3</v>
      </c>
      <c r="L33" s="6">
        <v>3.4027777777777776E-3</v>
      </c>
      <c r="M33" s="6">
        <v>3.7268518518518519E-3</v>
      </c>
      <c r="N33" s="6">
        <v>3.3912037037037036E-3</v>
      </c>
      <c r="O33" s="6">
        <v>3.4027777777777776E-3</v>
      </c>
      <c r="P33" s="6">
        <v>3.3333333333333335E-3</v>
      </c>
      <c r="Q33" s="6">
        <v>1.1458333333333333E-3</v>
      </c>
      <c r="R33" s="6">
        <v>3.3217592592592591E-3</v>
      </c>
      <c r="S33" s="6">
        <v>2.4305555555555556E-3</v>
      </c>
      <c r="T33" s="6">
        <v>2.6157407407407405E-3</v>
      </c>
      <c r="U33" s="6">
        <v>2.5694444444444445E-3</v>
      </c>
      <c r="V33" s="8">
        <v>4.1898148148148146E-3</v>
      </c>
      <c r="W33" s="6">
        <f>F33+H33+J33+L33+N33+P33+R33+T33</f>
        <v>2.5914351851851855E-2</v>
      </c>
      <c r="X33" s="6">
        <f>MIN(F33,H33,J33,L33,N33,P33,R33,T33)</f>
        <v>2.6157407407407405E-3</v>
      </c>
      <c r="Y33" s="6">
        <f>AVERAGE(F33,H33,J33,L33,N33,P33,R33,T33)</f>
        <v>3.2392939814814819E-3</v>
      </c>
      <c r="Z33" s="6">
        <f>G33+I33+K33+M33+O33+Q33+S33+U33</f>
        <v>2.0590277777777777E-2</v>
      </c>
      <c r="AA33" s="6">
        <f>AVERAGE(G33,I33,K33,M33,O33,Q33,S33,U33)</f>
        <v>2.5737847222222221E-3</v>
      </c>
      <c r="AB33" s="1">
        <f>_xlfn.PERCENTOF(W33,E33)</f>
        <v>0.51118721461187233</v>
      </c>
      <c r="AC33" s="1">
        <f>_xlfn.PERCENTOF(Z33,E33)</f>
        <v>0.40616438356164386</v>
      </c>
    </row>
    <row r="34" spans="1:29">
      <c r="A34" t="s">
        <v>61</v>
      </c>
      <c r="B34" s="3">
        <v>33</v>
      </c>
      <c r="C34" s="3">
        <v>2</v>
      </c>
      <c r="D34" s="3">
        <v>1</v>
      </c>
      <c r="E34" s="7">
        <f>SUM(F34:V34)</f>
        <v>5.0879629629629622E-2</v>
      </c>
      <c r="F34" s="6">
        <v>3.0555555555555557E-3</v>
      </c>
      <c r="G34" s="6">
        <v>3.2175925925925926E-3</v>
      </c>
      <c r="H34" s="6">
        <v>3.1018518518518517E-3</v>
      </c>
      <c r="I34" s="6">
        <v>1.5509259259259259E-3</v>
      </c>
      <c r="J34" s="6">
        <v>3.2523148148148147E-3</v>
      </c>
      <c r="K34" s="6">
        <v>3.7152777777777778E-3</v>
      </c>
      <c r="L34" s="6">
        <v>3.1944444444444446E-3</v>
      </c>
      <c r="M34" s="6">
        <v>3.3101851851851851E-3</v>
      </c>
      <c r="N34" s="6">
        <v>3.2638888888888891E-3</v>
      </c>
      <c r="O34" s="6">
        <v>3.2407407407407406E-3</v>
      </c>
      <c r="P34" s="6">
        <v>3.3217592592592591E-3</v>
      </c>
      <c r="Q34" s="6">
        <v>1.0995370370370371E-3</v>
      </c>
      <c r="R34" s="6">
        <v>3.2638888888888891E-3</v>
      </c>
      <c r="S34" s="6">
        <v>2.5578703703703705E-3</v>
      </c>
      <c r="T34" s="6">
        <v>2.4652777777777776E-3</v>
      </c>
      <c r="U34" s="6">
        <v>3.5532407407407409E-3</v>
      </c>
      <c r="V34" s="8">
        <v>3.7152777777777778E-3</v>
      </c>
      <c r="W34" s="6">
        <f>F34+H34+J34+L34+N34+P34+R34+T34</f>
        <v>2.4918981481481483E-2</v>
      </c>
      <c r="X34" s="6">
        <f>MIN(F34,H34,J34,L34,N34,P34,R34,T34)</f>
        <v>2.4652777777777776E-3</v>
      </c>
      <c r="Y34" s="6">
        <f>AVERAGE(F34,H34,J34,L34,N34,P34,R34,T34)</f>
        <v>3.1148726851851854E-3</v>
      </c>
      <c r="Z34" s="6">
        <f>G34+I34+K34+M34+O34+Q34+S34+U34</f>
        <v>2.224537037037037E-2</v>
      </c>
      <c r="AA34" s="6">
        <f>AVERAGE(G34,I34,K34,M34,O34,Q34,S34,U34)</f>
        <v>2.7806712962962963E-3</v>
      </c>
      <c r="AB34" s="1">
        <f>_xlfn.PERCENTOF(W34,E34)</f>
        <v>0.48976342129208383</v>
      </c>
      <c r="AC34" s="1">
        <f>_xlfn.PERCENTOF(Z34,E34)</f>
        <v>0.43721565059144685</v>
      </c>
    </row>
    <row r="35" spans="1:29">
      <c r="A35" t="s">
        <v>62</v>
      </c>
      <c r="B35" s="3">
        <v>34</v>
      </c>
      <c r="C35" s="3">
        <v>10</v>
      </c>
      <c r="D35" s="3">
        <v>2</v>
      </c>
      <c r="E35" s="7">
        <f>SUM(F35:V35)</f>
        <v>5.0983796296296291E-2</v>
      </c>
      <c r="F35" s="6">
        <v>3.4837962962962965E-3</v>
      </c>
      <c r="G35" s="6">
        <v>3.5648148148148149E-3</v>
      </c>
      <c r="H35" s="6">
        <v>3.1365740740740742E-3</v>
      </c>
      <c r="I35" s="6">
        <v>1.6203703703703703E-3</v>
      </c>
      <c r="J35" s="6">
        <v>3.1481481481481482E-3</v>
      </c>
      <c r="K35" s="6">
        <v>2.685185185185185E-3</v>
      </c>
      <c r="L35" s="6">
        <v>3.2291666666666666E-3</v>
      </c>
      <c r="M35" s="6">
        <v>3.2407407407407406E-3</v>
      </c>
      <c r="N35" s="6">
        <v>3.3217592592592591E-3</v>
      </c>
      <c r="O35" s="6">
        <v>3.3680555555555556E-3</v>
      </c>
      <c r="P35" s="6">
        <v>3.2523148148148147E-3</v>
      </c>
      <c r="Q35" s="6">
        <v>1.1921296296296296E-3</v>
      </c>
      <c r="R35" s="6">
        <v>3.1944444444444446E-3</v>
      </c>
      <c r="S35" s="6">
        <v>2.5347222222222221E-3</v>
      </c>
      <c r="T35" s="6">
        <v>2.5694444444444445E-3</v>
      </c>
      <c r="U35" s="6">
        <v>3.3680555555555556E-3</v>
      </c>
      <c r="V35" s="8">
        <v>4.0740740740740737E-3</v>
      </c>
      <c r="W35" s="6">
        <f>F35+H35+J35+L35+N35+P35+R35+T35</f>
        <v>2.5335648148148149E-2</v>
      </c>
      <c r="X35" s="6">
        <f>MIN(F35,H35,J35,L35,N35,P35,R35,T35)</f>
        <v>2.5694444444444445E-3</v>
      </c>
      <c r="Y35" s="6">
        <f>AVERAGE(F35,H35,J35,L35,N35,P35,R35,T35)</f>
        <v>3.1669560185185186E-3</v>
      </c>
      <c r="Z35" s="6">
        <f>G35+I35+K35+M35+O35+Q35+S35+U35</f>
        <v>2.1574074074074072E-2</v>
      </c>
      <c r="AA35" s="6">
        <f>AVERAGE(G35,I35,K35,M35,O35,Q35,S35,U35)</f>
        <v>2.696759259259259E-3</v>
      </c>
      <c r="AB35" s="1">
        <f>_xlfn.PERCENTOF(W35,E35)</f>
        <v>0.49693530079455173</v>
      </c>
      <c r="AC35" s="1">
        <f>_xlfn.PERCENTOF(Z35,E35)</f>
        <v>0.42315550510783201</v>
      </c>
    </row>
    <row r="36" spans="1:29">
      <c r="A36" t="s">
        <v>63</v>
      </c>
      <c r="B36" s="3">
        <v>35</v>
      </c>
      <c r="C36" s="3">
        <v>18</v>
      </c>
      <c r="D36" s="3">
        <v>3</v>
      </c>
      <c r="E36" s="7">
        <f>SUM(F36:V36)</f>
        <v>5.1238425925925923E-2</v>
      </c>
      <c r="F36" s="6">
        <v>2.9398148148148148E-3</v>
      </c>
      <c r="G36" s="6">
        <v>3.1481481481481482E-3</v>
      </c>
      <c r="H36" s="6">
        <v>3.1250000000000002E-3</v>
      </c>
      <c r="I36" s="6">
        <v>1.4930555555555556E-3</v>
      </c>
      <c r="J36" s="6">
        <v>3.2986111111111111E-3</v>
      </c>
      <c r="K36" s="6">
        <v>2.8935185185185184E-3</v>
      </c>
      <c r="L36" s="6">
        <v>3.3333333333333335E-3</v>
      </c>
      <c r="M36" s="6">
        <v>3.2175925925925926E-3</v>
      </c>
      <c r="N36" s="6">
        <v>3.3796296296296296E-3</v>
      </c>
      <c r="O36" s="6">
        <v>3.3796296296296296E-3</v>
      </c>
      <c r="P36" s="6">
        <v>3.4375E-3</v>
      </c>
      <c r="Q36" s="6">
        <v>1.3657407407407407E-3</v>
      </c>
      <c r="R36" s="6">
        <v>3.3912037037037036E-3</v>
      </c>
      <c r="S36" s="6">
        <v>3.414351851851852E-3</v>
      </c>
      <c r="T36" s="6">
        <v>2.6967592592592594E-3</v>
      </c>
      <c r="U36" s="6">
        <v>2.7546296296296294E-3</v>
      </c>
      <c r="V36" s="8">
        <v>3.9699074074074072E-3</v>
      </c>
      <c r="W36" s="6">
        <f>F36+H36+J36+L36+N36+P36+R36+T36</f>
        <v>2.5601851851851855E-2</v>
      </c>
      <c r="X36" s="6">
        <f>MIN(F36,H36,J36,L36,N36,P36,R36,T36)</f>
        <v>2.6967592592592594E-3</v>
      </c>
      <c r="Y36" s="6">
        <f>AVERAGE(F36,H36,J36,L36,N36,P36,R36,T36)</f>
        <v>3.2002314814814819E-3</v>
      </c>
      <c r="Z36" s="6">
        <f>G36+I36+K36+M36+O36+Q36+S36+U36</f>
        <v>2.1666666666666667E-2</v>
      </c>
      <c r="AA36" s="6">
        <f>AVERAGE(G36,I36,K36,M36,O36,Q36,S36,U36)</f>
        <v>2.7083333333333334E-3</v>
      </c>
      <c r="AB36" s="1">
        <f>_xlfn.PERCENTOF(W36,E36)</f>
        <v>0.49966117009261357</v>
      </c>
      <c r="AC36" s="1">
        <f>_xlfn.PERCENTOF(Z36,E36)</f>
        <v>0.42285972441834202</v>
      </c>
    </row>
    <row r="37" spans="1:29">
      <c r="A37" t="s">
        <v>64</v>
      </c>
      <c r="B37" s="3">
        <v>36</v>
      </c>
      <c r="C37" s="3">
        <v>3</v>
      </c>
      <c r="D37" s="3">
        <v>1</v>
      </c>
      <c r="E37" s="7">
        <f>SUM(F37:V37)</f>
        <v>5.1296296296296305E-2</v>
      </c>
      <c r="F37" s="6">
        <v>3.2175925925925926E-3</v>
      </c>
      <c r="G37" s="6">
        <v>3.3680555555555556E-3</v>
      </c>
      <c r="H37" s="6">
        <v>3.1481481481481482E-3</v>
      </c>
      <c r="I37" s="6">
        <v>1.5740740740740741E-3</v>
      </c>
      <c r="J37" s="6">
        <v>3.3217592592592591E-3</v>
      </c>
      <c r="K37" s="6">
        <v>2.8240740740740739E-3</v>
      </c>
      <c r="L37" s="6">
        <v>3.3217592592592591E-3</v>
      </c>
      <c r="M37" s="6">
        <v>4.2476851851851851E-3</v>
      </c>
      <c r="N37" s="6">
        <v>3.3912037037037036E-3</v>
      </c>
      <c r="O37" s="6">
        <v>3.4027777777777776E-3</v>
      </c>
      <c r="P37" s="6">
        <v>3.2870370370370371E-3</v>
      </c>
      <c r="Q37" s="6">
        <v>1.3657407407407407E-3</v>
      </c>
      <c r="R37" s="6">
        <v>3.2291666666666666E-3</v>
      </c>
      <c r="S37" s="6">
        <v>2.650462962962963E-3</v>
      </c>
      <c r="T37" s="6">
        <v>2.5231481481481481E-3</v>
      </c>
      <c r="U37" s="6">
        <v>2.638888888888889E-3</v>
      </c>
      <c r="V37" s="8">
        <v>3.7847222222222223E-3</v>
      </c>
      <c r="W37" s="6">
        <f>F37+H37+J37+L37+N37+P37+R37+T37</f>
        <v>2.5439814814814818E-2</v>
      </c>
      <c r="X37" s="6">
        <f>MIN(F37,H37,J37,L37,N37,P37,R37,T37)</f>
        <v>2.5231481481481481E-3</v>
      </c>
      <c r="Y37" s="6">
        <f>AVERAGE(F37,H37,J37,L37,N37,P37,R37,T37)</f>
        <v>3.1799768518518522E-3</v>
      </c>
      <c r="Z37" s="6">
        <f>G37+I37+K37+M37+O37+Q37+S37+U37</f>
        <v>2.207175925925926E-2</v>
      </c>
      <c r="AA37" s="6">
        <f>AVERAGE(G37,I37,K37,M37,O37,Q37,S37,U37)</f>
        <v>2.7589699074074075E-3</v>
      </c>
      <c r="AB37" s="1">
        <f>_xlfn.PERCENTOF(W37,E37)</f>
        <v>0.49593862815884476</v>
      </c>
      <c r="AC37" s="1">
        <f>_xlfn.PERCENTOF(Z37,E37)</f>
        <v>0.43027978339350176</v>
      </c>
    </row>
    <row r="38" spans="1:29">
      <c r="A38" t="s">
        <v>65</v>
      </c>
      <c r="B38" s="3">
        <v>37</v>
      </c>
      <c r="C38" s="3">
        <v>11</v>
      </c>
      <c r="D38" s="3">
        <v>2</v>
      </c>
      <c r="E38" s="7">
        <f>SUM(F38:V38)</f>
        <v>5.1423611111111114E-2</v>
      </c>
      <c r="F38" s="6">
        <v>3.0671296296296297E-3</v>
      </c>
      <c r="G38" s="6">
        <v>3.3333333333333335E-3</v>
      </c>
      <c r="H38" s="6">
        <v>2.9976851851851853E-3</v>
      </c>
      <c r="I38" s="6">
        <v>1.712962962962963E-3</v>
      </c>
      <c r="J38" s="6">
        <v>3.2291666666666666E-3</v>
      </c>
      <c r="K38" s="6">
        <v>3.0092592592592593E-3</v>
      </c>
      <c r="L38" s="6">
        <v>3.6921296296296298E-3</v>
      </c>
      <c r="M38" s="6">
        <v>3.2407407407407406E-3</v>
      </c>
      <c r="N38" s="6">
        <v>3.1134259259259257E-3</v>
      </c>
      <c r="O38" s="6">
        <v>3.449074074074074E-3</v>
      </c>
      <c r="P38" s="6">
        <v>3.0324074074074073E-3</v>
      </c>
      <c r="Q38" s="6">
        <v>1.4004629629629629E-3</v>
      </c>
      <c r="R38" s="6">
        <v>3.2060185185185186E-3</v>
      </c>
      <c r="S38" s="6">
        <v>2.4652777777777776E-3</v>
      </c>
      <c r="T38" s="6">
        <v>2.4305555555555556E-3</v>
      </c>
      <c r="U38" s="6">
        <v>3.9467592592592592E-3</v>
      </c>
      <c r="V38" s="8">
        <v>4.0972222222222226E-3</v>
      </c>
      <c r="W38" s="6">
        <f>F38+H38+J38+L38+N38+P38+R38+T38</f>
        <v>2.4768518518518516E-2</v>
      </c>
      <c r="X38" s="6">
        <f>MIN(F38,H38,J38,L38,N38,P38,R38,T38)</f>
        <v>2.4305555555555556E-3</v>
      </c>
      <c r="Y38" s="6">
        <f>AVERAGE(F38,H38,J38,L38,N38,P38,R38,T38)</f>
        <v>3.0960648148148145E-3</v>
      </c>
      <c r="Z38" s="6">
        <f>G38+I38+K38+M38+O38+Q38+S38+U38</f>
        <v>2.2557870370370374E-2</v>
      </c>
      <c r="AA38" s="6">
        <f>AVERAGE(G38,I38,K38,M38,O38,Q38,S38,U38)</f>
        <v>2.8197337962962967E-3</v>
      </c>
      <c r="AB38" s="1">
        <f>_xlfn.PERCENTOF(W38,E38)</f>
        <v>0.4816565383749718</v>
      </c>
      <c r="AC38" s="1">
        <f>_xlfn.PERCENTOF(Z38,E38)</f>
        <v>0.43866756695926179</v>
      </c>
    </row>
    <row r="39" spans="1:29">
      <c r="A39" t="s">
        <v>66</v>
      </c>
      <c r="B39" s="3">
        <v>38</v>
      </c>
      <c r="C39" s="3">
        <v>19</v>
      </c>
      <c r="D39" s="3">
        <v>3</v>
      </c>
      <c r="E39" s="7">
        <f>SUM(F39:V39)</f>
        <v>5.1469907407407395E-2</v>
      </c>
      <c r="F39" s="6">
        <v>4.3055555555555555E-3</v>
      </c>
      <c r="G39" s="6">
        <v>3.0208333333333333E-3</v>
      </c>
      <c r="H39" s="6">
        <v>3.5300925925925925E-3</v>
      </c>
      <c r="I39" s="6">
        <v>1.1111111111111111E-3</v>
      </c>
      <c r="J39" s="6">
        <v>3.5069444444444445E-3</v>
      </c>
      <c r="K39" s="6">
        <v>2.3263888888888887E-3</v>
      </c>
      <c r="L39" s="6">
        <v>3.425925925925926E-3</v>
      </c>
      <c r="M39" s="6">
        <v>3.414351851851852E-3</v>
      </c>
      <c r="N39" s="6">
        <v>3.6921296296296298E-3</v>
      </c>
      <c r="O39" s="6">
        <v>3.1481481481481482E-3</v>
      </c>
      <c r="P39" s="6">
        <v>3.425925925925926E-3</v>
      </c>
      <c r="Q39" s="6">
        <v>1.1226851851851851E-3</v>
      </c>
      <c r="R39" s="6">
        <v>3.3564814814814816E-3</v>
      </c>
      <c r="S39" s="6">
        <v>2.4652777777777776E-3</v>
      </c>
      <c r="T39" s="6">
        <v>2.5578703703703705E-3</v>
      </c>
      <c r="U39" s="6">
        <v>3.0671296296296297E-3</v>
      </c>
      <c r="V39" s="8">
        <v>3.9930555555555552E-3</v>
      </c>
      <c r="W39" s="6">
        <f>F39+H39+J39+L39+N39+P39+R39+T39</f>
        <v>2.7800925925925923E-2</v>
      </c>
      <c r="X39" s="6">
        <f>MIN(F39,H39,J39,L39,N39,P39,R39,T39)</f>
        <v>2.5578703703703705E-3</v>
      </c>
      <c r="Y39" s="6">
        <f>AVERAGE(F39,H39,J39,L39,N39,P39,R39,T39)</f>
        <v>3.4751157407407404E-3</v>
      </c>
      <c r="Z39" s="6">
        <f>G39+I39+K39+M39+O39+Q39+S39+U39</f>
        <v>1.9675925925925923E-2</v>
      </c>
      <c r="AA39" s="6">
        <f>AVERAGE(G39,I39,K39,M39,O39,Q39,S39,U39)</f>
        <v>2.4594907407407404E-3</v>
      </c>
      <c r="AB39" s="1">
        <f>_xlfn.PERCENTOF(W39,E39)</f>
        <v>0.54013941983359581</v>
      </c>
      <c r="AC39" s="1">
        <f>_xlfn.PERCENTOF(Z39,E39)</f>
        <v>0.38228018889138748</v>
      </c>
    </row>
    <row r="40" spans="1:29">
      <c r="A40" t="s">
        <v>67</v>
      </c>
      <c r="B40" s="3">
        <v>39</v>
      </c>
      <c r="C40" s="3">
        <v>2</v>
      </c>
      <c r="D40" s="3">
        <v>6</v>
      </c>
      <c r="E40" s="7">
        <f>SUM(F40:V40)</f>
        <v>5.1481481481481475E-2</v>
      </c>
      <c r="F40" s="6">
        <v>3.2523148148148147E-3</v>
      </c>
      <c r="G40" s="6">
        <v>3.2523148148148147E-3</v>
      </c>
      <c r="H40" s="6">
        <v>3.0787037037037037E-3</v>
      </c>
      <c r="I40" s="6">
        <v>1.5277777777777779E-3</v>
      </c>
      <c r="J40" s="6">
        <v>3.1481481481481482E-3</v>
      </c>
      <c r="K40" s="6">
        <v>3.0092592592592593E-3</v>
      </c>
      <c r="L40" s="6">
        <v>3.1944444444444446E-3</v>
      </c>
      <c r="M40" s="6">
        <v>3.3449074074074076E-3</v>
      </c>
      <c r="N40" s="6">
        <v>3.2060185185185186E-3</v>
      </c>
      <c r="O40" s="6">
        <v>3.2986111111111111E-3</v>
      </c>
      <c r="P40" s="6">
        <v>3.2870370370370371E-3</v>
      </c>
      <c r="Q40" s="6">
        <v>1.1111111111111111E-3</v>
      </c>
      <c r="R40" s="6">
        <v>3.2638888888888891E-3</v>
      </c>
      <c r="S40" s="6">
        <v>2.3611111111111111E-3</v>
      </c>
      <c r="T40" s="6">
        <v>2.5578703703703705E-3</v>
      </c>
      <c r="U40" s="6">
        <v>2.9513888888888888E-3</v>
      </c>
      <c r="V40" s="8">
        <v>5.6365740740740742E-3</v>
      </c>
      <c r="W40" s="6">
        <f>F40+H40+J40+L40+N40+P40+R40+T40</f>
        <v>2.4988425925925924E-2</v>
      </c>
      <c r="X40" s="6">
        <f>MIN(F40,H40,J40,L40,N40,P40,R40,T40)</f>
        <v>2.5578703703703705E-3</v>
      </c>
      <c r="Y40" s="6">
        <f>AVERAGE(F40,H40,J40,L40,N40,P40,R40,T40)</f>
        <v>3.1235532407407405E-3</v>
      </c>
      <c r="Z40" s="6">
        <f>G40+I40+K40+M40+O40+Q40+S40+U40</f>
        <v>2.0856481481481483E-2</v>
      </c>
      <c r="AA40" s="6">
        <f>AVERAGE(G40,I40,K40,M40,O40,Q40,S40,U40)</f>
        <v>2.6070601851851853E-3</v>
      </c>
      <c r="AB40" s="1">
        <f>_xlfn.PERCENTOF(W40,E40)</f>
        <v>0.48538669064748202</v>
      </c>
      <c r="AC40" s="1">
        <f>_xlfn.PERCENTOF(Z40,E40)</f>
        <v>0.40512589928057563</v>
      </c>
    </row>
    <row r="41" spans="1:29">
      <c r="A41" t="s">
        <v>68</v>
      </c>
      <c r="B41" s="3">
        <v>40</v>
      </c>
      <c r="C41" s="3">
        <v>3</v>
      </c>
      <c r="D41" s="3">
        <v>5</v>
      </c>
      <c r="E41" s="7">
        <f>SUM(F41:V41)</f>
        <v>5.1504629629629622E-2</v>
      </c>
      <c r="F41" s="6">
        <v>2.8240740740740739E-3</v>
      </c>
      <c r="G41" s="6">
        <v>3.3217592592592591E-3</v>
      </c>
      <c r="H41" s="6">
        <v>3.1712962962962962E-3</v>
      </c>
      <c r="I41" s="6">
        <v>1.9097222222222222E-3</v>
      </c>
      <c r="J41" s="6">
        <v>3.2060185185185186E-3</v>
      </c>
      <c r="K41" s="6">
        <v>4.0046296296296297E-3</v>
      </c>
      <c r="L41" s="6">
        <v>3.0671296296296297E-3</v>
      </c>
      <c r="M41" s="6">
        <v>3.1828703703703702E-3</v>
      </c>
      <c r="N41" s="6">
        <v>2.9861111111111113E-3</v>
      </c>
      <c r="O41" s="6">
        <v>3.5763888888888889E-3</v>
      </c>
      <c r="P41" s="6">
        <v>3.0671296296296297E-3</v>
      </c>
      <c r="Q41" s="6">
        <v>1.1458333333333333E-3</v>
      </c>
      <c r="R41" s="6">
        <v>3.1134259259259257E-3</v>
      </c>
      <c r="S41" s="6">
        <v>3.1481481481481482E-3</v>
      </c>
      <c r="T41" s="6">
        <v>2.4074074074074076E-3</v>
      </c>
      <c r="U41" s="6">
        <v>3.7499999999999999E-3</v>
      </c>
      <c r="V41" s="8">
        <v>3.6226851851851854E-3</v>
      </c>
      <c r="W41" s="6">
        <f>F41+H41+J41+L41+N41+P41+R41+T41</f>
        <v>2.3842592592592592E-2</v>
      </c>
      <c r="X41" s="6">
        <f>MIN(F41,H41,J41,L41,N41,P41,R41,T41)</f>
        <v>2.4074074074074076E-3</v>
      </c>
      <c r="Y41" s="6">
        <f>AVERAGE(F41,H41,J41,L41,N41,P41,R41,T41)</f>
        <v>2.980324074074074E-3</v>
      </c>
      <c r="Z41" s="6">
        <f>G41+I41+K41+M41+O41+Q41+S41+U41</f>
        <v>2.403935185185185E-2</v>
      </c>
      <c r="AA41" s="6">
        <f>AVERAGE(G41,I41,K41,M41,O41,Q41,S41,U41)</f>
        <v>3.0049189814814812E-3</v>
      </c>
      <c r="AB41" s="1">
        <f>_xlfn.PERCENTOF(W41,E41)</f>
        <v>0.4629213483146068</v>
      </c>
      <c r="AC41" s="1">
        <f>_xlfn.PERCENTOF(Z41,E41)</f>
        <v>0.46674157303370789</v>
      </c>
    </row>
    <row r="42" spans="1:29">
      <c r="A42" t="s">
        <v>69</v>
      </c>
      <c r="B42" s="3">
        <v>41</v>
      </c>
      <c r="C42" s="3">
        <v>12</v>
      </c>
      <c r="D42" s="3">
        <v>2</v>
      </c>
      <c r="E42" s="7">
        <f>SUM(F42:V42)</f>
        <v>5.1585648148148151E-2</v>
      </c>
      <c r="F42" s="6">
        <v>3.0902777777777777E-3</v>
      </c>
      <c r="G42" s="6">
        <v>3.3333333333333335E-3</v>
      </c>
      <c r="H42" s="6">
        <v>3.0439814814814813E-3</v>
      </c>
      <c r="I42" s="6">
        <v>1.5856481481481481E-3</v>
      </c>
      <c r="J42" s="6">
        <v>3.3333333333333335E-3</v>
      </c>
      <c r="K42" s="6">
        <v>2.9513888888888888E-3</v>
      </c>
      <c r="L42" s="6">
        <v>3.3449074074074076E-3</v>
      </c>
      <c r="M42" s="6">
        <v>3.7152777777777778E-3</v>
      </c>
      <c r="N42" s="6">
        <v>3.472222222222222E-3</v>
      </c>
      <c r="O42" s="6">
        <v>3.3796296296296296E-3</v>
      </c>
      <c r="P42" s="6">
        <v>3.3101851851851851E-3</v>
      </c>
      <c r="Q42" s="6">
        <v>1.3078703703703703E-3</v>
      </c>
      <c r="R42" s="6">
        <v>3.3217592592592591E-3</v>
      </c>
      <c r="S42" s="6">
        <v>2.627314814814815E-3</v>
      </c>
      <c r="T42" s="6">
        <v>2.6967592592592594E-3</v>
      </c>
      <c r="U42" s="6">
        <v>3.1828703703703702E-3</v>
      </c>
      <c r="V42" s="8">
        <v>3.8888888888888888E-3</v>
      </c>
      <c r="W42" s="6">
        <f>F42+H42+J42+L42+N42+P42+R42+T42</f>
        <v>2.5613425925925928E-2</v>
      </c>
      <c r="X42" s="6">
        <f>MIN(F42,H42,J42,L42,N42,P42,R42,T42)</f>
        <v>2.6967592592592594E-3</v>
      </c>
      <c r="Y42" s="6">
        <f>AVERAGE(F42,H42,J42,L42,N42,P42,R42,T42)</f>
        <v>3.201678240740741E-3</v>
      </c>
      <c r="Z42" s="6">
        <f>G42+I42+K42+M42+O42+Q42+S42+U42</f>
        <v>2.2083333333333333E-2</v>
      </c>
      <c r="AA42" s="6">
        <f>AVERAGE(G42,I42,K42,M42,O42,Q42,S42,U42)</f>
        <v>2.7604166666666667E-3</v>
      </c>
      <c r="AB42" s="1">
        <f>_xlfn.PERCENTOF(W42,E42)</f>
        <v>0.49652232443347544</v>
      </c>
      <c r="AC42" s="1">
        <f>_xlfn.PERCENTOF(Z42,E42)</f>
        <v>0.42809064393089519</v>
      </c>
    </row>
    <row r="43" spans="1:29">
      <c r="A43" t="s">
        <v>70</v>
      </c>
      <c r="B43" s="3">
        <v>42</v>
      </c>
      <c r="C43" s="3">
        <v>4</v>
      </c>
      <c r="D43" s="3">
        <v>1</v>
      </c>
      <c r="E43" s="7">
        <f>SUM(F43:V43)</f>
        <v>5.1608796296296292E-2</v>
      </c>
      <c r="F43" s="6">
        <v>2.6967592592592594E-3</v>
      </c>
      <c r="G43" s="6">
        <v>3.472222222222222E-3</v>
      </c>
      <c r="H43" s="6">
        <v>2.9398148148148148E-3</v>
      </c>
      <c r="I43" s="6">
        <v>2.1990740740740742E-3</v>
      </c>
      <c r="J43" s="6">
        <v>3.2870370370370371E-3</v>
      </c>
      <c r="K43" s="6">
        <v>3.6226851851851854E-3</v>
      </c>
      <c r="L43" s="6">
        <v>3.2060185185185186E-3</v>
      </c>
      <c r="M43" s="6">
        <v>3.3101851851851851E-3</v>
      </c>
      <c r="N43" s="6">
        <v>3.2407407407407406E-3</v>
      </c>
      <c r="O43" s="6">
        <v>3.4953703703703705E-3</v>
      </c>
      <c r="P43" s="6">
        <v>3.2986111111111111E-3</v>
      </c>
      <c r="Q43" s="6">
        <v>1.4004629629629629E-3</v>
      </c>
      <c r="R43" s="6">
        <v>3.2291666666666666E-3</v>
      </c>
      <c r="S43" s="6">
        <v>2.627314814814815E-3</v>
      </c>
      <c r="T43" s="6">
        <v>2.6157407407407405E-3</v>
      </c>
      <c r="U43" s="6">
        <v>3.2986111111111111E-3</v>
      </c>
      <c r="V43" s="8">
        <v>3.6689814814814814E-3</v>
      </c>
      <c r="W43" s="6">
        <f>F43+H43+J43+L43+N43+P43+R43+T43</f>
        <v>2.4513888888888887E-2</v>
      </c>
      <c r="X43" s="6">
        <f>MIN(F43,H43,J43,L43,N43,P43,R43,T43)</f>
        <v>2.6157407407407405E-3</v>
      </c>
      <c r="Y43" s="6">
        <f>AVERAGE(F43,H43,J43,L43,N43,P43,R43,T43)</f>
        <v>3.0642361111111109E-3</v>
      </c>
      <c r="Z43" s="6">
        <f>G43+I43+K43+M43+O43+Q43+S43+U43</f>
        <v>2.3425925925925926E-2</v>
      </c>
      <c r="AA43" s="6">
        <f>AVERAGE(G43,I43,K43,M43,O43,Q43,S43,U43)</f>
        <v>2.9282407407407408E-3</v>
      </c>
      <c r="AB43" s="1">
        <f>_xlfn.PERCENTOF(W43,E43)</f>
        <v>0.47499439336174032</v>
      </c>
      <c r="AC43" s="1">
        <f>_xlfn.PERCENTOF(Z43,E43)</f>
        <v>0.4539134335052703</v>
      </c>
    </row>
    <row r="44" spans="1:29">
      <c r="A44" t="s">
        <v>71</v>
      </c>
      <c r="B44" s="3">
        <v>43</v>
      </c>
      <c r="C44" s="3">
        <v>13</v>
      </c>
      <c r="D44" s="3">
        <v>2</v>
      </c>
      <c r="E44" s="7">
        <f>SUM(F44:V44)</f>
        <v>5.1631944444444439E-2</v>
      </c>
      <c r="F44" s="6">
        <v>3.0902777777777777E-3</v>
      </c>
      <c r="G44" s="6">
        <v>3.4953703703703705E-3</v>
      </c>
      <c r="H44" s="6">
        <v>3.0208333333333333E-3</v>
      </c>
      <c r="I44" s="6">
        <v>2.0486111111111113E-3</v>
      </c>
      <c r="J44" s="6">
        <v>3.0787037037037037E-3</v>
      </c>
      <c r="K44" s="6">
        <v>3.3912037037037036E-3</v>
      </c>
      <c r="L44" s="6">
        <v>3.2407407407407406E-3</v>
      </c>
      <c r="M44" s="6">
        <v>3.4027777777777776E-3</v>
      </c>
      <c r="N44" s="6">
        <v>3.2986111111111111E-3</v>
      </c>
      <c r="O44" s="6">
        <v>3.7731481481481483E-3</v>
      </c>
      <c r="P44" s="6">
        <v>3.0902777777777777E-3</v>
      </c>
      <c r="Q44" s="6">
        <v>1.6435185185185185E-3</v>
      </c>
      <c r="R44" s="6">
        <v>3.0555555555555557E-3</v>
      </c>
      <c r="S44" s="6">
        <v>2.673611111111111E-3</v>
      </c>
      <c r="T44" s="6">
        <v>2.3842592592592591E-3</v>
      </c>
      <c r="U44" s="6">
        <v>3.3680555555555556E-3</v>
      </c>
      <c r="V44" s="8">
        <v>3.5763888888888889E-3</v>
      </c>
      <c r="W44" s="6">
        <f>F44+H44+J44+L44+N44+P44+R44+T44</f>
        <v>2.4259259259259258E-2</v>
      </c>
      <c r="X44" s="6">
        <f>MIN(F44,H44,J44,L44,N44,P44,R44,T44)</f>
        <v>2.3842592592592591E-3</v>
      </c>
      <c r="Y44" s="6">
        <f>AVERAGE(F44,H44,J44,L44,N44,P44,R44,T44)</f>
        <v>3.0324074074074073E-3</v>
      </c>
      <c r="Z44" s="6">
        <f>G44+I44+K44+M44+O44+Q44+S44+U44</f>
        <v>2.3796296296296295E-2</v>
      </c>
      <c r="AA44" s="6">
        <f>AVERAGE(G44,I44,K44,M44,O44,Q44,S44,U44)</f>
        <v>2.9745370370370368E-3</v>
      </c>
      <c r="AB44" s="1">
        <f>_xlfn.PERCENTOF(W44,E44)</f>
        <v>0.4698498094597624</v>
      </c>
      <c r="AC44" s="1">
        <f>_xlfn.PERCENTOF(Z44,E44)</f>
        <v>0.46088321004259136</v>
      </c>
    </row>
    <row r="45" spans="1:29">
      <c r="A45" t="s">
        <v>72</v>
      </c>
      <c r="B45" s="3">
        <v>44</v>
      </c>
      <c r="C45" s="3">
        <v>4</v>
      </c>
      <c r="D45" s="3">
        <v>5</v>
      </c>
      <c r="E45" s="7">
        <f>SUM(F45:V45)</f>
        <v>5.1759259259259262E-2</v>
      </c>
      <c r="F45" s="6">
        <v>3.0208333333333333E-3</v>
      </c>
      <c r="G45" s="6">
        <v>3.3680555555555556E-3</v>
      </c>
      <c r="H45" s="6">
        <v>2.9629629629629628E-3</v>
      </c>
      <c r="I45" s="6">
        <v>1.724537037037037E-3</v>
      </c>
      <c r="J45" s="6">
        <v>3.2754629629629631E-3</v>
      </c>
      <c r="K45" s="6">
        <v>3.3449074074074076E-3</v>
      </c>
      <c r="L45" s="6">
        <v>3.1481481481481482E-3</v>
      </c>
      <c r="M45" s="6">
        <v>3.5300925925925925E-3</v>
      </c>
      <c r="N45" s="6">
        <v>3.0902777777777777E-3</v>
      </c>
      <c r="O45" s="6">
        <v>3.6689814814814814E-3</v>
      </c>
      <c r="P45" s="6">
        <v>3.1365740740740742E-3</v>
      </c>
      <c r="Q45" s="6">
        <v>1.3078703703703703E-3</v>
      </c>
      <c r="R45" s="6">
        <v>3.1828703703703702E-3</v>
      </c>
      <c r="S45" s="6">
        <v>3.0671296296296297E-3</v>
      </c>
      <c r="T45" s="6">
        <v>2.5462962962962965E-3</v>
      </c>
      <c r="U45" s="6">
        <v>3.7731481481481483E-3</v>
      </c>
      <c r="V45" s="8">
        <v>3.6111111111111109E-3</v>
      </c>
      <c r="W45" s="6">
        <f>F45+H45+J45+L45+N45+P45+R45+T45</f>
        <v>2.4363425925925924E-2</v>
      </c>
      <c r="X45" s="6">
        <f>MIN(F45,H45,J45,L45,N45,P45,R45,T45)</f>
        <v>2.5462962962962965E-3</v>
      </c>
      <c r="Y45" s="6">
        <f>AVERAGE(F45,H45,J45,L45,N45,P45,R45,T45)</f>
        <v>3.0454282407407405E-3</v>
      </c>
      <c r="Z45" s="6">
        <f>G45+I45+K45+M45+O45+Q45+S45+U45</f>
        <v>2.3784722222222218E-2</v>
      </c>
      <c r="AA45" s="6">
        <f>AVERAGE(G45,I45,K45,M45,O45,Q45,S45,U45)</f>
        <v>2.9730902777777772E-3</v>
      </c>
      <c r="AB45" s="1">
        <f>_xlfn.PERCENTOF(W45,E45)</f>
        <v>0.47070661896243288</v>
      </c>
      <c r="AC45" s="1">
        <f>_xlfn.PERCENTOF(Z45,E45)</f>
        <v>0.45952593917710183</v>
      </c>
    </row>
    <row r="46" spans="1:29">
      <c r="A46" t="s">
        <v>73</v>
      </c>
      <c r="B46" s="3">
        <v>45</v>
      </c>
      <c r="C46" s="3">
        <v>14</v>
      </c>
      <c r="D46" s="3">
        <v>2</v>
      </c>
      <c r="E46" s="7">
        <f>SUM(F46:V46)</f>
        <v>5.1909722222222225E-2</v>
      </c>
      <c r="F46" s="6">
        <v>3.3101851851851851E-3</v>
      </c>
      <c r="G46" s="6">
        <v>3.1250000000000002E-3</v>
      </c>
      <c r="H46" s="6">
        <v>3.2523148148148147E-3</v>
      </c>
      <c r="I46" s="6">
        <v>1.4467592592592592E-3</v>
      </c>
      <c r="J46" s="6">
        <v>3.6805555555555554E-3</v>
      </c>
      <c r="K46" s="6">
        <v>2.9513888888888888E-3</v>
      </c>
      <c r="L46" s="6">
        <v>3.6458333333333334E-3</v>
      </c>
      <c r="M46" s="6">
        <v>2.4421296296296296E-3</v>
      </c>
      <c r="N46" s="6">
        <v>3.7037037037037038E-3</v>
      </c>
      <c r="O46" s="6">
        <v>3.1828703703703702E-3</v>
      </c>
      <c r="P46" s="6">
        <v>3.6805555555555554E-3</v>
      </c>
      <c r="Q46" s="6">
        <v>1.4583333333333334E-3</v>
      </c>
      <c r="R46" s="6">
        <v>3.5879629629629629E-3</v>
      </c>
      <c r="S46" s="6">
        <v>2.476851851851852E-3</v>
      </c>
      <c r="T46" s="6">
        <v>2.7314814814814814E-3</v>
      </c>
      <c r="U46" s="6">
        <v>2.7777777777777779E-3</v>
      </c>
      <c r="V46" s="8">
        <v>4.4560185185185189E-3</v>
      </c>
      <c r="W46" s="6">
        <f>F46+H46+J46+L46+N46+P46+R46+T46</f>
        <v>2.7592592592592589E-2</v>
      </c>
      <c r="X46" s="6">
        <f>MIN(F46,H46,J46,L46,N46,P46,R46,T46)</f>
        <v>2.7314814814814814E-3</v>
      </c>
      <c r="Y46" s="6">
        <f>AVERAGE(F46,H46,J46,L46,N46,P46,R46,T46)</f>
        <v>3.4490740740740736E-3</v>
      </c>
      <c r="Z46" s="6">
        <f>G46+I46+K46+M46+O46+Q46+S46+U46</f>
        <v>1.9861111111111114E-2</v>
      </c>
      <c r="AA46" s="6">
        <f>AVERAGE(G46,I46,K46,M46,O46,Q46,S46,U46)</f>
        <v>2.4826388888888893E-3</v>
      </c>
      <c r="AB46" s="1">
        <f>_xlfn.PERCENTOF(W46,E46)</f>
        <v>0.53154960981047927</v>
      </c>
      <c r="AC46" s="1">
        <f>_xlfn.PERCENTOF(Z46,E46)</f>
        <v>0.38260869565217392</v>
      </c>
    </row>
    <row r="47" spans="1:29">
      <c r="A47" t="s">
        <v>74</v>
      </c>
      <c r="B47" s="3">
        <v>46</v>
      </c>
      <c r="C47" s="3">
        <v>15</v>
      </c>
      <c r="D47" s="3">
        <v>2</v>
      </c>
      <c r="E47" s="7">
        <f>SUM(F47:V47)</f>
        <v>5.2013888888888901E-2</v>
      </c>
      <c r="F47" s="6">
        <v>2.9050925925925928E-3</v>
      </c>
      <c r="G47" s="6">
        <v>3.5763888888888889E-3</v>
      </c>
      <c r="H47" s="6">
        <v>2.9398148148148148E-3</v>
      </c>
      <c r="I47" s="6">
        <v>1.4583333333333334E-3</v>
      </c>
      <c r="J47" s="6">
        <v>3.1481481481481482E-3</v>
      </c>
      <c r="K47" s="6">
        <v>3.5879629629629629E-3</v>
      </c>
      <c r="L47" s="6">
        <v>3.1481481481481482E-3</v>
      </c>
      <c r="M47" s="6">
        <v>3.2986111111111111E-3</v>
      </c>
      <c r="N47" s="6">
        <v>3.1944444444444446E-3</v>
      </c>
      <c r="O47" s="6">
        <v>3.5763888888888889E-3</v>
      </c>
      <c r="P47" s="6">
        <v>3.1828703703703702E-3</v>
      </c>
      <c r="Q47" s="6">
        <v>1.5393518518518519E-3</v>
      </c>
      <c r="R47" s="6">
        <v>3.2291666666666666E-3</v>
      </c>
      <c r="S47" s="6">
        <v>2.685185185185185E-3</v>
      </c>
      <c r="T47" s="6">
        <v>2.488425925925926E-3</v>
      </c>
      <c r="U47" s="6">
        <v>4.4212962962962964E-3</v>
      </c>
      <c r="V47" s="8">
        <v>3.6342592592592594E-3</v>
      </c>
      <c r="W47" s="6">
        <f>F47+H47+J47+L47+N47+P47+R47+T47</f>
        <v>2.4236111111111108E-2</v>
      </c>
      <c r="X47" s="6">
        <f>MIN(F47,H47,J47,L47,N47,P47,R47,T47)</f>
        <v>2.488425925925926E-3</v>
      </c>
      <c r="Y47" s="6">
        <f>AVERAGE(F47,H47,J47,L47,N47,P47,R47,T47)</f>
        <v>3.0295138888888884E-3</v>
      </c>
      <c r="Z47" s="6">
        <f>G47+I47+K47+M47+O47+Q47+S47+U47</f>
        <v>2.4143518518518522E-2</v>
      </c>
      <c r="AA47" s="6">
        <f>AVERAGE(G47,I47,K47,M47,O47,Q47,S47,U47)</f>
        <v>3.0179398148148153E-3</v>
      </c>
      <c r="AB47" s="1">
        <f>_xlfn.PERCENTOF(W47,E47)</f>
        <v>0.46595460614152184</v>
      </c>
      <c r="AC47" s="1">
        <f>_xlfn.PERCENTOF(Z47,E47)</f>
        <v>0.46417445482866038</v>
      </c>
    </row>
    <row r="48" spans="1:29">
      <c r="A48" t="s">
        <v>75</v>
      </c>
      <c r="B48" s="3">
        <v>47</v>
      </c>
      <c r="C48" s="3">
        <v>20</v>
      </c>
      <c r="D48" s="3">
        <v>3</v>
      </c>
      <c r="E48" s="7">
        <f>SUM(F48:V48)</f>
        <v>5.2013888888888901E-2</v>
      </c>
      <c r="F48" s="6">
        <v>3.1712962962962962E-3</v>
      </c>
      <c r="G48" s="6">
        <v>3.2870370370370371E-3</v>
      </c>
      <c r="H48" s="6">
        <v>3.1712962962962962E-3</v>
      </c>
      <c r="I48" s="6">
        <v>1.6782407407407408E-3</v>
      </c>
      <c r="J48" s="6">
        <v>3.2986111111111111E-3</v>
      </c>
      <c r="K48" s="6">
        <v>3.0092592592592593E-3</v>
      </c>
      <c r="L48" s="6">
        <v>3.4837962962962965E-3</v>
      </c>
      <c r="M48" s="6">
        <v>3.4375E-3</v>
      </c>
      <c r="N48" s="6">
        <v>3.5069444444444445E-3</v>
      </c>
      <c r="O48" s="6">
        <v>3.449074074074074E-3</v>
      </c>
      <c r="P48" s="6">
        <v>3.449074074074074E-3</v>
      </c>
      <c r="Q48" s="6">
        <v>1.2962962962962963E-3</v>
      </c>
      <c r="R48" s="6">
        <v>3.3333333333333335E-3</v>
      </c>
      <c r="S48" s="6">
        <v>2.8009259259259259E-3</v>
      </c>
      <c r="T48" s="6">
        <v>2.685185185185185E-3</v>
      </c>
      <c r="U48" s="6">
        <v>3.2870370370370371E-3</v>
      </c>
      <c r="V48" s="8">
        <v>3.6689814814814814E-3</v>
      </c>
      <c r="W48" s="6">
        <f>F48+H48+J48+L48+N48+P48+R48+T48</f>
        <v>2.6099537037037039E-2</v>
      </c>
      <c r="X48" s="6">
        <f>MIN(F48,H48,J48,L48,N48,P48,R48,T48)</f>
        <v>2.685185185185185E-3</v>
      </c>
      <c r="Y48" s="6">
        <f>AVERAGE(F48,H48,J48,L48,N48,P48,R48,T48)</f>
        <v>3.2624421296296299E-3</v>
      </c>
      <c r="Z48" s="6">
        <f>G48+I48+K48+M48+O48+Q48+S48+U48</f>
        <v>2.2245370370370367E-2</v>
      </c>
      <c r="AA48" s="6">
        <f>AVERAGE(G48,I48,K48,M48,O48,Q48,S48,U48)</f>
        <v>2.7806712962962958E-3</v>
      </c>
      <c r="AB48" s="1">
        <f>_xlfn.PERCENTOF(W48,E48)</f>
        <v>0.50178015131286147</v>
      </c>
      <c r="AC48" s="1">
        <f>_xlfn.PERCENTOF(Z48,E48)</f>
        <v>0.42768135291499759</v>
      </c>
    </row>
    <row r="49" spans="1:29">
      <c r="A49" t="s">
        <v>76</v>
      </c>
      <c r="B49" s="3">
        <v>48</v>
      </c>
      <c r="C49" s="3">
        <v>5</v>
      </c>
      <c r="D49" s="3">
        <v>5</v>
      </c>
      <c r="E49" s="7">
        <f>SUM(F49:V49)</f>
        <v>5.2025462962962954E-2</v>
      </c>
      <c r="F49" s="6">
        <v>3.1481481481481482E-3</v>
      </c>
      <c r="G49" s="6">
        <v>3.1712962962962962E-3</v>
      </c>
      <c r="H49" s="6">
        <v>3.1018518518518517E-3</v>
      </c>
      <c r="I49" s="6">
        <v>1.8518518518518519E-3</v>
      </c>
      <c r="J49" s="6">
        <v>3.2060185185185186E-3</v>
      </c>
      <c r="K49" s="6">
        <v>3.1944444444444446E-3</v>
      </c>
      <c r="L49" s="6">
        <v>3.3217592592592591E-3</v>
      </c>
      <c r="M49" s="6">
        <v>4.1087962962962962E-3</v>
      </c>
      <c r="N49" s="6">
        <v>3.2523148148148147E-3</v>
      </c>
      <c r="O49" s="6">
        <v>3.414351851851852E-3</v>
      </c>
      <c r="P49" s="6">
        <v>3.3101851851851851E-3</v>
      </c>
      <c r="Q49" s="6">
        <v>1.261574074074074E-3</v>
      </c>
      <c r="R49" s="6">
        <v>3.2523148148148147E-3</v>
      </c>
      <c r="S49" s="6">
        <v>2.7430555555555554E-3</v>
      </c>
      <c r="T49" s="6">
        <v>2.6041666666666665E-3</v>
      </c>
      <c r="U49" s="6">
        <v>3.3912037037037036E-3</v>
      </c>
      <c r="V49" s="8">
        <v>3.6921296296296298E-3</v>
      </c>
      <c r="W49" s="6">
        <f>F49+H49+J49+L49+N49+P49+R49+T49</f>
        <v>2.5196759259259259E-2</v>
      </c>
      <c r="X49" s="6">
        <f>MIN(F49,H49,J49,L49,N49,P49,R49,T49)</f>
        <v>2.6041666666666665E-3</v>
      </c>
      <c r="Y49" s="6">
        <f>AVERAGE(F49,H49,J49,L49,N49,P49,R49,T49)</f>
        <v>3.1495949074074074E-3</v>
      </c>
      <c r="Z49" s="6">
        <f>G49+I49+K49+M49+O49+Q49+S49+U49</f>
        <v>2.3136574074074073E-2</v>
      </c>
      <c r="AA49" s="6">
        <f>AVERAGE(G49,I49,K49,M49,O49,Q49,S49,U49)</f>
        <v>2.8920717592592592E-3</v>
      </c>
      <c r="AB49" s="1">
        <f>_xlfn.PERCENTOF(W49,E49)</f>
        <v>0.48431590656284768</v>
      </c>
      <c r="AC49" s="1">
        <f>_xlfn.PERCENTOF(Z49,E49)</f>
        <v>0.44471635150166861</v>
      </c>
    </row>
    <row r="50" spans="1:29">
      <c r="A50" t="s">
        <v>77</v>
      </c>
      <c r="B50" s="3">
        <v>49</v>
      </c>
      <c r="C50" s="3">
        <v>5</v>
      </c>
      <c r="D50" s="3">
        <v>1</v>
      </c>
      <c r="E50" s="7">
        <f>SUM(F50:V50)</f>
        <v>5.2118055555555556E-2</v>
      </c>
      <c r="F50" s="6">
        <v>2.9629629629629628E-3</v>
      </c>
      <c r="G50" s="6">
        <v>3.425925925925926E-3</v>
      </c>
      <c r="H50" s="6">
        <v>3.0902777777777777E-3</v>
      </c>
      <c r="I50" s="6">
        <v>1.9560185185185184E-3</v>
      </c>
      <c r="J50" s="6">
        <v>3.2291666666666666E-3</v>
      </c>
      <c r="K50" s="6">
        <v>3.414351851851852E-3</v>
      </c>
      <c r="L50" s="6">
        <v>3.2638888888888891E-3</v>
      </c>
      <c r="M50" s="6">
        <v>3.2523148148148147E-3</v>
      </c>
      <c r="N50" s="6">
        <v>3.2986111111111111E-3</v>
      </c>
      <c r="O50" s="6">
        <v>3.6458333333333334E-3</v>
      </c>
      <c r="P50" s="6">
        <v>3.3217592592592591E-3</v>
      </c>
      <c r="Q50" s="6">
        <v>1.5046296296296296E-3</v>
      </c>
      <c r="R50" s="6">
        <v>3.3333333333333335E-3</v>
      </c>
      <c r="S50" s="6">
        <v>2.5115740740740741E-3</v>
      </c>
      <c r="T50" s="6">
        <v>2.6041666666666665E-3</v>
      </c>
      <c r="U50" s="6">
        <v>3.449074074074074E-3</v>
      </c>
      <c r="V50" s="8">
        <v>3.8541666666666668E-3</v>
      </c>
      <c r="W50" s="6">
        <f>F50+H50+J50+L50+N50+P50+R50+T50</f>
        <v>2.510416666666667E-2</v>
      </c>
      <c r="X50" s="6">
        <f>MIN(F50,H50,J50,L50,N50,P50,R50,T50)</f>
        <v>2.6041666666666665E-3</v>
      </c>
      <c r="Y50" s="6">
        <f>AVERAGE(F50,H50,J50,L50,N50,P50,R50,T50)</f>
        <v>3.1380208333333338E-3</v>
      </c>
      <c r="Z50" s="6">
        <f>G50+I50+K50+M50+O50+Q50+S50+U50</f>
        <v>2.3159722222222224E-2</v>
      </c>
      <c r="AA50" s="6">
        <f>AVERAGE(G50,I50,K50,M50,O50,Q50,S50,U50)</f>
        <v>2.894965277777778E-3</v>
      </c>
      <c r="AB50" s="1">
        <f>_xlfn.PERCENTOF(W50,E50)</f>
        <v>0.48167888074616927</v>
      </c>
      <c r="AC50" s="1">
        <f>_xlfn.PERCENTOF(Z50,E50)</f>
        <v>0.44437041972018659</v>
      </c>
    </row>
    <row r="51" spans="1:29">
      <c r="A51" t="s">
        <v>78</v>
      </c>
      <c r="B51" s="3">
        <v>50</v>
      </c>
      <c r="C51" s="3">
        <v>16</v>
      </c>
      <c r="D51" s="3">
        <v>2</v>
      </c>
      <c r="E51" s="7">
        <f>SUM(F51:V51)</f>
        <v>5.2337962962962968E-2</v>
      </c>
      <c r="F51" s="6">
        <v>3.1365740740740742E-3</v>
      </c>
      <c r="G51" s="6">
        <v>3.2638888888888891E-3</v>
      </c>
      <c r="H51" s="6">
        <v>3.1250000000000002E-3</v>
      </c>
      <c r="I51" s="6">
        <v>1.8865740740740742E-3</v>
      </c>
      <c r="J51" s="6">
        <v>3.2638888888888891E-3</v>
      </c>
      <c r="K51" s="6">
        <v>3.3564814814814816E-3</v>
      </c>
      <c r="L51" s="6">
        <v>3.3912037037037036E-3</v>
      </c>
      <c r="M51" s="6">
        <v>3.2291666666666666E-3</v>
      </c>
      <c r="N51" s="6">
        <v>3.4027777777777776E-3</v>
      </c>
      <c r="O51" s="6">
        <v>3.425925925925926E-3</v>
      </c>
      <c r="P51" s="6">
        <v>3.5069444444444445E-3</v>
      </c>
      <c r="Q51" s="6">
        <v>1.6782407407407408E-3</v>
      </c>
      <c r="R51" s="6">
        <v>3.5069444444444445E-3</v>
      </c>
      <c r="S51" s="6">
        <v>2.2453703703703702E-3</v>
      </c>
      <c r="T51" s="6">
        <v>2.7893518518518519E-3</v>
      </c>
      <c r="U51" s="6">
        <v>3.460648148148148E-3</v>
      </c>
      <c r="V51" s="8">
        <v>3.6689814814814814E-3</v>
      </c>
      <c r="W51" s="6">
        <f>F51+H51+J51+L51+N51+P51+R51+T51</f>
        <v>2.6122685185185186E-2</v>
      </c>
      <c r="X51" s="6">
        <f>MIN(F51,H51,J51,L51,N51,P51,R51,T51)</f>
        <v>2.7893518518518519E-3</v>
      </c>
      <c r="Y51" s="6">
        <f>AVERAGE(F51,H51,J51,L51,N51,P51,R51,T51)</f>
        <v>3.2653356481481483E-3</v>
      </c>
      <c r="Z51" s="6">
        <f>G51+I51+K51+M51+O51+Q51+S51+U51</f>
        <v>2.2546296296296297E-2</v>
      </c>
      <c r="AA51" s="6">
        <f>AVERAGE(G51,I51,K51,M51,O51,Q51,S51,U51)</f>
        <v>2.8182870370370371E-3</v>
      </c>
      <c r="AB51" s="1">
        <f>_xlfn.PERCENTOF(W51,E51)</f>
        <v>0.49911543564794336</v>
      </c>
      <c r="AC51" s="1">
        <f>_xlfn.PERCENTOF(Z51,E51)</f>
        <v>0.43078283945157009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2026-09-20T21:18:10Z</dcterms:created>
  <dcterms:modified xsi:type="dcterms:W3CDTF">2026-09-20T21:52:34Z</dcterms:modified>
  <cp:category/>
  <cp:contentStatus/>
</cp:coreProperties>
</file>