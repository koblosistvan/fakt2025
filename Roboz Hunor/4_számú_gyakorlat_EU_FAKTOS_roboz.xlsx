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124226"/>
  <xr:revisionPtr revIDLastSave="0" documentId="8_{212C6EFF-C53F-4C2C-83E5-7853B7F6E2A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AKTOS" sheetId="19" r:id="rId1"/>
    <sheet name="EU_forrás" sheetId="18" r:id="rId2"/>
    <sheet name="Pénzügyi_forrás" sheetId="20" r:id="rId3"/>
  </sheets>
  <definedNames>
    <definedName name="_xlnm._FilterDatabase" localSheetId="1" hidden="1">EU_forrás!$A$1:$J$31</definedName>
    <definedName name="_xlnm.Criteria" localSheetId="1">EU_forrás!$L$1:$N$3</definedName>
    <definedName name="_xlnm.Extract" localSheetId="1">EU_forrás!$A$35:$J$35</definedName>
  </definedNames>
  <calcPr calcId="181029"/>
</workbook>
</file>

<file path=xl/calcChain.xml><?xml version="1.0" encoding="utf-8"?>
<calcChain xmlns="http://schemas.openxmlformats.org/spreadsheetml/2006/main">
  <c r="K7" i="20" l="1"/>
  <c r="K6" i="20"/>
  <c r="K5" i="20"/>
  <c r="I8" i="20"/>
  <c r="I7" i="20"/>
  <c r="I6" i="20"/>
  <c r="I5" i="20"/>
  <c r="E4" i="20"/>
  <c r="B5" i="20" s="1"/>
  <c r="D4" i="20"/>
  <c r="B4" i="20"/>
  <c r="E3" i="20"/>
  <c r="D3" i="20"/>
  <c r="C5" i="20"/>
  <c r="C6" i="20"/>
  <c r="C7" i="20" s="1"/>
  <c r="C8" i="20" s="1"/>
  <c r="C9" i="20" s="1"/>
  <c r="C10" i="20" s="1"/>
  <c r="C11" i="20" s="1"/>
  <c r="C12" i="20" s="1"/>
  <c r="C4" i="20"/>
  <c r="C32" i="18"/>
  <c r="D32" i="18"/>
  <c r="F32" i="18"/>
  <c r="H32" i="18"/>
  <c r="J32" i="18"/>
  <c r="D5" i="20" l="1"/>
  <c r="E5" i="20" s="1"/>
  <c r="B6" i="20" s="1"/>
  <c r="G4" i="18"/>
  <c r="G11" i="18"/>
  <c r="G14" i="18"/>
  <c r="G21" i="18"/>
  <c r="G31" i="18"/>
  <c r="G15" i="18"/>
  <c r="G24" i="18"/>
  <c r="G7" i="18"/>
  <c r="G29" i="18"/>
  <c r="G5" i="18"/>
  <c r="G10" i="18"/>
  <c r="G30" i="18"/>
  <c r="G22" i="18"/>
  <c r="G16" i="18"/>
  <c r="G18" i="18"/>
  <c r="G3" i="18"/>
  <c r="G20" i="18"/>
  <c r="G13" i="18"/>
  <c r="G8" i="18"/>
  <c r="G6" i="18"/>
  <c r="G27" i="18"/>
  <c r="G12" i="18"/>
  <c r="G28" i="18"/>
  <c r="G26" i="18"/>
  <c r="G19" i="18"/>
  <c r="G17" i="18"/>
  <c r="G25" i="18"/>
  <c r="E7" i="18"/>
  <c r="E29" i="18"/>
  <c r="E5" i="18"/>
  <c r="E10" i="18"/>
  <c r="E30" i="18"/>
  <c r="E22" i="18"/>
  <c r="E16" i="18"/>
  <c r="E18" i="18"/>
  <c r="E3" i="18"/>
  <c r="E20" i="18"/>
  <c r="E13" i="18"/>
  <c r="E8" i="18"/>
  <c r="E6" i="18"/>
  <c r="E27" i="18"/>
  <c r="E12" i="18"/>
  <c r="E28" i="18"/>
  <c r="E26" i="18"/>
  <c r="E19" i="18"/>
  <c r="E17" i="18"/>
  <c r="E4" i="18"/>
  <c r="E11" i="18"/>
  <c r="E14" i="18"/>
  <c r="E21" i="18"/>
  <c r="E31" i="18"/>
  <c r="E15" i="18"/>
  <c r="E24" i="18"/>
  <c r="E25" i="18"/>
  <c r="D6" i="20" l="1"/>
  <c r="E6" i="20" s="1"/>
  <c r="B7" i="20" s="1"/>
  <c r="G32" i="18"/>
  <c r="E32" i="18"/>
  <c r="D7" i="20" l="1"/>
  <c r="E7" i="20" s="1"/>
  <c r="B8" i="20" s="1"/>
  <c r="D8" i="20" l="1"/>
  <c r="E8" i="20" s="1"/>
  <c r="B9" i="20" s="1"/>
  <c r="D9" i="20" l="1"/>
  <c r="E9" i="20" s="1"/>
  <c r="B10" i="20" s="1"/>
  <c r="E10" i="20" l="1"/>
  <c r="B11" i="20" s="1"/>
  <c r="D10" i="20"/>
  <c r="D11" i="20" l="1"/>
  <c r="E11" i="20" s="1"/>
  <c r="B12" i="20" s="1"/>
  <c r="D12" i="20" l="1"/>
  <c r="E12" i="20"/>
</calcChain>
</file>

<file path=xl/sharedStrings.xml><?xml version="1.0" encoding="utf-8"?>
<sst xmlns="http://schemas.openxmlformats.org/spreadsheetml/2006/main" count="168" uniqueCount="122">
  <si>
    <t>Ország</t>
  </si>
  <si>
    <t>Főváros</t>
  </si>
  <si>
    <t>Ausztria</t>
  </si>
  <si>
    <t>Belgium</t>
  </si>
  <si>
    <t>Dánia</t>
  </si>
  <si>
    <t>Finnország</t>
  </si>
  <si>
    <t>Franciaország</t>
  </si>
  <si>
    <t>Görögország</t>
  </si>
  <si>
    <t>Hollandia</t>
  </si>
  <si>
    <t>Írország</t>
  </si>
  <si>
    <t>Luxemburg</t>
  </si>
  <si>
    <t>Németország</t>
  </si>
  <si>
    <t>Olaszország</t>
  </si>
  <si>
    <t>Portugália</t>
  </si>
  <si>
    <t>Spanyolország</t>
  </si>
  <si>
    <t>Svédország</t>
  </si>
  <si>
    <t>Ciprus</t>
  </si>
  <si>
    <t>Csehország</t>
  </si>
  <si>
    <t>Észtország</t>
  </si>
  <si>
    <t>Lengyelország</t>
  </si>
  <si>
    <t>Lettország</t>
  </si>
  <si>
    <t>Litvánia</t>
  </si>
  <si>
    <t>Magyarország</t>
  </si>
  <si>
    <t>Málta</t>
  </si>
  <si>
    <t>Szlovákia</t>
  </si>
  <si>
    <t>Szlovénia</t>
  </si>
  <si>
    <t>Bulgária</t>
  </si>
  <si>
    <t>Románia</t>
  </si>
  <si>
    <t>Horvátország</t>
  </si>
  <si>
    <t>Bécs</t>
  </si>
  <si>
    <t>Brüsszel</t>
  </si>
  <si>
    <t>Szófia</t>
  </si>
  <si>
    <t>Nicosia</t>
  </si>
  <si>
    <t>Prága</t>
  </si>
  <si>
    <t>Koppenhága</t>
  </si>
  <si>
    <t>Tallinn</t>
  </si>
  <si>
    <t>Helsinki</t>
  </si>
  <si>
    <t>Párizs</t>
  </si>
  <si>
    <t>Amszterdam</t>
  </si>
  <si>
    <t>Zágráb</t>
  </si>
  <si>
    <t>Dublin</t>
  </si>
  <si>
    <t>Varsó</t>
  </si>
  <si>
    <t>Riga</t>
  </si>
  <si>
    <t>Vilnius</t>
  </si>
  <si>
    <t>Luxembourg</t>
  </si>
  <si>
    <t>Budapest</t>
  </si>
  <si>
    <t>Berlin</t>
  </si>
  <si>
    <t>Róma</t>
  </si>
  <si>
    <t>Lisszabon</t>
  </si>
  <si>
    <t>Bukarest</t>
  </si>
  <si>
    <t>Madrid</t>
  </si>
  <si>
    <t>Stockholm</t>
  </si>
  <si>
    <t>Pozsony</t>
  </si>
  <si>
    <t>Ljubljana</t>
  </si>
  <si>
    <t>Valletta</t>
  </si>
  <si>
    <t>Népesség
millió fő</t>
  </si>
  <si>
    <t>GDP
mrd €</t>
  </si>
  <si>
    <t>Sz.v.ét.
év</t>
  </si>
  <si>
    <t>GDP
egy főre (€)</t>
  </si>
  <si>
    <t>alapító</t>
  </si>
  <si>
    <t>Főv. nép.
ezer fő</t>
  </si>
  <si>
    <t>Belépés az EU-ba</t>
  </si>
  <si>
    <r>
      <t>Terület
ezer km</t>
    </r>
    <r>
      <rPr>
        <b/>
        <vertAlign val="superscript"/>
        <sz val="14"/>
        <rFont val="Arial"/>
        <family val="2"/>
        <charset val="238"/>
      </rPr>
      <t>2</t>
    </r>
  </si>
  <si>
    <r>
      <t>Népsűrűség
fő/km</t>
    </r>
    <r>
      <rPr>
        <b/>
        <vertAlign val="superscript"/>
        <sz val="14"/>
        <rFont val="Arial"/>
        <family val="2"/>
        <charset val="238"/>
      </rPr>
      <t>2</t>
    </r>
  </si>
  <si>
    <t>4.számú gyakorlati munka: Nagy adathalmaz kezelése</t>
  </si>
  <si>
    <t>1 pont</t>
  </si>
  <si>
    <t>3. Formázza az A1:J28 tartományt táblázatként! Állítson be Összegsort, a C:H és J oszlopokban jelenítse meg az átlagértékeket!</t>
  </si>
  <si>
    <t>1,5 pont</t>
  </si>
  <si>
    <t>3 pont</t>
  </si>
  <si>
    <t xml:space="preserve">tőke 
(év elején) </t>
  </si>
  <si>
    <t>kamatláb</t>
  </si>
  <si>
    <t>kamat</t>
  </si>
  <si>
    <t>tőke 
(év végén)</t>
  </si>
  <si>
    <t>1. év</t>
  </si>
  <si>
    <t>2. év</t>
  </si>
  <si>
    <t>3. év</t>
  </si>
  <si>
    <t>4. év</t>
  </si>
  <si>
    <t>5. év</t>
  </si>
  <si>
    <t>6. év</t>
  </si>
  <si>
    <t>7. év</t>
  </si>
  <si>
    <t>8. év</t>
  </si>
  <si>
    <t>9. év</t>
  </si>
  <si>
    <t>10. év</t>
  </si>
  <si>
    <t>1.feladat: kamatos kamat</t>
  </si>
  <si>
    <t>Kölcsön (Ft)</t>
  </si>
  <si>
    <t>Éves kamat</t>
  </si>
  <si>
    <t>Futamidő (év)</t>
  </si>
  <si>
    <t>Éves részlet (Ft)</t>
  </si>
  <si>
    <t>Teljes  visszafizetés (Ft)</t>
  </si>
  <si>
    <t>Havi részlet (Ft)</t>
  </si>
  <si>
    <t>2.feladat: Lakáshitel</t>
  </si>
  <si>
    <t>Havi befizetés (Ft)</t>
  </si>
  <si>
    <t>Jövőbeni érték (Ft)</t>
  </si>
  <si>
    <t>Összes befizetés (Ft)</t>
  </si>
  <si>
    <t>3.feladat: Előtakarékosság</t>
  </si>
  <si>
    <t>Különbség</t>
  </si>
  <si>
    <t>A felnőtté válásig hátralévő 12 évünkben szüleink havi 25 000 Ft-ot tudnak félretenni számunkra bankszámlára. Mennyi pénzünk lesz, amikor elérjük felnőttkorunkat, ha a pénzt olyan befektetésbe helyezik, amely 6%-os éves hozamot fizet? Mennyi nyereség származik a kapott összeg és a befizettett összeg különbségéből?</t>
  </si>
  <si>
    <t>Kamatláb (éves)</t>
  </si>
  <si>
    <t>Teljes befizetés (Ft)</t>
  </si>
  <si>
    <t>4.feladat: Áruhitel</t>
  </si>
  <si>
    <t>Egy új laptop ára 475 000 Ft. Az eladó felajánlja, hogy a elvihetjük önrész nélkül, 3 éves, havi 14500 Ft-os törlesztőrészlettel. Vajon ez hány százalékos éves kamatot jelent? Mennyi veszteségünk származik a befizetett összeg és a kölcsön különbségéből?</t>
  </si>
  <si>
    <t>Egy bank tízéves, sávos kamatozású betétet hirdet: a betett összeg után az első évben 1% kamatot fizet, majd onnan kezdve minden évben 0,25%-kal többet, mint az előző évben. A kamatot minden év végén hozzáírják a betéthez, így azt követően már a kamat is kamatozik. Mennyi pénzünk lesz öt év múlva, ha 3 000 000 Ft-ot kötöttünk le?</t>
  </si>
  <si>
    <t>Vajon mennyi törlesztőrészletet kell fizetnünk éves és havi bontásban, ha lakásvásárláshoz 40 millió Ft hitelt vettünk fel 25 évre, fix 3%-os éves kamattal? Mennyi lesz a visszafizetés teljes összege éves és havi részletfizetéssel?</t>
  </si>
  <si>
    <t>EU-forrás</t>
  </si>
  <si>
    <t>Pénzügyi forrás</t>
  </si>
  <si>
    <t>1. Nyissa meg az EU_forrás munkalapot! Rögzítse az adattábla első sorát és oszlopát!</t>
  </si>
  <si>
    <t>Munkalap:</t>
  </si>
  <si>
    <t>Összeg</t>
  </si>
  <si>
    <t>0,5 pont</t>
  </si>
  <si>
    <t>2. Rendezze az A2:J28 tartományt először az EU-ba való belépés éve szerinti csökkenő, másodszor a lakosságuk szerinti növekvő sorrendbe!</t>
  </si>
  <si>
    <t>4. Az alapító, a 2000 előtt és után belépő országok sorait foglalja csoportokba! A csoportok tartalmának megnyitásához készítsen új sorokat "ALAPÍTÓK, 20.század, 21.század" szövegekkel! A feladat megoldása után a csoportokat hagyja megnyitott állapotban!!!</t>
  </si>
  <si>
    <t>8. Nyissa meg a Pénzügyi_forrás munkalapot! Válasszon kettő feladatot a négy közül és végezze el a megadott instrukciók alapján! A részleges megoldásért is járnak pontok!</t>
  </si>
  <si>
    <t>7. Feltételes formázás segítségével jelölje ki DŐLT BETŰKKEL ÉS PIROS KERETSZÍNNEL a legkisebb egy főre jutó GDP-vel, születéskor várható élettartammal és népességgel rendelkező országok összes adatát!</t>
  </si>
  <si>
    <t>6. Feltételes formázás segítségével jelölje ki SÁRGA cellakitöltéssel a két legnagyobb népességű főváros nevét!</t>
  </si>
  <si>
    <t xml:space="preserve">5. Irányított szűrő segítségével jelenítse meg az A35 cellától kezdve azokat az országokat, melyeknek egy főre GDP-je nagyobb mint 40000 euró és a szvét nagyobb, mint 82, ezenkívül  a 10 milliónál kevesebb lakosú országok 78-nál kisebb szvét értékeit! A szűrőtartományt az L1:N3 tartományban alakítsa ki! </t>
  </si>
  <si>
    <t>21. század</t>
  </si>
  <si>
    <t>20. század</t>
  </si>
  <si>
    <t>Alapítók</t>
  </si>
  <si>
    <t>&gt;40000</t>
  </si>
  <si>
    <t>&gt;82</t>
  </si>
  <si>
    <t>&lt;78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</si>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</sst>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Ft&quot;;[Red]\-#,##0\ &quot;Ft&quot;"/>
    <numFmt numFmtId="164" formatCode="_-* #,##0.00\ _F_t_-;\-* #,##0.00\ _F_t_-;_-* &quot;-&quot;??\ _F_t_-;_-@_-"/>
    <numFmt numFmtId="165" formatCode="0.0"/>
    <numFmt numFmtId="166" formatCode="0.000"/>
    <numFmt numFmtId="167" formatCode="#,##0_ ;[Red]\-#,##0\ "/>
    <numFmt numFmtId="168" formatCode="_-* #,##0_-;\-* #,##0_-;_-* &quot;-&quot;??_-;_-@_-"/>
  </numFmts>
  <fonts count="18" x14ac:knownFonts="1">
    <font>
      <sz val="10"/>
      <name val="Arial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b/>
      <sz val="14"/>
      <name val="Arial"/>
      <family val="2"/>
      <charset val="238"/>
    </font>
    <font>
      <b/>
      <vertAlign val="superscript"/>
      <sz val="14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i/>
      <sz val="12"/>
      <name val="Arial"/>
      <family val="2"/>
      <charset val="238"/>
    </font>
    <font>
      <b/>
      <sz val="14"/>
      <color theme="1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theme="1"/>
      <name val="Arial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>
      <alignment horizontal="right"/>
    </xf>
    <xf numFmtId="2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2" fontId="2" fillId="0" borderId="1" xfId="0" applyNumberFormat="1" applyFon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10" fontId="9" fillId="5" borderId="1" xfId="0" applyNumberFormat="1" applyFont="1" applyFill="1" applyBorder="1" applyAlignment="1">
      <alignment horizontal="center" vertical="center"/>
    </xf>
    <xf numFmtId="6" fontId="9" fillId="5" borderId="1" xfId="0" applyNumberFormat="1" applyFont="1" applyFill="1" applyBorder="1" applyAlignment="1">
      <alignment horizontal="center" vertical="center"/>
    </xf>
    <xf numFmtId="0" fontId="0" fillId="4" borderId="16" xfId="0" applyFill="1" applyBorder="1" applyAlignment="1">
      <alignment vertical="center"/>
    </xf>
    <xf numFmtId="0" fontId="0" fillId="4" borderId="17" xfId="0" applyFill="1" applyBorder="1" applyAlignment="1">
      <alignment vertical="center"/>
    </xf>
    <xf numFmtId="0" fontId="6" fillId="4" borderId="0" xfId="0" applyFont="1" applyFill="1" applyAlignment="1">
      <alignment horizontal="right" vertical="center" wrapText="1"/>
    </xf>
    <xf numFmtId="0" fontId="6" fillId="4" borderId="19" xfId="0" applyFont="1" applyFill="1" applyBorder="1" applyAlignment="1">
      <alignment horizontal="right" vertical="center" wrapText="1"/>
    </xf>
    <xf numFmtId="0" fontId="0" fillId="4" borderId="0" xfId="0" applyFill="1" applyAlignment="1">
      <alignment vertical="center"/>
    </xf>
    <xf numFmtId="0" fontId="0" fillId="4" borderId="19" xfId="0" applyFill="1" applyBorder="1" applyAlignment="1">
      <alignment vertical="center"/>
    </xf>
    <xf numFmtId="0" fontId="0" fillId="4" borderId="18" xfId="0" applyFill="1" applyBorder="1" applyAlignment="1">
      <alignment vertical="center"/>
    </xf>
    <xf numFmtId="49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vertical="center"/>
    </xf>
    <xf numFmtId="167" fontId="11" fillId="6" borderId="7" xfId="0" applyNumberFormat="1" applyFont="1" applyFill="1" applyBorder="1" applyAlignment="1">
      <alignment horizontal="right"/>
    </xf>
    <xf numFmtId="167" fontId="10" fillId="6" borderId="12" xfId="0" applyNumberFormat="1" applyFont="1" applyFill="1" applyBorder="1" applyAlignment="1">
      <alignment horizontal="right"/>
    </xf>
    <xf numFmtId="167" fontId="10" fillId="6" borderId="10" xfId="0" applyNumberFormat="1" applyFont="1" applyFill="1" applyBorder="1" applyAlignment="1">
      <alignment horizontal="right"/>
    </xf>
    <xf numFmtId="167" fontId="10" fillId="6" borderId="29" xfId="0" applyNumberFormat="1" applyFont="1" applyFill="1" applyBorder="1" applyAlignment="1">
      <alignment horizontal="right"/>
    </xf>
    <xf numFmtId="0" fontId="0" fillId="6" borderId="30" xfId="0" applyFill="1" applyBorder="1"/>
    <xf numFmtId="0" fontId="0" fillId="6" borderId="31" xfId="0" applyFill="1" applyBorder="1"/>
    <xf numFmtId="0" fontId="0" fillId="6" borderId="20" xfId="0" applyFill="1" applyBorder="1"/>
    <xf numFmtId="0" fontId="0" fillId="6" borderId="22" xfId="0" applyFill="1" applyBorder="1"/>
    <xf numFmtId="0" fontId="12" fillId="10" borderId="0" xfId="0" applyFont="1" applyFill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left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9" fillId="4" borderId="39" xfId="0" applyFont="1" applyFill="1" applyBorder="1" applyAlignment="1">
      <alignment horizontal="center" vertical="center" wrapText="1"/>
    </xf>
    <xf numFmtId="167" fontId="10" fillId="8" borderId="33" xfId="0" applyNumberFormat="1" applyFont="1" applyFill="1" applyBorder="1" applyAlignment="1">
      <alignment horizontal="right"/>
    </xf>
    <xf numFmtId="167" fontId="10" fillId="8" borderId="3" xfId="0" applyNumberFormat="1" applyFont="1" applyFill="1" applyBorder="1" applyAlignment="1">
      <alignment horizontal="right"/>
    </xf>
    <xf numFmtId="167" fontId="11" fillId="8" borderId="3" xfId="0" applyNumberFormat="1" applyFont="1" applyFill="1" applyBorder="1" applyAlignment="1">
      <alignment horizontal="right"/>
    </xf>
    <xf numFmtId="167" fontId="10" fillId="8" borderId="34" xfId="0" applyNumberFormat="1" applyFont="1" applyFill="1" applyBorder="1" applyAlignment="1">
      <alignment horizontal="right"/>
    </xf>
    <xf numFmtId="167" fontId="10" fillId="7" borderId="1" xfId="0" applyNumberFormat="1" applyFont="1" applyFill="1" applyBorder="1"/>
    <xf numFmtId="10" fontId="10" fillId="7" borderId="1" xfId="3" applyNumberFormat="1" applyFont="1" applyFill="1" applyBorder="1"/>
    <xf numFmtId="167" fontId="11" fillId="7" borderId="1" xfId="0" applyNumberFormat="1" applyFont="1" applyFill="1" applyBorder="1"/>
    <xf numFmtId="167" fontId="12" fillId="7" borderId="1" xfId="0" applyNumberFormat="1" applyFont="1" applyFill="1" applyBorder="1" applyAlignment="1">
      <alignment horizontal="right"/>
    </xf>
    <xf numFmtId="9" fontId="10" fillId="9" borderId="1" xfId="3" applyFont="1" applyFill="1" applyBorder="1"/>
    <xf numFmtId="167" fontId="10" fillId="9" borderId="1" xfId="0" applyNumberFormat="1" applyFont="1" applyFill="1" applyBorder="1"/>
    <xf numFmtId="167" fontId="11" fillId="9" borderId="1" xfId="0" applyNumberFormat="1" applyFont="1" applyFill="1" applyBorder="1"/>
    <xf numFmtId="167" fontId="10" fillId="9" borderId="1" xfId="0" applyNumberFormat="1" applyFont="1" applyFill="1" applyBorder="1" applyAlignment="1">
      <alignment horizontal="right"/>
    </xf>
    <xf numFmtId="168" fontId="10" fillId="11" borderId="1" xfId="2" applyNumberFormat="1" applyFont="1" applyFill="1" applyBorder="1"/>
    <xf numFmtId="167" fontId="10" fillId="11" borderId="1" xfId="0" applyNumberFormat="1" applyFont="1" applyFill="1" applyBorder="1"/>
    <xf numFmtId="10" fontId="10" fillId="11" borderId="1" xfId="3" applyNumberFormat="1" applyFont="1" applyFill="1" applyBorder="1"/>
    <xf numFmtId="0" fontId="10" fillId="10" borderId="40" xfId="0" applyFont="1" applyFill="1" applyBorder="1" applyAlignment="1">
      <alignment horizontal="right"/>
    </xf>
    <xf numFmtId="167" fontId="10" fillId="10" borderId="2" xfId="0" applyNumberFormat="1" applyFont="1" applyFill="1" applyBorder="1" applyAlignment="1">
      <alignment horizontal="right"/>
    </xf>
    <xf numFmtId="167" fontId="10" fillId="10" borderId="41" xfId="0" applyNumberFormat="1" applyFont="1" applyFill="1" applyBorder="1" applyAlignment="1">
      <alignment horizontal="right"/>
    </xf>
    <xf numFmtId="168" fontId="2" fillId="11" borderId="1" xfId="0" applyNumberFormat="1" applyFont="1" applyFill="1" applyBorder="1"/>
    <xf numFmtId="0" fontId="8" fillId="0" borderId="4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4" fillId="13" borderId="6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166" fontId="2" fillId="2" borderId="46" xfId="0" applyNumberFormat="1" applyFont="1" applyFill="1" applyBorder="1" applyAlignment="1">
      <alignment horizontal="center" vertical="center"/>
    </xf>
    <xf numFmtId="0" fontId="3" fillId="12" borderId="47" xfId="0" applyFont="1" applyFill="1" applyBorder="1" applyAlignment="1">
      <alignment horizontal="center" vertical="center" wrapText="1"/>
    </xf>
    <xf numFmtId="1" fontId="3" fillId="12" borderId="48" xfId="0" applyNumberFormat="1" applyFont="1" applyFill="1" applyBorder="1" applyAlignment="1">
      <alignment horizontal="center" vertical="center" wrapText="1"/>
    </xf>
    <xf numFmtId="2" fontId="3" fillId="12" borderId="48" xfId="0" applyNumberFormat="1" applyFont="1" applyFill="1" applyBorder="1" applyAlignment="1">
      <alignment horizontal="center" vertical="center" wrapText="1"/>
    </xf>
    <xf numFmtId="165" fontId="3" fillId="12" borderId="48" xfId="0" applyNumberFormat="1" applyFont="1" applyFill="1" applyBorder="1" applyAlignment="1">
      <alignment horizontal="center" vertical="center" wrapText="1"/>
    </xf>
    <xf numFmtId="2" fontId="3" fillId="12" borderId="49" xfId="0" applyNumberFormat="1" applyFont="1" applyFill="1" applyBorder="1" applyAlignment="1">
      <alignment horizontal="center" vertical="center" wrapText="1"/>
    </xf>
    <xf numFmtId="0" fontId="3" fillId="12" borderId="44" xfId="0" applyFont="1" applyFill="1" applyBorder="1" applyAlignment="1">
      <alignment horizontal="left" vertical="center"/>
    </xf>
    <xf numFmtId="1" fontId="2" fillId="2" borderId="45" xfId="0" applyNumberFormat="1" applyFont="1" applyFill="1" applyBorder="1" applyAlignment="1">
      <alignment horizontal="center" vertical="center"/>
    </xf>
    <xf numFmtId="2" fontId="2" fillId="2" borderId="45" xfId="0" applyNumberFormat="1" applyFont="1" applyFill="1" applyBorder="1" applyAlignment="1">
      <alignment horizontal="center" vertical="center"/>
    </xf>
    <xf numFmtId="165" fontId="2" fillId="2" borderId="45" xfId="0" applyNumberFormat="1" applyFont="1" applyFill="1" applyBorder="1" applyAlignment="1">
      <alignment horizontal="center" vertical="center"/>
    </xf>
    <xf numFmtId="2" fontId="2" fillId="2" borderId="45" xfId="0" applyNumberFormat="1" applyFont="1" applyFill="1" applyBorder="1" applyAlignment="1">
      <alignment horizontal="left" vertical="center"/>
    </xf>
    <xf numFmtId="166" fontId="2" fillId="2" borderId="42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left" vertical="center"/>
    </xf>
    <xf numFmtId="2" fontId="15" fillId="12" borderId="1" xfId="0" applyNumberFormat="1" applyFont="1" applyFill="1" applyBorder="1" applyAlignment="1">
      <alignment horizontal="center" vertical="center" wrapText="1"/>
    </xf>
    <xf numFmtId="0" fontId="16" fillId="12" borderId="3" xfId="0" applyFont="1" applyFill="1" applyBorder="1" applyAlignment="1">
      <alignment horizontal="left" vertical="center"/>
    </xf>
    <xf numFmtId="0" fontId="13" fillId="10" borderId="21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1" fillId="10" borderId="15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left" vertical="center" wrapText="1"/>
    </xf>
    <xf numFmtId="0" fontId="9" fillId="4" borderId="16" xfId="0" applyFont="1" applyFill="1" applyBorder="1" applyAlignment="1">
      <alignment horizontal="left" vertical="center" wrapText="1"/>
    </xf>
    <xf numFmtId="0" fontId="9" fillId="4" borderId="17" xfId="0" applyFont="1" applyFill="1" applyBorder="1" applyAlignment="1">
      <alignment horizontal="left" vertical="center"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left" vertical="center" wrapText="1"/>
    </xf>
    <xf numFmtId="0" fontId="9" fillId="4" borderId="21" xfId="0" applyFont="1" applyFill="1" applyBorder="1" applyAlignment="1">
      <alignment horizontal="left" vertical="center" wrapText="1"/>
    </xf>
    <xf numFmtId="0" fontId="9" fillId="4" borderId="22" xfId="0" applyFont="1" applyFill="1" applyBorder="1" applyAlignment="1">
      <alignment horizontal="left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left" vertical="center" wrapText="1"/>
    </xf>
    <xf numFmtId="0" fontId="11" fillId="6" borderId="32" xfId="0" applyFont="1" applyFill="1" applyBorder="1" applyAlignment="1">
      <alignment horizontal="left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3" fillId="6" borderId="27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left" vertical="center" wrapText="1"/>
    </xf>
    <xf numFmtId="0" fontId="9" fillId="8" borderId="19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left" vertical="center" wrapText="1"/>
    </xf>
    <xf numFmtId="0" fontId="9" fillId="8" borderId="20" xfId="0" applyFont="1" applyFill="1" applyBorder="1" applyAlignment="1">
      <alignment horizontal="left" vertical="center" wrapText="1"/>
    </xf>
    <xf numFmtId="0" fontId="9" fillId="8" borderId="22" xfId="0" applyFont="1" applyFill="1" applyBorder="1" applyAlignment="1">
      <alignment horizontal="left" vertical="center" wrapText="1"/>
    </xf>
    <xf numFmtId="0" fontId="14" fillId="13" borderId="9" xfId="0" applyFont="1" applyFill="1" applyBorder="1" applyAlignment="1">
      <alignment horizontal="center" vertical="center"/>
    </xf>
    <xf numFmtId="0" fontId="14" fillId="13" borderId="11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left" vertical="center" wrapText="1"/>
    </xf>
    <xf numFmtId="0" fontId="7" fillId="3" borderId="24" xfId="0" applyFont="1" applyFill="1" applyBorder="1" applyAlignment="1">
      <alignment horizontal="left" vertical="center" wrapText="1"/>
    </xf>
    <xf numFmtId="0" fontId="7" fillId="3" borderId="35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36" xfId="0" applyFont="1" applyFill="1" applyBorder="1" applyAlignment="1">
      <alignment horizontal="left" vertical="center" wrapText="1"/>
    </xf>
    <xf numFmtId="0" fontId="7" fillId="3" borderId="41" xfId="0" applyFont="1" applyFill="1" applyBorder="1" applyAlignment="1">
      <alignment horizontal="left" vertical="center" wrapText="1"/>
    </xf>
    <xf numFmtId="0" fontId="7" fillId="3" borderId="34" xfId="0" applyFont="1" applyFill="1" applyBorder="1" applyAlignment="1">
      <alignment horizontal="lef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left"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165" fontId="17" fillId="2" borderId="1" xfId="0" applyNumberFormat="1" applyFont="1" applyFill="1" applyBorder="1" applyAlignment="1">
      <alignment horizontal="center" vertical="center"/>
    </xf>
    <xf numFmtId="2" fontId="17" fillId="2" borderId="1" xfId="0" applyNumberFormat="1" applyFont="1" applyFill="1" applyBorder="1" applyAlignment="1">
      <alignment horizontal="center" vertical="center"/>
    </xf>
  </cellXfs>
  <cellStyles count="4">
    <cellStyle name="Ezres" xfId="2" builtinId="3"/>
    <cellStyle name="Normál" xfId="0" builtinId="0"/>
    <cellStyle name="Normál 2" xfId="1" xr:uid="{00000000-0005-0000-0000-000001000000}"/>
    <cellStyle name="Százalék" xfId="3" builtinId="5"/>
  </cellStyles>
  <dxfs count="30">
    <dxf>
      <font>
        <b val="0"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6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5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5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ill>
        <patternFill>
          <bgColor rgb="FFFFFF00"/>
        </patternFill>
      </fill>
    </dxf>
    <dxf>
      <font>
        <b val="0"/>
        <i/>
        <color auto="1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6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5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65" formatCode="0.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charset val="238"/>
        <scheme val="none"/>
      </font>
      <numFmt numFmtId="2" formatCode="0.00"/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9" defaultPivotStyle="PivotStyleLight16">
    <tableStyle name="Táblázatstílus 1" pivot="0" count="0" xr9:uid="{73A9A68F-5C00-44AD-8251-A59A7D8727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5A4D3-D0C1-4A55-A7BD-C64FE3FF5AFF}" name="Táblázat1" displayName="Táblázat1" ref="A1:J32" totalsRowCount="1" headerRowDxfId="29" dataDxfId="27" headerRowBorderDxfId="28" tableBorderDxfId="26" totalsRowBorderDxfId="25">
  <sortState xmlns:xlrd2="http://schemas.microsoft.com/office/spreadsheetml/2017/richdata2" ref="A2:J31">
    <sortCondition descending="1" ref="B3:B31"/>
    <sortCondition ref="D3:D31"/>
  </sortState>
  <tableColumns count="10">
    <tableColumn id="1" xr3:uid="{87BBECE5-C48B-418E-BC59-174DADA92773}" name="Ország" totalsRowLabel="Összeg" dataDxfId="24" totalsRowDxfId="12"/>
    <tableColumn id="2" xr3:uid="{66998CFD-68EC-4364-91B2-AE12AF62DAD9}" name="Belépés az EU-ba" dataDxfId="23" totalsRowDxfId="11"/>
    <tableColumn id="3" xr3:uid="{49C84832-C0FD-4E3F-A0AF-9E5F08D90BBC}" name="Terület_x000a_ezer km2" totalsRowFunction="average" dataDxfId="22" totalsRowDxfId="10"/>
    <tableColumn id="4" xr3:uid="{99702D34-1FC6-40CC-93DA-57E28ECE2B85}" name="Népesség_x000a_millió fő" totalsRowFunction="average" dataDxfId="21" totalsRowDxfId="9"/>
    <tableColumn id="5" xr3:uid="{BEBDB93D-63F4-4A4F-AF56-6FD3F08B5586}" name="Népsűrűség_x000a_fő/km2" totalsRowFunction="average" dataDxfId="20" totalsRowDxfId="8">
      <calculatedColumnFormula>D2/C2*1000</calculatedColumnFormula>
    </tableColumn>
    <tableColumn id="6" xr3:uid="{71D7C80C-4083-4277-86B4-A9AA563DB209}" name="GDP_x000a_mrd €" totalsRowFunction="average" dataDxfId="19" totalsRowDxfId="7"/>
    <tableColumn id="7" xr3:uid="{0FF873E1-F9C4-44F0-87B6-52C14D7975FC}" name="GDP_x000a_egy főre (€)" totalsRowFunction="average" dataDxfId="18" totalsRowDxfId="6">
      <calculatedColumnFormula>F2/D2*1000</calculatedColumnFormula>
    </tableColumn>
    <tableColumn id="8" xr3:uid="{8A15E1FB-27C8-4E61-A28F-6AC6C4CFAA56}" name="Sz.v.ét._x000a_év" totalsRowFunction="average" dataDxfId="17" totalsRowDxfId="5"/>
    <tableColumn id="9" xr3:uid="{C8CBC470-A03F-4198-A38F-EF54CF43261D}" name="Főváros" dataDxfId="16" totalsRowDxfId="4"/>
    <tableColumn id="10" xr3:uid="{AF24023E-36E2-4D11-B11E-D4D12F8800BA}" name="Főv. nép._x000a_ezer fő" totalsRowFunction="average" dataDxfId="15" totalsRow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04DBE-FA9E-4174-8C4D-49A46359B46C}">
  <dimension ref="A1:O9"/>
  <sheetViews>
    <sheetView topLeftCell="A4" zoomScale="126" zoomScaleNormal="126" workbookViewId="0">
      <selection activeCell="N6" sqref="N6"/>
    </sheetView>
  </sheetViews>
  <sheetFormatPr defaultRowHeight="13.2" x14ac:dyDescent="0.25"/>
  <cols>
    <col min="15" max="15" width="17.77734375" customWidth="1"/>
  </cols>
  <sheetData>
    <row r="1" spans="1:15" ht="26.4" customHeight="1" thickBot="1" x14ac:dyDescent="0.3">
      <c r="A1" s="135" t="s">
        <v>64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7"/>
      <c r="N1" s="68"/>
      <c r="O1" s="72" t="s">
        <v>106</v>
      </c>
    </row>
    <row r="2" spans="1:15" ht="54" customHeight="1" x14ac:dyDescent="0.25">
      <c r="A2" s="138" t="s">
        <v>105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40"/>
      <c r="N2" s="70" t="s">
        <v>108</v>
      </c>
      <c r="O2" s="123" t="s">
        <v>103</v>
      </c>
    </row>
    <row r="3" spans="1:15" ht="54" customHeight="1" x14ac:dyDescent="0.25">
      <c r="A3" s="129" t="s">
        <v>109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1"/>
      <c r="N3" s="17" t="s">
        <v>108</v>
      </c>
      <c r="O3" s="124"/>
    </row>
    <row r="4" spans="1:15" ht="54" customHeight="1" x14ac:dyDescent="0.25">
      <c r="A4" s="129" t="s">
        <v>66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1"/>
      <c r="N4" s="17" t="s">
        <v>108</v>
      </c>
      <c r="O4" s="124"/>
    </row>
    <row r="5" spans="1:15" ht="54" customHeight="1" x14ac:dyDescent="0.25">
      <c r="A5" s="129" t="s">
        <v>110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1"/>
      <c r="N5" s="17" t="s">
        <v>65</v>
      </c>
      <c r="O5" s="124"/>
    </row>
    <row r="6" spans="1:15" ht="54" customHeight="1" x14ac:dyDescent="0.25">
      <c r="A6" s="129" t="s">
        <v>114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1"/>
      <c r="N6" s="17" t="s">
        <v>67</v>
      </c>
      <c r="O6" s="124"/>
    </row>
    <row r="7" spans="1:15" ht="54" customHeight="1" x14ac:dyDescent="0.25">
      <c r="A7" s="129" t="s">
        <v>113</v>
      </c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1"/>
      <c r="N7" s="17" t="s">
        <v>67</v>
      </c>
      <c r="O7" s="124"/>
    </row>
    <row r="8" spans="1:15" ht="31.8" customHeight="1" thickBot="1" x14ac:dyDescent="0.3">
      <c r="A8" s="132" t="s">
        <v>112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4"/>
      <c r="N8" s="71" t="s">
        <v>67</v>
      </c>
      <c r="O8" s="125"/>
    </row>
    <row r="9" spans="1:15" ht="31.2" customHeight="1" thickBot="1" x14ac:dyDescent="0.3">
      <c r="A9" s="126" t="s">
        <v>111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8"/>
      <c r="N9" s="69" t="s">
        <v>68</v>
      </c>
      <c r="O9" s="73" t="s">
        <v>104</v>
      </c>
    </row>
  </sheetData>
  <mergeCells count="10">
    <mergeCell ref="O2:O8"/>
    <mergeCell ref="A9:M9"/>
    <mergeCell ref="A7:M7"/>
    <mergeCell ref="A8:M8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zoomScale="86" zoomScaleNormal="86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B45" sqref="B45"/>
    </sheetView>
  </sheetViews>
  <sheetFormatPr defaultColWidth="9.109375" defaultRowHeight="13.2" outlineLevelRow="1" x14ac:dyDescent="0.25"/>
  <cols>
    <col min="1" max="1" width="22.6640625" customWidth="1"/>
    <col min="2" max="2" width="24.44140625" style="6" customWidth="1"/>
    <col min="3" max="4" width="15" style="3" customWidth="1"/>
    <col min="5" max="5" width="16.109375" style="3" customWidth="1"/>
    <col min="6" max="7" width="15" style="3" customWidth="1"/>
    <col min="8" max="8" width="15" style="5" customWidth="1"/>
    <col min="9" max="9" width="19.5546875" style="3" customWidth="1"/>
    <col min="10" max="10" width="16.5546875" style="3" customWidth="1"/>
    <col min="11" max="11" width="6.109375" style="4" customWidth="1"/>
    <col min="12" max="12" width="38.109375" bestFit="1" customWidth="1"/>
    <col min="13" max="13" width="20.88671875" customWidth="1"/>
    <col min="14" max="14" width="14.33203125" bestFit="1" customWidth="1"/>
    <col min="15" max="15" width="15" customWidth="1"/>
  </cols>
  <sheetData>
    <row r="1" spans="1:16" s="1" customFormat="1" ht="67.8" customHeight="1" x14ac:dyDescent="0.25">
      <c r="A1" s="76" t="s">
        <v>0</v>
      </c>
      <c r="B1" s="77" t="s">
        <v>61</v>
      </c>
      <c r="C1" s="78" t="s">
        <v>62</v>
      </c>
      <c r="D1" s="78" t="s">
        <v>55</v>
      </c>
      <c r="E1" s="78" t="s">
        <v>63</v>
      </c>
      <c r="F1" s="78" t="s">
        <v>56</v>
      </c>
      <c r="G1" s="78" t="s">
        <v>58</v>
      </c>
      <c r="H1" s="79" t="s">
        <v>57</v>
      </c>
      <c r="I1" s="78" t="s">
        <v>1</v>
      </c>
      <c r="J1" s="80" t="s">
        <v>60</v>
      </c>
      <c r="K1" s="16"/>
      <c r="L1" s="89" t="s">
        <v>58</v>
      </c>
      <c r="M1" s="89" t="s">
        <v>57</v>
      </c>
      <c r="N1" s="89" t="s">
        <v>55</v>
      </c>
      <c r="O1" s="8"/>
      <c r="P1" s="8"/>
    </row>
    <row r="2" spans="1:16" s="1" customFormat="1" ht="24.6" customHeight="1" x14ac:dyDescent="0.25">
      <c r="A2" s="90" t="s">
        <v>117</v>
      </c>
      <c r="B2" s="39"/>
      <c r="C2" s="40"/>
      <c r="D2" s="40"/>
      <c r="E2" s="39"/>
      <c r="F2" s="41"/>
      <c r="G2" s="39"/>
      <c r="H2" s="41"/>
      <c r="I2" s="42"/>
      <c r="J2" s="75"/>
      <c r="K2" s="16"/>
      <c r="L2" s="141" t="s">
        <v>118</v>
      </c>
      <c r="M2" s="141" t="s">
        <v>119</v>
      </c>
      <c r="N2" s="142"/>
      <c r="O2" s="8"/>
      <c r="P2" s="8"/>
    </row>
    <row r="3" spans="1:16" ht="21.6" customHeight="1" outlineLevel="1" x14ac:dyDescent="0.25">
      <c r="A3" s="74" t="s">
        <v>10</v>
      </c>
      <c r="B3" s="39" t="s">
        <v>59</v>
      </c>
      <c r="C3" s="40">
        <v>2.5859999999999999</v>
      </c>
      <c r="D3" s="40">
        <v>0.60794999999999999</v>
      </c>
      <c r="E3" s="39">
        <f t="shared" ref="E3:E8" si="0">D3/C3*1000</f>
        <v>235.09280742459399</v>
      </c>
      <c r="F3" s="41">
        <v>60.053100000000001</v>
      </c>
      <c r="G3" s="39">
        <f t="shared" ref="G3:G8" si="1">F3/D3*1000</f>
        <v>98779.669380705658</v>
      </c>
      <c r="H3" s="41">
        <v>82.3</v>
      </c>
      <c r="I3" s="42" t="s">
        <v>44</v>
      </c>
      <c r="J3" s="75">
        <v>119.752</v>
      </c>
      <c r="K3" s="15"/>
      <c r="L3" s="141"/>
      <c r="M3" s="141" t="s">
        <v>120</v>
      </c>
      <c r="N3" s="141" t="s">
        <v>121</v>
      </c>
      <c r="O3" s="8"/>
      <c r="P3" s="8"/>
    </row>
    <row r="4" spans="1:16" ht="21.6" customHeight="1" outlineLevel="1" x14ac:dyDescent="0.25">
      <c r="A4" s="74" t="s">
        <v>3</v>
      </c>
      <c r="B4" s="39" t="s">
        <v>59</v>
      </c>
      <c r="C4" s="40">
        <v>30.527999999999999</v>
      </c>
      <c r="D4" s="40">
        <v>11.433256</v>
      </c>
      <c r="E4" s="39">
        <f t="shared" si="0"/>
        <v>374.51703354297695</v>
      </c>
      <c r="F4" s="41">
        <v>459.53159999999997</v>
      </c>
      <c r="G4" s="39">
        <f t="shared" si="1"/>
        <v>40192.540077822094</v>
      </c>
      <c r="H4" s="41">
        <v>81.7</v>
      </c>
      <c r="I4" s="42" t="s">
        <v>30</v>
      </c>
      <c r="J4" s="75">
        <v>2049.5100000000002</v>
      </c>
      <c r="K4" s="15"/>
      <c r="L4" s="11"/>
      <c r="M4" s="7"/>
      <c r="N4" s="12"/>
      <c r="P4" s="8"/>
    </row>
    <row r="5" spans="1:16" ht="21.6" customHeight="1" outlineLevel="1" x14ac:dyDescent="0.25">
      <c r="A5" s="74" t="s">
        <v>8</v>
      </c>
      <c r="B5" s="39" t="s">
        <v>59</v>
      </c>
      <c r="C5" s="40">
        <v>41.542999999999999</v>
      </c>
      <c r="D5" s="40">
        <v>17.231624</v>
      </c>
      <c r="E5" s="39">
        <f t="shared" si="0"/>
        <v>414.79007293647544</v>
      </c>
      <c r="F5" s="41">
        <v>773.98699999999997</v>
      </c>
      <c r="G5" s="39">
        <f t="shared" si="1"/>
        <v>44916.660205677654</v>
      </c>
      <c r="H5" s="41">
        <v>81.900000000000006</v>
      </c>
      <c r="I5" s="42" t="s">
        <v>38</v>
      </c>
      <c r="J5" s="75">
        <v>1131.69</v>
      </c>
      <c r="K5" s="15"/>
      <c r="L5" s="11"/>
      <c r="M5" s="9"/>
      <c r="N5" s="12"/>
      <c r="O5" s="8"/>
      <c r="P5" s="8"/>
    </row>
    <row r="6" spans="1:16" ht="21.6" customHeight="1" outlineLevel="1" x14ac:dyDescent="0.25">
      <c r="A6" s="74" t="s">
        <v>12</v>
      </c>
      <c r="B6" s="39" t="s">
        <v>59</v>
      </c>
      <c r="C6" s="40">
        <v>302.07299999999998</v>
      </c>
      <c r="D6" s="40">
        <v>60.421759999999999</v>
      </c>
      <c r="E6" s="39">
        <f t="shared" si="0"/>
        <v>200.02370287976748</v>
      </c>
      <c r="F6" s="41">
        <v>1766.1681999999998</v>
      </c>
      <c r="G6" s="39">
        <f t="shared" si="1"/>
        <v>29230.664581766567</v>
      </c>
      <c r="H6" s="41">
        <v>83.4</v>
      </c>
      <c r="I6" s="42" t="s">
        <v>47</v>
      </c>
      <c r="J6" s="75">
        <v>4209.71</v>
      </c>
      <c r="K6" s="15"/>
      <c r="L6" s="11"/>
      <c r="M6" s="9"/>
      <c r="N6" s="12"/>
      <c r="O6" s="8"/>
      <c r="P6" s="8"/>
    </row>
    <row r="7" spans="1:16" ht="21.6" customHeight="1" outlineLevel="1" x14ac:dyDescent="0.25">
      <c r="A7" s="74" t="s">
        <v>6</v>
      </c>
      <c r="B7" s="39" t="s">
        <v>59</v>
      </c>
      <c r="C7" s="40">
        <v>551.5</v>
      </c>
      <c r="D7" s="40">
        <v>66.977107000000004</v>
      </c>
      <c r="E7" s="39">
        <f t="shared" si="0"/>
        <v>121.44534360834089</v>
      </c>
      <c r="F7" s="41">
        <v>2360.6869999999999</v>
      </c>
      <c r="G7" s="39">
        <f t="shared" si="1"/>
        <v>35246.177473744872</v>
      </c>
      <c r="H7" s="41">
        <v>82.9</v>
      </c>
      <c r="I7" s="42" t="s">
        <v>37</v>
      </c>
      <c r="J7" s="75">
        <v>10900.951999999999</v>
      </c>
      <c r="K7" s="15"/>
      <c r="L7" s="11"/>
      <c r="M7" s="7"/>
      <c r="N7" s="12"/>
      <c r="O7" s="8"/>
      <c r="P7" s="8"/>
    </row>
    <row r="8" spans="1:16" ht="21.6" customHeight="1" outlineLevel="1" x14ac:dyDescent="0.25">
      <c r="A8" s="74" t="s">
        <v>11</v>
      </c>
      <c r="B8" s="39" t="s">
        <v>59</v>
      </c>
      <c r="C8" s="40">
        <v>357.57799999999997</v>
      </c>
      <c r="D8" s="40">
        <v>82.905782000000002</v>
      </c>
      <c r="E8" s="39">
        <f t="shared" si="0"/>
        <v>231.85369905307377</v>
      </c>
      <c r="F8" s="41">
        <v>3344.37</v>
      </c>
      <c r="G8" s="39">
        <f t="shared" si="1"/>
        <v>40339.406001863659</v>
      </c>
      <c r="H8" s="41">
        <v>81</v>
      </c>
      <c r="I8" s="42" t="s">
        <v>46</v>
      </c>
      <c r="J8" s="75">
        <v>3552.123</v>
      </c>
      <c r="K8" s="15"/>
      <c r="L8" s="11"/>
      <c r="M8" s="9"/>
      <c r="N8" s="9"/>
      <c r="O8" s="8"/>
      <c r="P8" s="8"/>
    </row>
    <row r="9" spans="1:16" ht="21.6" customHeight="1" x14ac:dyDescent="0.25">
      <c r="A9" s="90" t="s">
        <v>115</v>
      </c>
      <c r="B9" s="39"/>
      <c r="C9" s="40"/>
      <c r="D9" s="40"/>
      <c r="E9" s="39"/>
      <c r="F9" s="41"/>
      <c r="G9" s="39"/>
      <c r="H9" s="41"/>
      <c r="I9" s="42"/>
      <c r="J9" s="75"/>
      <c r="K9" s="15"/>
      <c r="L9" s="11"/>
      <c r="M9" s="9"/>
      <c r="N9" s="9"/>
      <c r="O9" s="8"/>
      <c r="P9" s="8"/>
    </row>
    <row r="10" spans="1:16" ht="21.6" customHeight="1" outlineLevel="1" x14ac:dyDescent="0.25">
      <c r="A10" s="74" t="s">
        <v>28</v>
      </c>
      <c r="B10" s="39">
        <v>2013</v>
      </c>
      <c r="C10" s="40">
        <v>56.594000000000001</v>
      </c>
      <c r="D10" s="40">
        <v>4.0908699999999998</v>
      </c>
      <c r="E10" s="39">
        <f t="shared" ref="E10:E22" si="2">D10/C10*1000</f>
        <v>72.284517793405655</v>
      </c>
      <c r="F10" s="41">
        <v>51.625099999999996</v>
      </c>
      <c r="G10" s="39">
        <f t="shared" ref="G10:G22" si="3">F10/D10*1000</f>
        <v>12619.589476077217</v>
      </c>
      <c r="H10" s="41">
        <v>78.2</v>
      </c>
      <c r="I10" s="42" t="s">
        <v>39</v>
      </c>
      <c r="J10" s="75">
        <v>685.58699999999999</v>
      </c>
      <c r="K10" s="15"/>
      <c r="L10" s="8"/>
      <c r="M10" s="8"/>
      <c r="N10" s="8"/>
      <c r="O10" s="8"/>
      <c r="P10" s="8"/>
    </row>
    <row r="11" spans="1:16" ht="21.6" customHeight="1" outlineLevel="1" x14ac:dyDescent="0.25">
      <c r="A11" s="74" t="s">
        <v>26</v>
      </c>
      <c r="B11" s="39">
        <v>2007</v>
      </c>
      <c r="C11" s="40">
        <v>110.372</v>
      </c>
      <c r="D11" s="40">
        <v>7.0250370000000002</v>
      </c>
      <c r="E11" s="39">
        <f t="shared" si="2"/>
        <v>63.648724314137652</v>
      </c>
      <c r="F11" s="41">
        <v>56.0869</v>
      </c>
      <c r="G11" s="39">
        <f t="shared" si="3"/>
        <v>7983.8583056573225</v>
      </c>
      <c r="H11" s="41">
        <v>75.2</v>
      </c>
      <c r="I11" s="42" t="s">
        <v>31</v>
      </c>
      <c r="J11" s="75">
        <v>1272</v>
      </c>
      <c r="K11" s="15"/>
      <c r="L11" s="11"/>
      <c r="M11" s="8"/>
      <c r="N11" s="8"/>
      <c r="O11" s="8"/>
      <c r="P11" s="8"/>
    </row>
    <row r="12" spans="1:16" ht="21.6" customHeight="1" outlineLevel="1" x14ac:dyDescent="0.25">
      <c r="A12" s="74" t="s">
        <v>27</v>
      </c>
      <c r="B12" s="39">
        <v>2007</v>
      </c>
      <c r="C12" s="40">
        <v>238.39099999999999</v>
      </c>
      <c r="D12" s="40">
        <v>19.466145000000001</v>
      </c>
      <c r="E12" s="39">
        <f t="shared" si="2"/>
        <v>81.656375450415496</v>
      </c>
      <c r="F12" s="41">
        <v>204.6405</v>
      </c>
      <c r="G12" s="39">
        <f t="shared" si="3"/>
        <v>10512.63616910282</v>
      </c>
      <c r="H12" s="41">
        <v>75.3</v>
      </c>
      <c r="I12" s="42" t="s">
        <v>49</v>
      </c>
      <c r="J12" s="75">
        <v>1821.38</v>
      </c>
      <c r="K12" s="15"/>
      <c r="L12" s="11"/>
      <c r="M12" s="9"/>
      <c r="N12" s="8"/>
      <c r="O12" s="8"/>
      <c r="P12" s="8"/>
    </row>
    <row r="13" spans="1:16" ht="21.6" customHeight="1" outlineLevel="1" x14ac:dyDescent="0.25">
      <c r="A13" s="74" t="s">
        <v>23</v>
      </c>
      <c r="B13" s="39">
        <v>2004</v>
      </c>
      <c r="C13" s="40">
        <v>0.315</v>
      </c>
      <c r="D13" s="40">
        <v>0.48463000000000001</v>
      </c>
      <c r="E13" s="39">
        <f t="shared" si="2"/>
        <v>1538.5079365079366</v>
      </c>
      <c r="F13" s="41">
        <v>12.402799999999999</v>
      </c>
      <c r="G13" s="39">
        <f t="shared" si="3"/>
        <v>25592.30753358232</v>
      </c>
      <c r="H13" s="41">
        <v>82.5</v>
      </c>
      <c r="I13" s="42" t="s">
        <v>54</v>
      </c>
      <c r="J13" s="75">
        <v>212.768</v>
      </c>
      <c r="K13" s="15"/>
      <c r="L13" s="11"/>
      <c r="M13" s="9"/>
      <c r="N13" s="8"/>
      <c r="O13" s="8"/>
      <c r="P13" s="8"/>
    </row>
    <row r="14" spans="1:16" ht="21.6" customHeight="1" outlineLevel="1" x14ac:dyDescent="0.25">
      <c r="A14" s="74" t="s">
        <v>16</v>
      </c>
      <c r="B14" s="39">
        <v>2004</v>
      </c>
      <c r="C14" s="40">
        <v>9.2509999999999994</v>
      </c>
      <c r="D14" s="40">
        <v>0.87006700000000003</v>
      </c>
      <c r="E14" s="39">
        <f t="shared" si="2"/>
        <v>94.051129607610008</v>
      </c>
      <c r="F14" s="41">
        <v>21.137799999999999</v>
      </c>
      <c r="G14" s="39">
        <f t="shared" si="3"/>
        <v>24294.450887115589</v>
      </c>
      <c r="H14" s="41">
        <v>82.9</v>
      </c>
      <c r="I14" s="42" t="s">
        <v>32</v>
      </c>
      <c r="J14" s="75">
        <v>269.46899999999999</v>
      </c>
      <c r="K14" s="15"/>
      <c r="L14" s="13"/>
      <c r="M14" s="10"/>
      <c r="N14" s="8"/>
      <c r="O14" s="8"/>
      <c r="P14" s="8"/>
    </row>
    <row r="15" spans="1:16" ht="21.6" customHeight="1" outlineLevel="1" x14ac:dyDescent="0.25">
      <c r="A15" s="74" t="s">
        <v>18</v>
      </c>
      <c r="B15" s="39">
        <v>2004</v>
      </c>
      <c r="C15" s="40">
        <v>45.226999999999997</v>
      </c>
      <c r="D15" s="40">
        <v>1.321977</v>
      </c>
      <c r="E15" s="39">
        <f t="shared" si="2"/>
        <v>29.229818471267166</v>
      </c>
      <c r="F15" s="41">
        <v>26.035900000000002</v>
      </c>
      <c r="G15" s="39">
        <f t="shared" si="3"/>
        <v>19694.669423144278</v>
      </c>
      <c r="H15" s="41">
        <v>78.5</v>
      </c>
      <c r="I15" s="42" t="s">
        <v>35</v>
      </c>
      <c r="J15" s="75">
        <v>437.02699999999999</v>
      </c>
      <c r="K15" s="15"/>
      <c r="L15" s="8"/>
      <c r="M15" s="8"/>
      <c r="N15" s="8"/>
      <c r="O15" s="8"/>
      <c r="P15" s="8"/>
    </row>
    <row r="16" spans="1:16" ht="21.6" customHeight="1" outlineLevel="1" x14ac:dyDescent="0.25">
      <c r="A16" s="74" t="s">
        <v>20</v>
      </c>
      <c r="B16" s="39">
        <v>2004</v>
      </c>
      <c r="C16" s="40">
        <v>64.572999999999993</v>
      </c>
      <c r="D16" s="40">
        <v>1.9271739999999999</v>
      </c>
      <c r="E16" s="39">
        <f t="shared" si="2"/>
        <v>29.844888730583992</v>
      </c>
      <c r="F16" s="41">
        <v>29.056099999999997</v>
      </c>
      <c r="G16" s="39">
        <f t="shared" si="3"/>
        <v>15077.050645141539</v>
      </c>
      <c r="H16" s="41">
        <v>75.099999999999994</v>
      </c>
      <c r="I16" s="42" t="s">
        <v>42</v>
      </c>
      <c r="J16" s="75">
        <v>637.08900000000006</v>
      </c>
      <c r="K16" s="15"/>
      <c r="L16" s="11"/>
      <c r="M16" s="8"/>
      <c r="N16" s="8"/>
      <c r="O16" s="8"/>
      <c r="P16" s="8"/>
    </row>
    <row r="17" spans="1:16" ht="21.6" customHeight="1" outlineLevel="1" x14ac:dyDescent="0.25">
      <c r="A17" s="74" t="s">
        <v>25</v>
      </c>
      <c r="B17" s="39">
        <v>2004</v>
      </c>
      <c r="C17" s="40">
        <v>20.273</v>
      </c>
      <c r="D17" s="40">
        <v>2.0738940000000001</v>
      </c>
      <c r="E17" s="39">
        <f t="shared" si="2"/>
        <v>102.29832782518622</v>
      </c>
      <c r="F17" s="41">
        <v>45.754800000000003</v>
      </c>
      <c r="G17" s="39">
        <f t="shared" si="3"/>
        <v>22062.265477406272</v>
      </c>
      <c r="H17" s="41">
        <v>81.5</v>
      </c>
      <c r="I17" s="42" t="s">
        <v>53</v>
      </c>
      <c r="J17" s="75">
        <v>286.49099999999999</v>
      </c>
      <c r="K17" s="15"/>
      <c r="L17" s="11"/>
      <c r="M17" s="7"/>
      <c r="N17" s="8"/>
      <c r="O17" s="8"/>
      <c r="P17" s="8"/>
    </row>
    <row r="18" spans="1:16" ht="21.6" customHeight="1" outlineLevel="1" x14ac:dyDescent="0.25">
      <c r="A18" s="74" t="s">
        <v>21</v>
      </c>
      <c r="B18" s="39">
        <v>2004</v>
      </c>
      <c r="C18" s="40">
        <v>65.286000000000001</v>
      </c>
      <c r="D18" s="40">
        <v>2.8015430000000001</v>
      </c>
      <c r="E18" s="39">
        <f t="shared" si="2"/>
        <v>42.911849401096717</v>
      </c>
      <c r="F18" s="41">
        <v>45.264400000000002</v>
      </c>
      <c r="G18" s="39">
        <f t="shared" si="3"/>
        <v>16156.953507406453</v>
      </c>
      <c r="H18" s="41">
        <v>76</v>
      </c>
      <c r="I18" s="42" t="s">
        <v>43</v>
      </c>
      <c r="J18" s="75">
        <v>536.05499999999995</v>
      </c>
      <c r="K18" s="15"/>
      <c r="L18" s="11"/>
      <c r="M18" s="9"/>
      <c r="N18" s="8"/>
      <c r="O18" s="8"/>
      <c r="P18" s="8"/>
    </row>
    <row r="19" spans="1:16" ht="21.6" customHeight="1" outlineLevel="1" x14ac:dyDescent="0.25">
      <c r="A19" s="74" t="s">
        <v>24</v>
      </c>
      <c r="B19" s="39">
        <v>2004</v>
      </c>
      <c r="C19" s="40">
        <v>49.034999999999997</v>
      </c>
      <c r="D19" s="40">
        <v>5.446771</v>
      </c>
      <c r="E19" s="39">
        <f t="shared" si="2"/>
        <v>111.07924951565209</v>
      </c>
      <c r="F19" s="41">
        <v>89.605899999999991</v>
      </c>
      <c r="G19" s="39">
        <f t="shared" si="3"/>
        <v>16451.196497888381</v>
      </c>
      <c r="H19" s="41">
        <v>77.400000000000006</v>
      </c>
      <c r="I19" s="42" t="s">
        <v>52</v>
      </c>
      <c r="J19" s="75">
        <v>429.92</v>
      </c>
      <c r="K19" s="15"/>
      <c r="L19" s="11"/>
      <c r="M19" s="10"/>
      <c r="N19" s="8"/>
      <c r="O19" s="8"/>
      <c r="P19" s="8"/>
    </row>
    <row r="20" spans="1:16" ht="21.6" customHeight="1" outlineLevel="1" x14ac:dyDescent="0.25">
      <c r="A20" s="74" t="s">
        <v>22</v>
      </c>
      <c r="B20" s="39">
        <v>2004</v>
      </c>
      <c r="C20" s="40">
        <v>93.022000000000006</v>
      </c>
      <c r="D20" s="40">
        <v>9.7755639999999993</v>
      </c>
      <c r="E20" s="39">
        <f t="shared" si="2"/>
        <v>105.08873169787792</v>
      </c>
      <c r="F20" s="41">
        <v>133.78220000000002</v>
      </c>
      <c r="G20" s="39">
        <f t="shared" si="3"/>
        <v>13685.368946487386</v>
      </c>
      <c r="H20" s="41">
        <v>76.2</v>
      </c>
      <c r="I20" s="42" t="s">
        <v>45</v>
      </c>
      <c r="J20" s="75">
        <v>1749.7339999999999</v>
      </c>
      <c r="K20" s="15"/>
      <c r="L20" s="8"/>
      <c r="M20" s="8"/>
      <c r="N20" s="8"/>
      <c r="O20" s="8"/>
      <c r="P20" s="8"/>
    </row>
    <row r="21" spans="1:16" ht="21.6" customHeight="1" outlineLevel="1" x14ac:dyDescent="0.25">
      <c r="A21" s="74" t="s">
        <v>17</v>
      </c>
      <c r="B21" s="39">
        <v>2004</v>
      </c>
      <c r="C21" s="40">
        <v>78.870410000000007</v>
      </c>
      <c r="D21" s="40">
        <v>10.629928</v>
      </c>
      <c r="E21" s="39">
        <f t="shared" si="2"/>
        <v>134.77713631766335</v>
      </c>
      <c r="F21" s="41">
        <v>207.57029999999997</v>
      </c>
      <c r="G21" s="39">
        <f t="shared" si="3"/>
        <v>19526.971396231467</v>
      </c>
      <c r="H21" s="41">
        <v>79.099999999999994</v>
      </c>
      <c r="I21" s="42" t="s">
        <v>33</v>
      </c>
      <c r="J21" s="75">
        <v>1291.5519999999999</v>
      </c>
      <c r="K21" s="15"/>
      <c r="L21" s="11"/>
      <c r="M21" s="8"/>
      <c r="N21" s="8"/>
      <c r="O21" s="8"/>
      <c r="P21" s="8"/>
    </row>
    <row r="22" spans="1:16" ht="21.6" customHeight="1" outlineLevel="1" x14ac:dyDescent="0.25">
      <c r="A22" s="74" t="s">
        <v>19</v>
      </c>
      <c r="B22" s="39">
        <v>2004</v>
      </c>
      <c r="C22" s="40">
        <v>312.67899999999997</v>
      </c>
      <c r="D22" s="40">
        <v>37.97475</v>
      </c>
      <c r="E22" s="39">
        <f t="shared" si="2"/>
        <v>121.44963364984537</v>
      </c>
      <c r="F22" s="41">
        <v>497.59009999999995</v>
      </c>
      <c r="G22" s="39">
        <f t="shared" si="3"/>
        <v>13103.183036096352</v>
      </c>
      <c r="H22" s="41">
        <v>77.7</v>
      </c>
      <c r="I22" s="42" t="s">
        <v>41</v>
      </c>
      <c r="J22" s="75">
        <v>1767.798</v>
      </c>
      <c r="K22" s="15"/>
      <c r="L22" s="8"/>
      <c r="M22" s="8"/>
      <c r="N22" s="8"/>
      <c r="O22" s="8"/>
      <c r="P22" s="8"/>
    </row>
    <row r="23" spans="1:16" ht="21.6" customHeight="1" x14ac:dyDescent="0.25">
      <c r="A23" s="90" t="s">
        <v>116</v>
      </c>
      <c r="B23" s="39"/>
      <c r="C23" s="40"/>
      <c r="D23" s="40"/>
      <c r="E23" s="39"/>
      <c r="F23" s="41"/>
      <c r="G23" s="39"/>
      <c r="H23" s="41"/>
      <c r="I23" s="42"/>
      <c r="J23" s="75"/>
      <c r="K23" s="15"/>
      <c r="L23" s="8"/>
      <c r="M23" s="8"/>
      <c r="N23" s="8"/>
      <c r="O23" s="8"/>
      <c r="P23" s="8"/>
    </row>
    <row r="24" spans="1:16" ht="21.6" customHeight="1" outlineLevel="1" x14ac:dyDescent="0.25">
      <c r="A24" s="74" t="s">
        <v>5</v>
      </c>
      <c r="B24" s="39">
        <v>1995</v>
      </c>
      <c r="C24" s="40">
        <v>336.86601000000002</v>
      </c>
      <c r="D24" s="40">
        <v>5.5155250000000002</v>
      </c>
      <c r="E24" s="39">
        <f t="shared" ref="E24:E31" si="4">D24/C24*1000</f>
        <v>16.373052894235308</v>
      </c>
      <c r="F24" s="41">
        <v>233.66200000000001</v>
      </c>
      <c r="G24" s="39">
        <f t="shared" ref="G24:G31" si="5">F24/D24*1000</f>
        <v>42364.416805290515</v>
      </c>
      <c r="H24" s="41">
        <v>81.8</v>
      </c>
      <c r="I24" s="42" t="s">
        <v>36</v>
      </c>
      <c r="J24" s="75">
        <v>1279.096</v>
      </c>
      <c r="K24" s="15"/>
      <c r="L24" s="11"/>
      <c r="M24" s="8"/>
      <c r="N24" s="8"/>
      <c r="O24" s="8"/>
      <c r="P24" s="8"/>
    </row>
    <row r="25" spans="1:16" ht="21.6" customHeight="1" outlineLevel="1" x14ac:dyDescent="0.25">
      <c r="A25" s="74" t="s">
        <v>2</v>
      </c>
      <c r="B25" s="39">
        <v>1995</v>
      </c>
      <c r="C25" s="40">
        <v>83.882460000000009</v>
      </c>
      <c r="D25" s="40">
        <v>8.8405210000000007</v>
      </c>
      <c r="E25" s="39">
        <f t="shared" si="4"/>
        <v>105.39177081835702</v>
      </c>
      <c r="F25" s="41">
        <v>385.71190000000001</v>
      </c>
      <c r="G25" s="39">
        <f t="shared" si="5"/>
        <v>43629.996467402772</v>
      </c>
      <c r="H25" s="41">
        <v>81.8</v>
      </c>
      <c r="I25" s="42" t="s">
        <v>29</v>
      </c>
      <c r="J25" s="75">
        <v>1900.547</v>
      </c>
      <c r="K25" s="15"/>
      <c r="L25" s="11"/>
      <c r="M25" s="8"/>
      <c r="N25" s="12"/>
      <c r="O25" s="8"/>
      <c r="P25" s="8"/>
    </row>
    <row r="26" spans="1:16" ht="21.6" customHeight="1" outlineLevel="1" x14ac:dyDescent="0.25">
      <c r="A26" s="74" t="s">
        <v>15</v>
      </c>
      <c r="B26" s="39">
        <v>1995</v>
      </c>
      <c r="C26" s="40">
        <v>438.57400000000001</v>
      </c>
      <c r="D26" s="40">
        <v>10.175214</v>
      </c>
      <c r="E26" s="39">
        <f t="shared" si="4"/>
        <v>23.200677650749927</v>
      </c>
      <c r="F26" s="41">
        <v>470.67309999999998</v>
      </c>
      <c r="G26" s="39">
        <f t="shared" si="5"/>
        <v>46256.82565496902</v>
      </c>
      <c r="H26" s="41">
        <v>82.6</v>
      </c>
      <c r="I26" s="42" t="s">
        <v>51</v>
      </c>
      <c r="J26" s="75">
        <v>1582.9680000000001</v>
      </c>
      <c r="K26" s="15"/>
      <c r="L26" s="8"/>
      <c r="M26" s="8"/>
      <c r="N26" s="8"/>
      <c r="O26" s="8"/>
      <c r="P26" s="8"/>
    </row>
    <row r="27" spans="1:16" ht="21.6" customHeight="1" outlineLevel="1" x14ac:dyDescent="0.25">
      <c r="A27" s="74" t="s">
        <v>13</v>
      </c>
      <c r="B27" s="39">
        <v>1986</v>
      </c>
      <c r="C27" s="40">
        <v>92.225999999999999</v>
      </c>
      <c r="D27" s="40">
        <v>10.283822000000001</v>
      </c>
      <c r="E27" s="39">
        <f t="shared" si="4"/>
        <v>111.50675514496999</v>
      </c>
      <c r="F27" s="41">
        <v>204.3048</v>
      </c>
      <c r="G27" s="39">
        <f t="shared" si="5"/>
        <v>19866.621573185534</v>
      </c>
      <c r="H27" s="41">
        <v>81.5</v>
      </c>
      <c r="I27" s="42" t="s">
        <v>48</v>
      </c>
      <c r="J27" s="75">
        <v>2927.3159999999998</v>
      </c>
      <c r="K27" s="15"/>
      <c r="L27" s="11"/>
      <c r="M27" s="8"/>
      <c r="N27" s="8"/>
      <c r="O27" s="8"/>
      <c r="P27" s="8"/>
    </row>
    <row r="28" spans="1:16" ht="21.6" customHeight="1" outlineLevel="1" x14ac:dyDescent="0.25">
      <c r="A28" s="74" t="s">
        <v>14</v>
      </c>
      <c r="B28" s="39">
        <v>1986</v>
      </c>
      <c r="C28" s="40">
        <v>505.97982000000002</v>
      </c>
      <c r="D28" s="40">
        <v>46.79654</v>
      </c>
      <c r="E28" s="39">
        <f t="shared" si="4"/>
        <v>92.486969144342552</v>
      </c>
      <c r="F28" s="41">
        <v>1202.193</v>
      </c>
      <c r="G28" s="39">
        <f t="shared" si="5"/>
        <v>25689.783902827003</v>
      </c>
      <c r="H28" s="41">
        <v>83.5</v>
      </c>
      <c r="I28" s="42" t="s">
        <v>50</v>
      </c>
      <c r="J28" s="75">
        <v>6497.1239999999998</v>
      </c>
      <c r="K28" s="15"/>
      <c r="L28" s="11"/>
      <c r="M28" s="7"/>
      <c r="N28" s="8"/>
      <c r="O28" s="8"/>
      <c r="P28" s="8"/>
    </row>
    <row r="29" spans="1:16" ht="21.6" customHeight="1" outlineLevel="1" x14ac:dyDescent="0.25">
      <c r="A29" s="74" t="s">
        <v>7</v>
      </c>
      <c r="B29" s="39">
        <v>1981</v>
      </c>
      <c r="C29" s="40">
        <v>131.95699999999999</v>
      </c>
      <c r="D29" s="40">
        <v>10.731726</v>
      </c>
      <c r="E29" s="39">
        <f t="shared" si="4"/>
        <v>81.327447577619992</v>
      </c>
      <c r="F29" s="41">
        <v>184.71360000000001</v>
      </c>
      <c r="G29" s="39">
        <f t="shared" si="5"/>
        <v>17211.919126522615</v>
      </c>
      <c r="H29" s="41">
        <v>81.900000000000006</v>
      </c>
      <c r="I29" s="42"/>
      <c r="J29" s="75">
        <v>3155.6</v>
      </c>
      <c r="K29" s="15"/>
      <c r="L29" s="11"/>
      <c r="M29" s="9"/>
      <c r="N29" s="8"/>
      <c r="O29" s="8"/>
      <c r="P29" s="8"/>
    </row>
    <row r="30" spans="1:16" ht="21.6" customHeight="1" outlineLevel="1" x14ac:dyDescent="0.25">
      <c r="A30" s="74" t="s">
        <v>9</v>
      </c>
      <c r="B30" s="39">
        <v>1973</v>
      </c>
      <c r="C30" s="40">
        <v>69.825000000000003</v>
      </c>
      <c r="D30" s="40">
        <v>4.8673089999999997</v>
      </c>
      <c r="E30" s="39">
        <f t="shared" si="4"/>
        <v>69.707253848907982</v>
      </c>
      <c r="F30" s="41">
        <v>324.03820000000002</v>
      </c>
      <c r="G30" s="39">
        <f t="shared" si="5"/>
        <v>66574.404871357066</v>
      </c>
      <c r="H30" s="41">
        <v>82.3</v>
      </c>
      <c r="I30" s="42" t="s">
        <v>40</v>
      </c>
      <c r="J30" s="75">
        <v>1201.4259999999999</v>
      </c>
      <c r="K30" s="15"/>
      <c r="L30" s="11"/>
      <c r="M30" s="10"/>
      <c r="N30" s="8"/>
      <c r="O30" s="8"/>
      <c r="P30" s="8"/>
    </row>
    <row r="31" spans="1:16" ht="21.6" customHeight="1" outlineLevel="1" x14ac:dyDescent="0.25">
      <c r="A31" s="81" t="s">
        <v>4</v>
      </c>
      <c r="B31" s="82">
        <v>1973</v>
      </c>
      <c r="C31" s="83">
        <v>42.920999999999999</v>
      </c>
      <c r="D31" s="83">
        <v>5.7936360000000002</v>
      </c>
      <c r="E31" s="82">
        <f t="shared" si="4"/>
        <v>134.98371426574406</v>
      </c>
      <c r="F31" s="84">
        <v>301.34090000000003</v>
      </c>
      <c r="G31" s="82">
        <f t="shared" si="5"/>
        <v>52012.397741245739</v>
      </c>
      <c r="H31" s="84">
        <v>81</v>
      </c>
      <c r="I31" s="85" t="s">
        <v>34</v>
      </c>
      <c r="J31" s="86">
        <v>1320.826</v>
      </c>
      <c r="K31" s="15"/>
      <c r="L31" s="14"/>
      <c r="M31" s="2"/>
      <c r="N31" s="2"/>
      <c r="O31" s="2"/>
      <c r="P31" s="2"/>
    </row>
    <row r="32" spans="1:16" ht="17.399999999999999" x14ac:dyDescent="0.25">
      <c r="A32" s="81" t="s">
        <v>107</v>
      </c>
      <c r="B32" s="87"/>
      <c r="C32" s="83">
        <f>SUBTOTAL(101,Táblázat1[Terület
ezer km2])</f>
        <v>153.03435925925928</v>
      </c>
      <c r="D32" s="83">
        <f>SUBTOTAL(101,Táblázat1[Népesség
millió fő])</f>
        <v>16.535930444444439</v>
      </c>
      <c r="E32" s="82">
        <f>SUBTOTAL(101,Táblázat1[Népsűrűség
fő/km2])</f>
        <v>175.53809703973459</v>
      </c>
      <c r="F32" s="84">
        <f>SUBTOTAL(101,Táblázat1[GDP
mrd €])</f>
        <v>499.70322962962956</v>
      </c>
      <c r="G32" s="82">
        <f>SUBTOTAL(101,Táblázat1[GDP
egy főre (€)])</f>
        <v>30335.999450582145</v>
      </c>
      <c r="H32" s="84">
        <f>SUBTOTAL(101,Táblázat1[Sz.v.ét.
év])</f>
        <v>80.192592592592604</v>
      </c>
      <c r="I32" s="88"/>
      <c r="J32" s="86">
        <f>SUBTOTAL(101,Táblázat1[Főv. nép.
ezer fő])</f>
        <v>1971.3151851851851</v>
      </c>
    </row>
    <row r="34" spans="1:10" x14ac:dyDescent="0.25">
      <c r="A34" s="6"/>
      <c r="C34" s="6"/>
      <c r="D34" s="6"/>
      <c r="E34" s="6"/>
      <c r="F34" s="6"/>
      <c r="G34" s="6"/>
      <c r="H34" s="6"/>
      <c r="I34" s="6"/>
      <c r="J34" s="6"/>
    </row>
    <row r="35" spans="1:10" ht="54" x14ac:dyDescent="0.25">
      <c r="A35" s="76" t="s">
        <v>0</v>
      </c>
      <c r="B35" s="77" t="s">
        <v>61</v>
      </c>
      <c r="C35" s="78" t="s">
        <v>62</v>
      </c>
      <c r="D35" s="78" t="s">
        <v>55</v>
      </c>
      <c r="E35" s="78" t="s">
        <v>63</v>
      </c>
      <c r="F35" s="78" t="s">
        <v>56</v>
      </c>
      <c r="G35" s="78" t="s">
        <v>58</v>
      </c>
      <c r="H35" s="79" t="s">
        <v>57</v>
      </c>
      <c r="I35" s="78" t="s">
        <v>1</v>
      </c>
      <c r="J35" s="80" t="s">
        <v>60</v>
      </c>
    </row>
    <row r="36" spans="1:10" ht="17.399999999999999" x14ac:dyDescent="0.25">
      <c r="A36" s="74" t="s">
        <v>10</v>
      </c>
      <c r="B36" s="39" t="s">
        <v>59</v>
      </c>
      <c r="C36" s="40">
        <v>2.5859999999999999</v>
      </c>
      <c r="D36" s="40">
        <v>0.60794999999999999</v>
      </c>
      <c r="E36" s="39">
        <v>235.09280742459399</v>
      </c>
      <c r="F36" s="41">
        <v>60.053100000000001</v>
      </c>
      <c r="G36" s="39">
        <v>98779.669380705658</v>
      </c>
      <c r="H36" s="41">
        <v>82.3</v>
      </c>
      <c r="I36" s="42" t="s">
        <v>44</v>
      </c>
      <c r="J36" s="75">
        <v>119.752</v>
      </c>
    </row>
    <row r="37" spans="1:10" ht="17.399999999999999" x14ac:dyDescent="0.25">
      <c r="A37" s="74" t="s">
        <v>26</v>
      </c>
      <c r="B37" s="39">
        <v>2007</v>
      </c>
      <c r="C37" s="40">
        <v>110.372</v>
      </c>
      <c r="D37" s="40">
        <v>7.0250370000000002</v>
      </c>
      <c r="E37" s="39">
        <v>63.648724314137652</v>
      </c>
      <c r="F37" s="41">
        <v>56.0869</v>
      </c>
      <c r="G37" s="39">
        <v>7983.8583056573225</v>
      </c>
      <c r="H37" s="41">
        <v>75.2</v>
      </c>
      <c r="I37" s="42" t="s">
        <v>31</v>
      </c>
      <c r="J37" s="75">
        <v>1272</v>
      </c>
    </row>
    <row r="38" spans="1:10" ht="17.399999999999999" x14ac:dyDescent="0.25">
      <c r="A38" s="74" t="s">
        <v>20</v>
      </c>
      <c r="B38" s="39">
        <v>2004</v>
      </c>
      <c r="C38" s="40">
        <v>64.572999999999993</v>
      </c>
      <c r="D38" s="40">
        <v>1.9271739999999999</v>
      </c>
      <c r="E38" s="39">
        <v>29.844888730583992</v>
      </c>
      <c r="F38" s="41">
        <v>29.056099999999997</v>
      </c>
      <c r="G38" s="39">
        <v>15077.050645141539</v>
      </c>
      <c r="H38" s="41">
        <v>75.099999999999994</v>
      </c>
      <c r="I38" s="42" t="s">
        <v>42</v>
      </c>
      <c r="J38" s="75">
        <v>637.08900000000006</v>
      </c>
    </row>
    <row r="39" spans="1:10" ht="17.399999999999999" x14ac:dyDescent="0.25">
      <c r="A39" s="74" t="s">
        <v>21</v>
      </c>
      <c r="B39" s="39">
        <v>2004</v>
      </c>
      <c r="C39" s="40">
        <v>65.286000000000001</v>
      </c>
      <c r="D39" s="40">
        <v>2.8015430000000001</v>
      </c>
      <c r="E39" s="39">
        <v>42.911849401096717</v>
      </c>
      <c r="F39" s="41">
        <v>45.264400000000002</v>
      </c>
      <c r="G39" s="39">
        <v>16156.953507406453</v>
      </c>
      <c r="H39" s="41">
        <v>76</v>
      </c>
      <c r="I39" s="42" t="s">
        <v>43</v>
      </c>
      <c r="J39" s="75">
        <v>536.05499999999995</v>
      </c>
    </row>
    <row r="40" spans="1:10" ht="17.399999999999999" x14ac:dyDescent="0.25">
      <c r="A40" s="74" t="s">
        <v>24</v>
      </c>
      <c r="B40" s="39">
        <v>2004</v>
      </c>
      <c r="C40" s="40">
        <v>49.034999999999997</v>
      </c>
      <c r="D40" s="40">
        <v>5.446771</v>
      </c>
      <c r="E40" s="39">
        <v>111.07924951565209</v>
      </c>
      <c r="F40" s="41">
        <v>89.605899999999991</v>
      </c>
      <c r="G40" s="39">
        <v>16451.196497888381</v>
      </c>
      <c r="H40" s="41">
        <v>77.400000000000006</v>
      </c>
      <c r="I40" s="42" t="s">
        <v>52</v>
      </c>
      <c r="J40" s="75">
        <v>429.92</v>
      </c>
    </row>
    <row r="41" spans="1:10" ht="17.399999999999999" x14ac:dyDescent="0.25">
      <c r="A41" s="74" t="s">
        <v>22</v>
      </c>
      <c r="B41" s="39">
        <v>2004</v>
      </c>
      <c r="C41" s="40">
        <v>93.022000000000006</v>
      </c>
      <c r="D41" s="40">
        <v>9.7755639999999993</v>
      </c>
      <c r="E41" s="39">
        <v>105.08873169787792</v>
      </c>
      <c r="F41" s="41">
        <v>133.78220000000002</v>
      </c>
      <c r="G41" s="39">
        <v>13685.368946487386</v>
      </c>
      <c r="H41" s="41">
        <v>76.2</v>
      </c>
      <c r="I41" s="42" t="s">
        <v>45</v>
      </c>
      <c r="J41" s="75">
        <v>1749.7339999999999</v>
      </c>
    </row>
    <row r="42" spans="1:10" ht="17.399999999999999" x14ac:dyDescent="0.25">
      <c r="A42" s="74" t="s">
        <v>15</v>
      </c>
      <c r="B42" s="39">
        <v>1995</v>
      </c>
      <c r="C42" s="40">
        <v>438.57400000000001</v>
      </c>
      <c r="D42" s="40">
        <v>10.175214</v>
      </c>
      <c r="E42" s="39">
        <v>23.200677650749927</v>
      </c>
      <c r="F42" s="41">
        <v>470.67309999999998</v>
      </c>
      <c r="G42" s="39">
        <v>46256.82565496902</v>
      </c>
      <c r="H42" s="41">
        <v>82.6</v>
      </c>
      <c r="I42" s="42" t="s">
        <v>51</v>
      </c>
      <c r="J42" s="75">
        <v>1582.9680000000001</v>
      </c>
    </row>
    <row r="43" spans="1:10" ht="17.399999999999999" x14ac:dyDescent="0.25">
      <c r="A43" s="74" t="s">
        <v>9</v>
      </c>
      <c r="B43" s="39">
        <v>1973</v>
      </c>
      <c r="C43" s="40">
        <v>69.825000000000003</v>
      </c>
      <c r="D43" s="40">
        <v>4.8673089999999997</v>
      </c>
      <c r="E43" s="39">
        <v>69.707253848907982</v>
      </c>
      <c r="F43" s="41">
        <v>324.03820000000002</v>
      </c>
      <c r="G43" s="39">
        <v>66574.404871357066</v>
      </c>
      <c r="H43" s="41">
        <v>82.3</v>
      </c>
      <c r="I43" s="42" t="s">
        <v>40</v>
      </c>
      <c r="J43" s="75">
        <v>1201.4259999999999</v>
      </c>
    </row>
    <row r="44" spans="1:10" x14ac:dyDescent="0.25">
      <c r="B44"/>
      <c r="C44"/>
      <c r="D44"/>
      <c r="E44"/>
      <c r="F44"/>
      <c r="G44"/>
      <c r="H44"/>
      <c r="I44"/>
      <c r="J44"/>
    </row>
    <row r="45" spans="1:10" x14ac:dyDescent="0.25">
      <c r="B45"/>
      <c r="C45"/>
      <c r="D45"/>
      <c r="E45"/>
      <c r="F45"/>
      <c r="G45"/>
      <c r="H45"/>
      <c r="I45"/>
      <c r="J45"/>
    </row>
  </sheetData>
  <sortState xmlns:xlrd2="http://schemas.microsoft.com/office/spreadsheetml/2017/richdata2" ref="A4:J31">
    <sortCondition ref="B4:B31"/>
    <sortCondition descending="1" ref="C4:C31"/>
  </sortState>
  <conditionalFormatting sqref="A2:J31">
    <cfRule type="expression" dxfId="14" priority="4">
      <formula>OR($G2=MIN($G$2:$G$31),$H2=MIN($H$2:$H$31),$D2=MIN($D$2:$D$31))</formula>
    </cfRule>
  </conditionalFormatting>
  <conditionalFormatting sqref="I2:I31">
    <cfRule type="expression" dxfId="13" priority="5">
      <formula>J2&gt;=LARGE($J$2:$J$31,2)</formula>
    </cfRule>
  </conditionalFormatting>
  <conditionalFormatting sqref="L2">
    <cfRule type="expression" dxfId="2" priority="3">
      <formula>OR($G2=MIN($G$2:$G$31),$H2=MIN($H$2:$H$31),$D2=MIN($D$2:$D$31))</formula>
    </cfRule>
  </conditionalFormatting>
  <conditionalFormatting sqref="L3:N3 L2:M2">
    <cfRule type="expression" dxfId="1" priority="2">
      <formula>OR($G2=MIN($G$2:$G$31),$H2=MIN($H$2:$H$31),$D2=MIN($D$2:$D$31))</formula>
    </cfRule>
  </conditionalFormatting>
  <conditionalFormatting sqref="N2">
    <cfRule type="expression" dxfId="0" priority="1">
      <formula>OR($G2=MIN($G$2:$G$31),$H2=MIN($H$2:$H$31),$D2=MIN($D$2:$D$31))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637A-0349-4CFB-90E4-B6A6FF5AD609}">
  <dimension ref="A1:M20"/>
  <sheetViews>
    <sheetView workbookViewId="0">
      <selection activeCell="I24" sqref="I24"/>
    </sheetView>
  </sheetViews>
  <sheetFormatPr defaultRowHeight="13.2" x14ac:dyDescent="0.25"/>
  <cols>
    <col min="2" max="5" width="16.21875" customWidth="1"/>
    <col min="6" max="7" width="5.109375" customWidth="1"/>
    <col min="8" max="8" width="26.44140625" customWidth="1"/>
    <col min="9" max="9" width="14.21875" customWidth="1"/>
    <col min="10" max="10" width="24.109375" customWidth="1"/>
    <col min="11" max="11" width="22.21875" bestFit="1" customWidth="1"/>
    <col min="12" max="12" width="22.6640625" customWidth="1"/>
    <col min="13" max="13" width="16.44140625" customWidth="1"/>
  </cols>
  <sheetData>
    <row r="1" spans="1:13" ht="29.4" customHeight="1" thickBot="1" x14ac:dyDescent="0.3">
      <c r="A1" s="105" t="s">
        <v>83</v>
      </c>
      <c r="B1" s="106"/>
      <c r="C1" s="106"/>
      <c r="D1" s="106"/>
      <c r="E1" s="107"/>
      <c r="F1" s="21"/>
      <c r="G1" s="22"/>
      <c r="H1" s="114" t="s">
        <v>90</v>
      </c>
      <c r="I1" s="115"/>
      <c r="J1" s="116" t="s">
        <v>94</v>
      </c>
      <c r="K1" s="117"/>
      <c r="L1" s="91" t="s">
        <v>99</v>
      </c>
      <c r="M1" s="92"/>
    </row>
    <row r="2" spans="1:13" ht="31.8" thickBot="1" x14ac:dyDescent="0.4">
      <c r="A2" s="18"/>
      <c r="B2" s="46" t="s">
        <v>69</v>
      </c>
      <c r="C2" s="47" t="s">
        <v>70</v>
      </c>
      <c r="D2" s="47" t="s">
        <v>71</v>
      </c>
      <c r="E2" s="48" t="s">
        <v>72</v>
      </c>
      <c r="F2" s="23"/>
      <c r="G2" s="24"/>
      <c r="H2" s="32" t="s">
        <v>84</v>
      </c>
      <c r="I2" s="53">
        <v>40000000</v>
      </c>
      <c r="J2" s="49" t="s">
        <v>85</v>
      </c>
      <c r="K2" s="57">
        <v>0.06</v>
      </c>
      <c r="L2" s="64" t="s">
        <v>84</v>
      </c>
      <c r="M2" s="61"/>
    </row>
    <row r="3" spans="1:13" ht="18" x14ac:dyDescent="0.35">
      <c r="A3" s="43" t="s">
        <v>73</v>
      </c>
      <c r="B3" s="20">
        <v>3000000</v>
      </c>
      <c r="C3" s="19">
        <v>0.01</v>
      </c>
      <c r="D3" s="20">
        <f>B3*C3</f>
        <v>30000</v>
      </c>
      <c r="E3" s="20">
        <f>B3+D3</f>
        <v>3030000</v>
      </c>
      <c r="F3" s="25"/>
      <c r="G3" s="26"/>
      <c r="H3" s="32" t="s">
        <v>85</v>
      </c>
      <c r="I3" s="54">
        <v>0.03</v>
      </c>
      <c r="J3" s="50" t="s">
        <v>86</v>
      </c>
      <c r="K3" s="58">
        <v>12</v>
      </c>
      <c r="L3" s="65" t="s">
        <v>86</v>
      </c>
      <c r="M3" s="62"/>
    </row>
    <row r="4" spans="1:13" ht="18.600000000000001" thickBot="1" x14ac:dyDescent="0.4">
      <c r="A4" s="44" t="s">
        <v>74</v>
      </c>
      <c r="B4" s="20">
        <f>E3</f>
        <v>3030000</v>
      </c>
      <c r="C4" s="19">
        <f>C3+0.25%</f>
        <v>1.2500000000000001E-2</v>
      </c>
      <c r="D4" s="20">
        <f t="shared" ref="D4:D12" si="0">B4*C4</f>
        <v>37875</v>
      </c>
      <c r="E4" s="20">
        <f t="shared" ref="E4:E12" si="1">B4+D4</f>
        <v>3067875</v>
      </c>
      <c r="F4" s="25"/>
      <c r="G4" s="26"/>
      <c r="H4" s="33" t="s">
        <v>86</v>
      </c>
      <c r="I4" s="53">
        <v>25</v>
      </c>
      <c r="J4" s="50" t="s">
        <v>91</v>
      </c>
      <c r="K4" s="58">
        <v>25000</v>
      </c>
      <c r="L4" s="65" t="s">
        <v>91</v>
      </c>
      <c r="M4" s="62"/>
    </row>
    <row r="5" spans="1:13" ht="18" x14ac:dyDescent="0.35">
      <c r="A5" s="44" t="s">
        <v>75</v>
      </c>
      <c r="B5" s="20">
        <f t="shared" ref="B5:B12" si="2">E4</f>
        <v>3067875</v>
      </c>
      <c r="C5" s="19">
        <f t="shared" ref="C5:C12" si="3">C4+0.25%</f>
        <v>1.5000000000000001E-2</v>
      </c>
      <c r="D5" s="20">
        <f t="shared" si="0"/>
        <v>46018.125</v>
      </c>
      <c r="E5" s="20">
        <f t="shared" si="1"/>
        <v>3113893.125</v>
      </c>
      <c r="F5" s="25"/>
      <c r="G5" s="26"/>
      <c r="H5" s="30" t="s">
        <v>87</v>
      </c>
      <c r="I5" s="55">
        <f>PMT(I3,I4,-I2)</f>
        <v>2297114.8415651121</v>
      </c>
      <c r="J5" s="51" t="s">
        <v>92</v>
      </c>
      <c r="K5" s="59">
        <f>FV(K2/12,K3*12,-K4,0,0)</f>
        <v>5253754.0778031899</v>
      </c>
      <c r="L5" s="65" t="s">
        <v>97</v>
      </c>
      <c r="M5" s="63"/>
    </row>
    <row r="6" spans="1:13" ht="18.600000000000001" thickBot="1" x14ac:dyDescent="0.4">
      <c r="A6" s="44" t="s">
        <v>76</v>
      </c>
      <c r="B6" s="20">
        <f t="shared" si="2"/>
        <v>3113893.125</v>
      </c>
      <c r="C6" s="19">
        <f t="shared" si="3"/>
        <v>1.7500000000000002E-2</v>
      </c>
      <c r="D6" s="20">
        <f t="shared" si="0"/>
        <v>54493.129687500004</v>
      </c>
      <c r="E6" s="20">
        <f t="shared" si="1"/>
        <v>3168386.2546875002</v>
      </c>
      <c r="F6" s="25"/>
      <c r="G6" s="26"/>
      <c r="H6" s="31" t="s">
        <v>88</v>
      </c>
      <c r="I6" s="56">
        <f>I5*I4</f>
        <v>57427871.039127804</v>
      </c>
      <c r="J6" s="52" t="s">
        <v>93</v>
      </c>
      <c r="K6" s="60">
        <f>K4*(K3*12)</f>
        <v>3600000</v>
      </c>
      <c r="L6" s="66" t="s">
        <v>98</v>
      </c>
      <c r="M6" s="62"/>
    </row>
    <row r="7" spans="1:13" ht="18.600000000000001" thickBot="1" x14ac:dyDescent="0.4">
      <c r="A7" s="45" t="s">
        <v>77</v>
      </c>
      <c r="B7" s="20">
        <f t="shared" si="2"/>
        <v>3168386.2546875002</v>
      </c>
      <c r="C7" s="19">
        <f t="shared" si="3"/>
        <v>0.02</v>
      </c>
      <c r="D7" s="20">
        <f t="shared" si="0"/>
        <v>63367.725093750007</v>
      </c>
      <c r="E7" s="20">
        <f t="shared" si="1"/>
        <v>3231753.97978125</v>
      </c>
      <c r="F7" s="25"/>
      <c r="G7" s="26"/>
      <c r="H7" s="30" t="s">
        <v>89</v>
      </c>
      <c r="I7" s="55">
        <f>PMT(I3/12,I4*12,-I2)</f>
        <v>189684.52554306921</v>
      </c>
      <c r="J7" s="52" t="s">
        <v>95</v>
      </c>
      <c r="K7" s="60">
        <f>K5-K6</f>
        <v>1653754.0778031899</v>
      </c>
      <c r="L7" s="38" t="s">
        <v>95</v>
      </c>
      <c r="M7" s="67"/>
    </row>
    <row r="8" spans="1:13" ht="18.600000000000001" customHeight="1" thickBot="1" x14ac:dyDescent="0.4">
      <c r="A8" s="45" t="s">
        <v>78</v>
      </c>
      <c r="B8" s="20">
        <f t="shared" si="2"/>
        <v>3231753.97978125</v>
      </c>
      <c r="C8" s="19">
        <f t="shared" si="3"/>
        <v>2.2499999999999999E-2</v>
      </c>
      <c r="D8" s="20">
        <f t="shared" si="0"/>
        <v>72714.464545078125</v>
      </c>
      <c r="E8" s="20">
        <f t="shared" si="1"/>
        <v>3304468.4443263281</v>
      </c>
      <c r="F8" s="25"/>
      <c r="G8" s="26"/>
      <c r="H8" s="31" t="s">
        <v>88</v>
      </c>
      <c r="I8" s="56">
        <f>I7*(I4*12)</f>
        <v>56905357.662920758</v>
      </c>
      <c r="J8" s="118" t="s">
        <v>96</v>
      </c>
      <c r="K8" s="119"/>
      <c r="L8" s="93" t="s">
        <v>100</v>
      </c>
      <c r="M8" s="94"/>
    </row>
    <row r="9" spans="1:13" ht="16.2" customHeight="1" thickBot="1" x14ac:dyDescent="0.3">
      <c r="A9" s="45" t="s">
        <v>79</v>
      </c>
      <c r="B9" s="20">
        <f t="shared" si="2"/>
        <v>3304468.4443263281</v>
      </c>
      <c r="C9" s="19">
        <f t="shared" si="3"/>
        <v>2.4999999999999998E-2</v>
      </c>
      <c r="D9" s="20">
        <f t="shared" si="0"/>
        <v>82611.711108158197</v>
      </c>
      <c r="E9" s="20">
        <f t="shared" si="1"/>
        <v>3387080.1554344865</v>
      </c>
      <c r="F9" s="25"/>
      <c r="G9" s="26"/>
      <c r="H9" s="34"/>
      <c r="I9" s="35"/>
      <c r="J9" s="120"/>
      <c r="K9" s="119"/>
      <c r="L9" s="95"/>
      <c r="M9" s="94"/>
    </row>
    <row r="10" spans="1:13" ht="16.2" customHeight="1" thickBot="1" x14ac:dyDescent="0.3">
      <c r="A10" s="45" t="s">
        <v>80</v>
      </c>
      <c r="B10" s="20">
        <f t="shared" si="2"/>
        <v>3387080.1554344865</v>
      </c>
      <c r="C10" s="19">
        <f t="shared" si="3"/>
        <v>2.7499999999999997E-2</v>
      </c>
      <c r="D10" s="20">
        <f t="shared" si="0"/>
        <v>93144.704274448362</v>
      </c>
      <c r="E10" s="20">
        <f t="shared" si="1"/>
        <v>3480224.859708935</v>
      </c>
      <c r="F10" s="25"/>
      <c r="G10" s="26"/>
      <c r="H10" s="108" t="s">
        <v>102</v>
      </c>
      <c r="I10" s="109"/>
      <c r="J10" s="120"/>
      <c r="K10" s="119"/>
      <c r="L10" s="95"/>
      <c r="M10" s="94"/>
    </row>
    <row r="11" spans="1:13" ht="16.2" customHeight="1" thickBot="1" x14ac:dyDescent="0.3">
      <c r="A11" s="45" t="s">
        <v>81</v>
      </c>
      <c r="B11" s="20">
        <f t="shared" si="2"/>
        <v>3480224.859708935</v>
      </c>
      <c r="C11" s="19">
        <f t="shared" si="3"/>
        <v>2.9999999999999995E-2</v>
      </c>
      <c r="D11" s="20">
        <f t="shared" si="0"/>
        <v>104406.74579126804</v>
      </c>
      <c r="E11" s="20">
        <f t="shared" si="1"/>
        <v>3584631.6055002031</v>
      </c>
      <c r="F11" s="25"/>
      <c r="G11" s="26"/>
      <c r="H11" s="110"/>
      <c r="I11" s="111"/>
      <c r="J11" s="120"/>
      <c r="K11" s="119"/>
      <c r="L11" s="95"/>
      <c r="M11" s="94"/>
    </row>
    <row r="12" spans="1:13" ht="16.2" customHeight="1" thickBot="1" x14ac:dyDescent="0.3">
      <c r="A12" s="45" t="s">
        <v>82</v>
      </c>
      <c r="B12" s="20">
        <f t="shared" si="2"/>
        <v>3584631.6055002031</v>
      </c>
      <c r="C12" s="19">
        <f t="shared" si="3"/>
        <v>3.2499999999999994E-2</v>
      </c>
      <c r="D12" s="20">
        <f t="shared" si="0"/>
        <v>116500.52717875657</v>
      </c>
      <c r="E12" s="20">
        <f t="shared" si="1"/>
        <v>3701132.1326789595</v>
      </c>
      <c r="F12" s="25"/>
      <c r="G12" s="26"/>
      <c r="H12" s="110"/>
      <c r="I12" s="111"/>
      <c r="J12" s="120"/>
      <c r="K12" s="119"/>
      <c r="L12" s="95"/>
      <c r="M12" s="94"/>
    </row>
    <row r="13" spans="1:13" ht="13.8" customHeight="1" thickBot="1" x14ac:dyDescent="0.3">
      <c r="A13" s="27"/>
      <c r="B13" s="28"/>
      <c r="C13" s="29"/>
      <c r="D13" s="29"/>
      <c r="E13" s="29"/>
      <c r="F13" s="25"/>
      <c r="G13" s="26"/>
      <c r="H13" s="110"/>
      <c r="I13" s="111"/>
      <c r="J13" s="120"/>
      <c r="K13" s="119"/>
      <c r="L13" s="95"/>
      <c r="M13" s="94"/>
    </row>
    <row r="14" spans="1:13" ht="13.2" customHeight="1" x14ac:dyDescent="0.25">
      <c r="A14" s="96" t="s">
        <v>101</v>
      </c>
      <c r="B14" s="97"/>
      <c r="C14" s="97"/>
      <c r="D14" s="97"/>
      <c r="E14" s="97"/>
      <c r="F14" s="97"/>
      <c r="G14" s="98"/>
      <c r="H14" s="110"/>
      <c r="I14" s="111"/>
      <c r="J14" s="120"/>
      <c r="K14" s="119"/>
      <c r="L14" s="95"/>
      <c r="M14" s="94"/>
    </row>
    <row r="15" spans="1:13" ht="13.2" customHeight="1" x14ac:dyDescent="0.25">
      <c r="A15" s="99"/>
      <c r="B15" s="100"/>
      <c r="C15" s="100"/>
      <c r="D15" s="100"/>
      <c r="E15" s="100"/>
      <c r="F15" s="100"/>
      <c r="G15" s="101"/>
      <c r="H15" s="110"/>
      <c r="I15" s="111"/>
      <c r="J15" s="120"/>
      <c r="K15" s="119"/>
      <c r="L15" s="95"/>
      <c r="M15" s="94"/>
    </row>
    <row r="16" spans="1:13" ht="13.2" customHeight="1" x14ac:dyDescent="0.25">
      <c r="A16" s="99"/>
      <c r="B16" s="100"/>
      <c r="C16" s="100"/>
      <c r="D16" s="100"/>
      <c r="E16" s="100"/>
      <c r="F16" s="100"/>
      <c r="G16" s="101"/>
      <c r="H16" s="110"/>
      <c r="I16" s="111"/>
      <c r="J16" s="120"/>
      <c r="K16" s="119"/>
      <c r="L16" s="95"/>
      <c r="M16" s="94"/>
    </row>
    <row r="17" spans="1:13" ht="13.2" customHeight="1" x14ac:dyDescent="0.25">
      <c r="A17" s="99"/>
      <c r="B17" s="100"/>
      <c r="C17" s="100"/>
      <c r="D17" s="100"/>
      <c r="E17" s="100"/>
      <c r="F17" s="100"/>
      <c r="G17" s="101"/>
      <c r="H17" s="110"/>
      <c r="I17" s="111"/>
      <c r="J17" s="120"/>
      <c r="K17" s="119"/>
      <c r="L17" s="95"/>
      <c r="M17" s="94"/>
    </row>
    <row r="18" spans="1:13" ht="13.2" customHeight="1" x14ac:dyDescent="0.25">
      <c r="A18" s="99"/>
      <c r="B18" s="100"/>
      <c r="C18" s="100"/>
      <c r="D18" s="100"/>
      <c r="E18" s="100"/>
      <c r="F18" s="100"/>
      <c r="G18" s="101"/>
      <c r="H18" s="110"/>
      <c r="I18" s="111"/>
      <c r="J18" s="120"/>
      <c r="K18" s="119"/>
      <c r="L18" s="95"/>
      <c r="M18" s="94"/>
    </row>
    <row r="19" spans="1:13" ht="13.2" customHeight="1" thickBot="1" x14ac:dyDescent="0.3">
      <c r="A19" s="99"/>
      <c r="B19" s="100"/>
      <c r="C19" s="100"/>
      <c r="D19" s="100"/>
      <c r="E19" s="100"/>
      <c r="F19" s="100"/>
      <c r="G19" s="101"/>
      <c r="H19" s="112"/>
      <c r="I19" s="113"/>
      <c r="J19" s="120"/>
      <c r="K19" s="119"/>
      <c r="L19" s="95"/>
      <c r="M19" s="94"/>
    </row>
    <row r="20" spans="1:13" ht="13.8" customHeight="1" thickBot="1" x14ac:dyDescent="0.3">
      <c r="A20" s="102"/>
      <c r="B20" s="103"/>
      <c r="C20" s="103"/>
      <c r="D20" s="103"/>
      <c r="E20" s="103"/>
      <c r="F20" s="103"/>
      <c r="G20" s="104"/>
      <c r="H20" s="36"/>
      <c r="I20" s="37"/>
      <c r="J20" s="121"/>
      <c r="K20" s="122"/>
      <c r="L20" s="95"/>
      <c r="M20" s="94"/>
    </row>
  </sheetData>
  <mergeCells count="8">
    <mergeCell ref="L1:M1"/>
    <mergeCell ref="L8:M20"/>
    <mergeCell ref="A14:G20"/>
    <mergeCell ref="A1:E1"/>
    <mergeCell ref="H10:I19"/>
    <mergeCell ref="H1:I1"/>
    <mergeCell ref="J1:K1"/>
    <mergeCell ref="J8:K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EB347CADD54FF34FAA7FA9C8899965D9" ma:contentTypeVersion="1" ma:contentTypeDescription="Új dokumentum létrehozása." ma:contentTypeScope="" ma:versionID="b3c2e0c0e97bb892337f1f5bf72067b8">
  <xsd:schema xmlns:xsd="http://www.w3.org/2001/XMLSchema" xmlns:xs="http://www.w3.org/2001/XMLSchema" xmlns:p="http://schemas.microsoft.com/office/2006/metadata/properties" xmlns:ns2="48317048-fbf5-43a4-b5de-bfff98d4f78e" targetNamespace="http://schemas.microsoft.com/office/2006/metadata/properties" ma:root="true" ma:fieldsID="9d1c9be79b6320e37274804edf76be56" ns2:_="">
    <xsd:import namespace="48317048-fbf5-43a4-b5de-bfff98d4f78e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317048-fbf5-43a4-b5de-bfff98d4f7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169052-5E3E-4E47-BB5C-396CBED7819B}">
  <ds:schemaRefs>
    <ds:schemaRef ds:uri="http://schemas.microsoft.com/office/2006/metadata/properties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48317048-fbf5-43a4-b5de-bfff98d4f78e"/>
  </ds:schemaRefs>
</ds:datastoreItem>
</file>

<file path=customXml/itemProps2.xml><?xml version="1.0" encoding="utf-8"?>
<ds:datastoreItem xmlns:ds="http://schemas.openxmlformats.org/officeDocument/2006/customXml" ds:itemID="{F42CF842-3A08-4AF3-BAB7-59B70182C0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01694A-B39A-424C-B4DF-47E8369A7C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317048-fbf5-43a4-b5de-bfff98d4f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2</vt:i4>
      </vt:variant>
    </vt:vector>
  </HeadingPairs>
  <TitlesOfParts>
    <vt:vector size="5" baseType="lpstr">
      <vt:lpstr>FAKTOS</vt:lpstr>
      <vt:lpstr>EU_forrás</vt:lpstr>
      <vt:lpstr>Pénzügyi_forrás</vt:lpstr>
      <vt:lpstr>EU_forrás!Feltetelek</vt:lpstr>
      <vt:lpstr>EU_forrás!Kigyűjtés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2021-05-06T06:09:08Z</dcterms:created>
  <dcterms:modified xsi:type="dcterms:W3CDTF">2026-03-04T20:48:31Z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0x010100EB347CADD54FF34FAA7FA9C8899965D9</vt:lpwstr>
  </property>
</Properties>
</file>