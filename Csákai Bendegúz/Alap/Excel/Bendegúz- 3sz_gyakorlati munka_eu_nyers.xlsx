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24226"/>
  <xr:revisionPtr revIDLastSave="0" documentId="13_ncr:1_{8BC98B84-BE88-46DC-89F1-4DCA680D6DEB}" xr6:coauthVersionLast="36" xr6:coauthVersionMax="36" xr10:uidLastSave="{00000000-0000-0000-0000-000000000000}"/>
  <bookViews>
    <workbookView xWindow="0" yWindow="0" windowWidth="19200" windowHeight="14910" xr2:uid="{00000000-000D-0000-FFFF-FFFF00000000}"/>
  </bookViews>
  <sheets>
    <sheet name="EU_forrás" sheetId="18" r:id="rId1"/>
    <sheet name="Hu_forrás" sheetId="19" r:id="rId2"/>
    <sheet name="vallás_forrás" sheetId="21" r:id="rId3"/>
    <sheet name="vármegyék" sheetId="20" r:id="rId4"/>
  </sheets>
  <definedNames>
    <definedName name="_xlchart.v1.0" hidden="1">(vallás_forrás!$B$2,vallás_forrás!$C$2,vallás_forrás!$D$2)</definedName>
    <definedName name="_xlchart.v1.1" hidden="1">(vallás_forrás!$B$4,vallás_forrás!$C$4,vallás_forrás!$D$4)</definedName>
    <definedName name="_xlchart.v1.2" hidden="1">vallás_forrás!$A$2</definedName>
    <definedName name="_xlchart.v1.3" hidden="1">vallás_forrás!$A$4</definedName>
    <definedName name="_xlchart.v1.4" hidden="1">vallás_forrás!$B$1:$D$1</definedName>
    <definedName name="_xlchart.v1.5" hidden="1">(vallás_forrás!$B$2,vallás_forrás!$C$2,vallás_forrás!$D$2)</definedName>
    <definedName name="_xlchart.v1.6" hidden="1">(vallás_forrás!$B$4,vallás_forrás!$C$4,vallás_forrás!$D$4)</definedName>
    <definedName name="_xlchart.v1.7" hidden="1">vallás_forrás!$A$2</definedName>
    <definedName name="_xlchart.v1.8" hidden="1">vallás_forrás!$A$4</definedName>
    <definedName name="_xlchart.v1.9" hidden="1">vallás_forrás!$B$1:$D$1</definedName>
  </definedNames>
  <calcPr calcId="191029"/>
</workbook>
</file>

<file path=xl/calcChain.xml><?xml version="1.0" encoding="utf-8"?>
<calcChain xmlns="http://schemas.openxmlformats.org/spreadsheetml/2006/main">
  <c r="C11" i="21" l="1"/>
  <c r="D11" i="21"/>
  <c r="B11" i="21"/>
  <c r="C7" i="21"/>
  <c r="D7" i="21"/>
  <c r="B7" i="21"/>
  <c r="G24" i="20" l="1"/>
  <c r="F24" i="20"/>
  <c r="E24" i="20"/>
  <c r="B24" i="20"/>
  <c r="C24" i="20"/>
  <c r="D24" i="20"/>
  <c r="K3" i="18" l="1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" i="18"/>
  <c r="G23" i="18" l="1"/>
  <c r="G20" i="18"/>
  <c r="G10" i="18"/>
  <c r="G11" i="18"/>
  <c r="G2" i="18"/>
  <c r="G12" i="18"/>
  <c r="G8" i="18"/>
  <c r="G24" i="18"/>
  <c r="G4" i="18"/>
  <c r="G25" i="18"/>
  <c r="G22" i="18"/>
  <c r="G3" i="18"/>
  <c r="G13" i="18"/>
  <c r="G14" i="18"/>
  <c r="G15" i="18"/>
  <c r="G26" i="18"/>
  <c r="G16" i="18"/>
  <c r="G17" i="18"/>
  <c r="G27" i="18"/>
  <c r="G28" i="18"/>
  <c r="G5" i="18"/>
  <c r="G21" i="18"/>
  <c r="G6" i="18"/>
  <c r="G9" i="18"/>
  <c r="G18" i="18"/>
  <c r="G19" i="18"/>
  <c r="G7" i="18"/>
  <c r="E23" i="18"/>
  <c r="E20" i="18"/>
  <c r="E10" i="18"/>
  <c r="E11" i="18"/>
  <c r="E2" i="18"/>
  <c r="E12" i="18"/>
  <c r="E8" i="18"/>
  <c r="E24" i="18"/>
  <c r="E4" i="18"/>
  <c r="E25" i="18"/>
  <c r="E22" i="18"/>
  <c r="E3" i="18"/>
  <c r="E13" i="18"/>
  <c r="E14" i="18"/>
  <c r="E15" i="18"/>
  <c r="E26" i="18"/>
  <c r="E16" i="18"/>
  <c r="E17" i="18"/>
  <c r="E27" i="18"/>
  <c r="E28" i="18"/>
  <c r="E5" i="18"/>
  <c r="E21" i="18"/>
  <c r="E6" i="18"/>
  <c r="E9" i="18"/>
  <c r="E18" i="18"/>
  <c r="E19" i="18"/>
  <c r="E7" i="18"/>
</calcChain>
</file>

<file path=xl/sharedStrings.xml><?xml version="1.0" encoding="utf-8"?>
<sst xmlns="http://schemas.openxmlformats.org/spreadsheetml/2006/main" count="120" uniqueCount="113">
  <si>
    <t>Ország</t>
  </si>
  <si>
    <t>Főváros</t>
  </si>
  <si>
    <t>Ausztria</t>
  </si>
  <si>
    <t>Belgium</t>
  </si>
  <si>
    <t>Dánia</t>
  </si>
  <si>
    <t>Finnország</t>
  </si>
  <si>
    <t>Franciaország</t>
  </si>
  <si>
    <t>Görögország</t>
  </si>
  <si>
    <t>Hollandia</t>
  </si>
  <si>
    <t>Írország</t>
  </si>
  <si>
    <t>Luxemburg</t>
  </si>
  <si>
    <t>Németország</t>
  </si>
  <si>
    <t>Olaszország</t>
  </si>
  <si>
    <t>Portugália</t>
  </si>
  <si>
    <t>Spanyolország</t>
  </si>
  <si>
    <t>Svédország</t>
  </si>
  <si>
    <t>Ciprus</t>
  </si>
  <si>
    <t>Csehország</t>
  </si>
  <si>
    <t>Észtország</t>
  </si>
  <si>
    <t>Lengyelország</t>
  </si>
  <si>
    <t>Lettország</t>
  </si>
  <si>
    <t>Litvánia</t>
  </si>
  <si>
    <t>Magyarország</t>
  </si>
  <si>
    <t>Málta</t>
  </si>
  <si>
    <t>Szlovákia</t>
  </si>
  <si>
    <t>Szlovénia</t>
  </si>
  <si>
    <t>Bulgária</t>
  </si>
  <si>
    <t>Románia</t>
  </si>
  <si>
    <t>Horvátország</t>
  </si>
  <si>
    <t>Bécs</t>
  </si>
  <si>
    <t>Brüsszel</t>
  </si>
  <si>
    <t>Szófia</t>
  </si>
  <si>
    <t>Nicosia</t>
  </si>
  <si>
    <t>Prága</t>
  </si>
  <si>
    <t>Koppenhága</t>
  </si>
  <si>
    <t>Tallinn</t>
  </si>
  <si>
    <t>Helsinki</t>
  </si>
  <si>
    <t>Párizs</t>
  </si>
  <si>
    <t>Athén</t>
  </si>
  <si>
    <t>Amszterdam</t>
  </si>
  <si>
    <t>Zágráb</t>
  </si>
  <si>
    <t>Dublin</t>
  </si>
  <si>
    <t>Varsó</t>
  </si>
  <si>
    <t>Riga</t>
  </si>
  <si>
    <t>Vilnius</t>
  </si>
  <si>
    <t>Luxembourg</t>
  </si>
  <si>
    <t>Budapest</t>
  </si>
  <si>
    <t>Berlin</t>
  </si>
  <si>
    <t>Róma</t>
  </si>
  <si>
    <t>Lisszabon</t>
  </si>
  <si>
    <t>Bukarest</t>
  </si>
  <si>
    <t>Madrid</t>
  </si>
  <si>
    <t>Stockholm</t>
  </si>
  <si>
    <t>Pozsony</t>
  </si>
  <si>
    <t>Ljubljana</t>
  </si>
  <si>
    <t>Valletta</t>
  </si>
  <si>
    <r>
      <t>Terület
ezer km</t>
    </r>
    <r>
      <rPr>
        <vertAlign val="superscript"/>
        <sz val="10"/>
        <rFont val="Arial"/>
        <family val="2"/>
        <charset val="238"/>
      </rPr>
      <t>2</t>
    </r>
  </si>
  <si>
    <t>Népesség
millió fő</t>
  </si>
  <si>
    <t>GDP
mrd €</t>
  </si>
  <si>
    <r>
      <t>Néps
fő/km</t>
    </r>
    <r>
      <rPr>
        <vertAlign val="superscript"/>
        <sz val="10"/>
        <rFont val="Arial"/>
        <family val="2"/>
        <charset val="238"/>
      </rPr>
      <t>2</t>
    </r>
  </si>
  <si>
    <t>Sz.v.ét.
év</t>
  </si>
  <si>
    <t>GDP
egy főre (€)</t>
  </si>
  <si>
    <t>Belépés</t>
  </si>
  <si>
    <t>alapító</t>
  </si>
  <si>
    <t>Főv. nép.
ezer fő</t>
  </si>
  <si>
    <t>—    </t>
  </si>
  <si>
    <t>−0,15%</t>
  </si>
  <si>
    <t>−0,32%</t>
  </si>
  <si>
    <t>−0,16%</t>
  </si>
  <si>
    <t>−0,26%</t>
  </si>
  <si>
    <t>−0,23%</t>
  </si>
  <si>
    <t>Év</t>
  </si>
  <si>
    <t>Népesség</t>
  </si>
  <si>
    <t>Átl. vált.(%)  </t>
  </si>
  <si>
    <t>Magyarország népességének változása 1870-2022 között</t>
  </si>
  <si>
    <t>Népesség ezer fő</t>
  </si>
  <si>
    <t>Vármegye</t>
  </si>
  <si>
    <t>Járás</t>
  </si>
  <si>
    <t>Település</t>
  </si>
  <si>
    <t>Terület</t>
  </si>
  <si>
    <t>össz.</t>
  </si>
  <si>
    <t>Bács-Kiskun</t>
  </si>
  <si>
    <t>Baranya</t>
  </si>
  <si>
    <t>Békés</t>
  </si>
  <si>
    <t>Borsod-Abaúj-Zemplén</t>
  </si>
  <si>
    <t>Csongrád-Csanád</t>
  </si>
  <si>
    <t>Fejér</t>
  </si>
  <si>
    <t>Győr-Moson-Sopron</t>
  </si>
  <si>
    <t>Hajdú-Bihar</t>
  </si>
  <si>
    <t>Heves</t>
  </si>
  <si>
    <t>Jász-Nagykun-Szolnok</t>
  </si>
  <si>
    <t>Komárom-Esztergom</t>
  </si>
  <si>
    <t>Nógrád</t>
  </si>
  <si>
    <t>Pest</t>
  </si>
  <si>
    <t>Somogy</t>
  </si>
  <si>
    <t>Szabolcs-Szatmár-Bereg</t>
  </si>
  <si>
    <t>Tolna</t>
  </si>
  <si>
    <t>Vas</t>
  </si>
  <si>
    <t>Veszprém</t>
  </si>
  <si>
    <t>Zala</t>
  </si>
  <si>
    <t>ebből város</t>
  </si>
  <si>
    <t>Népsűrűség</t>
  </si>
  <si>
    <t>Összesen</t>
  </si>
  <si>
    <t>Felekezet</t>
  </si>
  <si>
    <t xml:space="preserve">római katolikus </t>
  </si>
  <si>
    <t xml:space="preserve">görög katolikus </t>
  </si>
  <si>
    <t xml:space="preserve">református </t>
  </si>
  <si>
    <t xml:space="preserve">evangélikus </t>
  </si>
  <si>
    <t>más felekezet</t>
  </si>
  <si>
    <t>egyházhoz nem tartozó</t>
  </si>
  <si>
    <t>nem válaszolt</t>
  </si>
  <si>
    <t>egyházhoz tartozó</t>
  </si>
  <si>
    <t>Lakosság összesen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</si>
</sst>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F_t_-;\-* #,##0.00\ _F_t_-;_-* &quot;-&quot;??\ _F_t_-;_-@_-"/>
    <numFmt numFmtId="164" formatCode="0.0"/>
    <numFmt numFmtId="165" formatCode="0&quot; fő&quot;"/>
    <numFmt numFmtId="166" formatCode="0.000"/>
    <numFmt numFmtId="167" formatCode="_-* #,##0\ _F_t_-;\-* #,##0\ _F_t_-;_-* &quot;-&quot;??\ _F_t_-;_-@_-"/>
  </numFmts>
  <fonts count="16" x14ac:knownFonts="1">
    <font>
      <sz val="10"/>
      <name val="Arial"/>
      <charset val="238"/>
    </font>
    <font>
      <sz val="10"/>
      <name val="Arial"/>
      <family val="2"/>
      <charset val="238"/>
    </font>
    <font>
      <vertAlign val="superscript"/>
      <sz val="10"/>
      <name val="Arial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b/>
      <i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0"/>
      <color rgb="FF202122"/>
      <name val="Arial"/>
      <family val="2"/>
      <charset val="238"/>
    </font>
    <font>
      <sz val="10"/>
      <color rgb="FF202122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2"/>
      <name val="Cambria"/>
      <family val="1"/>
      <charset val="238"/>
      <scheme val="major"/>
    </font>
    <font>
      <sz val="14"/>
      <name val="Cambria"/>
      <family val="1"/>
      <charset val="238"/>
      <scheme val="major"/>
    </font>
    <font>
      <sz val="10"/>
      <name val="Arial"/>
      <charset val="238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12" fillId="7" borderId="0" applyNumberFormat="0" applyBorder="0" applyAlignment="0" applyProtection="0"/>
    <xf numFmtId="9" fontId="15" fillId="0" borderId="0" applyFont="0" applyFill="0" applyBorder="0" applyAlignment="0" applyProtection="0"/>
  </cellStyleXfs>
  <cellXfs count="81">
    <xf numFmtId="0" fontId="0" fillId="0" borderId="0" xfId="0"/>
    <xf numFmtId="0" fontId="0" fillId="2" borderId="1" xfId="0" applyNumberForma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1" xfId="0" applyNumberFormat="1" applyBorder="1"/>
    <xf numFmtId="0" fontId="0" fillId="0" borderId="0" xfId="0" applyNumberFormat="1"/>
    <xf numFmtId="2" fontId="1" fillId="2" borderId="1" xfId="0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0" borderId="1" xfId="0" applyNumberFormat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  <xf numFmtId="1" fontId="1" fillId="2" borderId="1" xfId="0" applyNumberFormat="1" applyFon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164" fontId="3" fillId="3" borderId="1" xfId="0" applyNumberFormat="1" applyFont="1" applyFill="1" applyBorder="1"/>
    <xf numFmtId="1" fontId="3" fillId="3" borderId="1" xfId="0" applyNumberFormat="1" applyFont="1" applyFill="1" applyBorder="1"/>
    <xf numFmtId="2" fontId="8" fillId="4" borderId="1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right"/>
    </xf>
    <xf numFmtId="2" fontId="5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left" vertical="center"/>
    </xf>
    <xf numFmtId="1" fontId="8" fillId="4" borderId="1" xfId="0" applyNumberFormat="1" applyFont="1" applyFill="1" applyBorder="1" applyAlignment="1">
      <alignment horizontal="left" vertical="center"/>
    </xf>
    <xf numFmtId="1" fontId="8" fillId="4" borderId="1" xfId="2" applyNumberFormat="1" applyFont="1" applyFill="1" applyBorder="1" applyAlignment="1">
      <alignment horizontal="left" vertical="center"/>
    </xf>
    <xf numFmtId="2" fontId="8" fillId="4" borderId="1" xfId="0" applyNumberFormat="1" applyFont="1" applyFill="1" applyBorder="1" applyAlignment="1"/>
    <xf numFmtId="2" fontId="5" fillId="4" borderId="0" xfId="0" applyNumberFormat="1" applyFont="1" applyFill="1" applyAlignment="1">
      <alignment horizontal="center" vertical="center"/>
    </xf>
    <xf numFmtId="166" fontId="8" fillId="4" borderId="1" xfId="0" applyNumberFormat="1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left" vertical="center"/>
    </xf>
    <xf numFmtId="0" fontId="1" fillId="4" borderId="1" xfId="0" applyNumberFormat="1" applyFont="1" applyFill="1" applyBorder="1"/>
    <xf numFmtId="2" fontId="0" fillId="2" borderId="2" xfId="0" applyNumberForma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0" fontId="0" fillId="4" borderId="1" xfId="0" applyNumberFormat="1" applyFill="1" applyBorder="1" applyAlignment="1">
      <alignment horizontal="center" vertical="center" wrapText="1"/>
    </xf>
    <xf numFmtId="0" fontId="7" fillId="4" borderId="1" xfId="0" applyNumberFormat="1" applyFont="1" applyFill="1" applyBorder="1"/>
    <xf numFmtId="0" fontId="0" fillId="4" borderId="1" xfId="0" applyNumberFormat="1" applyFill="1" applyBorder="1"/>
    <xf numFmtId="0" fontId="6" fillId="4" borderId="1" xfId="0" applyNumberFormat="1" applyFont="1" applyFill="1" applyBorder="1" applyAlignment="1">
      <alignment horizontal="right"/>
    </xf>
    <xf numFmtId="0" fontId="7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/>
    </xf>
    <xf numFmtId="0" fontId="9" fillId="4" borderId="1" xfId="0" applyNumberFormat="1" applyFont="1" applyFill="1" applyBorder="1"/>
    <xf numFmtId="0" fontId="0" fillId="4" borderId="1" xfId="0" applyNumberFormat="1" applyFont="1" applyFill="1" applyBorder="1"/>
    <xf numFmtId="166" fontId="3" fillId="4" borderId="1" xfId="0" applyNumberFormat="1" applyFont="1" applyFill="1" applyBorder="1" applyAlignment="1">
      <alignment horizontal="left" vertical="center"/>
    </xf>
    <xf numFmtId="0" fontId="1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/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horizontal="center" vertical="center" wrapText="1"/>
    </xf>
    <xf numFmtId="10" fontId="11" fillId="5" borderId="1" xfId="0" applyNumberFormat="1" applyFont="1" applyFill="1" applyBorder="1" applyAlignment="1">
      <alignment horizontal="center" vertical="center" wrapText="1"/>
    </xf>
    <xf numFmtId="167" fontId="11" fillId="5" borderId="1" xfId="2" applyNumberFormat="1" applyFont="1" applyFill="1" applyBorder="1" applyAlignment="1">
      <alignment horizontal="center" vertical="center" wrapText="1"/>
    </xf>
    <xf numFmtId="2" fontId="0" fillId="4" borderId="0" xfId="0" applyNumberFormat="1" applyFill="1"/>
    <xf numFmtId="2" fontId="0" fillId="4" borderId="0" xfId="0" applyNumberFormat="1" applyFill="1" applyAlignment="1">
      <alignment horizontal="center" vertical="center"/>
    </xf>
    <xf numFmtId="164" fontId="0" fillId="4" borderId="0" xfId="0" applyNumberFormat="1" applyFill="1"/>
    <xf numFmtId="10" fontId="11" fillId="5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/>
    <xf numFmtId="0" fontId="13" fillId="8" borderId="1" xfId="0" applyFont="1" applyFill="1" applyBorder="1"/>
    <xf numFmtId="0" fontId="13" fillId="8" borderId="1" xfId="0" applyFont="1" applyFill="1" applyBorder="1" applyAlignment="1">
      <alignment horizontal="center" vertical="center"/>
    </xf>
    <xf numFmtId="167" fontId="13" fillId="8" borderId="1" xfId="2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/>
    </xf>
    <xf numFmtId="0" fontId="14" fillId="3" borderId="1" xfId="0" applyFont="1" applyFill="1" applyBorder="1"/>
    <xf numFmtId="0" fontId="14" fillId="3" borderId="1" xfId="3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8" borderId="1" xfId="0" applyFont="1" applyFill="1" applyBorder="1"/>
    <xf numFmtId="167" fontId="14" fillId="8" borderId="1" xfId="2" applyNumberFormat="1" applyFont="1" applyFill="1" applyBorder="1" applyAlignment="1">
      <alignment vertical="center"/>
    </xf>
    <xf numFmtId="167" fontId="14" fillId="8" borderId="1" xfId="2" applyNumberFormat="1" applyFont="1" applyFill="1" applyBorder="1"/>
    <xf numFmtId="3" fontId="14" fillId="8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7" fillId="4" borderId="1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2" fontId="0" fillId="0" borderId="2" xfId="4" applyNumberFormat="1" applyFont="1" applyBorder="1" applyAlignment="1">
      <alignment horizontal="center"/>
    </xf>
  </cellXfs>
  <cellStyles count="5">
    <cellStyle name="Ezres" xfId="2" builtinId="3"/>
    <cellStyle name="Jelölőszín 6" xfId="3" builtinId="49"/>
    <cellStyle name="Normál" xfId="0" builtinId="0"/>
    <cellStyle name="Normál 2" xfId="1" xr:uid="{00000000-0005-0000-0000-000002000000}"/>
    <cellStyle name="Százalék" xfId="4" builtinId="5"/>
  </cellStyles>
  <dxfs count="0"/>
  <tableStyles count="0" defaultTableStyle="TableStyleMedium9" defaultPivotStyle="PivotStyleLight16"/>
  <colors>
    <mruColors>
      <color rgb="FF993300"/>
      <color rgb="FFFF33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hu-HU" sz="1600" b="1">
                <a:solidFill>
                  <a:schemeClr val="tx2"/>
                </a:solidFill>
              </a:rPr>
              <a:t>2000</a:t>
            </a:r>
            <a:r>
              <a:rPr lang="hu-HU" sz="1600" b="1" baseline="0">
                <a:solidFill>
                  <a:schemeClr val="tx2"/>
                </a:solidFill>
              </a:rPr>
              <a:t> után belépett országok </a:t>
            </a:r>
          </a:p>
          <a:p>
            <a:pPr>
              <a:defRPr b="1">
                <a:solidFill>
                  <a:schemeClr val="tx2"/>
                </a:solidFill>
              </a:defRPr>
            </a:pPr>
            <a:r>
              <a:rPr lang="hu-HU" sz="1600" b="1" baseline="0">
                <a:solidFill>
                  <a:schemeClr val="tx2"/>
                </a:solidFill>
              </a:rPr>
              <a:t>egy főre jutó GDP-je</a:t>
            </a:r>
            <a:endParaRPr lang="hu-HU" sz="16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9311523699723143"/>
          <c:y val="0.2242783021801637"/>
          <c:w val="0.77205760193057649"/>
          <c:h val="0.673873677764435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EU_forrás!$G$1</c:f>
              <c:strCache>
                <c:ptCount val="1"/>
                <c:pt idx="0">
                  <c:v>GDP
egy főre (€)</c:v>
                </c:pt>
              </c:strCache>
            </c:strRef>
          </c:tx>
          <c:spPr>
            <a:solidFill>
              <a:schemeClr val="accent5"/>
            </a:solidFill>
            <a:ln w="25400">
              <a:solidFill>
                <a:schemeClr val="tx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EU_forrás!$A$10:$A$22</c:f>
              <c:strCache>
                <c:ptCount val="13"/>
                <c:pt idx="0">
                  <c:v>Ciprus</c:v>
                </c:pt>
                <c:pt idx="1">
                  <c:v>Csehország</c:v>
                </c:pt>
                <c:pt idx="2">
                  <c:v>Észtország</c:v>
                </c:pt>
                <c:pt idx="3">
                  <c:v>Lengyelország</c:v>
                </c:pt>
                <c:pt idx="4">
                  <c:v>Lettország</c:v>
                </c:pt>
                <c:pt idx="5">
                  <c:v>Litvánia</c:v>
                </c:pt>
                <c:pt idx="6">
                  <c:v>Magyarország</c:v>
                </c:pt>
                <c:pt idx="7">
                  <c:v>Málta</c:v>
                </c:pt>
                <c:pt idx="8">
                  <c:v>Szlovákia</c:v>
                </c:pt>
                <c:pt idx="9">
                  <c:v>Szlovénia</c:v>
                </c:pt>
                <c:pt idx="10">
                  <c:v>Bulgária</c:v>
                </c:pt>
                <c:pt idx="11">
                  <c:v>Románia</c:v>
                </c:pt>
                <c:pt idx="12">
                  <c:v>Horvátország</c:v>
                </c:pt>
              </c:strCache>
            </c:strRef>
          </c:cat>
          <c:val>
            <c:numRef>
              <c:f>EU_forrás!$G$10:$G$22</c:f>
              <c:numCache>
                <c:formatCode>0</c:formatCode>
                <c:ptCount val="13"/>
                <c:pt idx="0">
                  <c:v>24294.450887115589</c:v>
                </c:pt>
                <c:pt idx="1">
                  <c:v>19526.971396231467</c:v>
                </c:pt>
                <c:pt idx="2">
                  <c:v>19694.669423144278</c:v>
                </c:pt>
                <c:pt idx="3">
                  <c:v>13103.183036096352</c:v>
                </c:pt>
                <c:pt idx="4">
                  <c:v>15077.050645141539</c:v>
                </c:pt>
                <c:pt idx="5">
                  <c:v>16156.953507406453</c:v>
                </c:pt>
                <c:pt idx="6">
                  <c:v>13685.368946487386</c:v>
                </c:pt>
                <c:pt idx="7">
                  <c:v>25592.30753358232</c:v>
                </c:pt>
                <c:pt idx="8">
                  <c:v>16451.196497888381</c:v>
                </c:pt>
                <c:pt idx="9">
                  <c:v>22062.265477406272</c:v>
                </c:pt>
                <c:pt idx="10">
                  <c:v>7983.8583056573225</c:v>
                </c:pt>
                <c:pt idx="11">
                  <c:v>10512.63616910282</c:v>
                </c:pt>
                <c:pt idx="12">
                  <c:v>12619.589476077217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3-4CC5-9EB4-0C5EE1E379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1381983"/>
        <c:axId val="371796287"/>
      </c:barChart>
      <c:catAx>
        <c:axId val="37138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71796287"/>
        <c:crosses val="autoZero"/>
        <c:auto val="0"/>
        <c:lblAlgn val="ctr"/>
        <c:lblOffset val="100"/>
        <c:noMultiLvlLbl val="0"/>
      </c:catAx>
      <c:valAx>
        <c:axId val="3717962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050"/>
                  <a:t>GDP</a:t>
                </a:r>
                <a:r>
                  <a:rPr lang="hu-HU" sz="1050" baseline="0"/>
                  <a:t> </a:t>
                </a:r>
                <a:r>
                  <a:rPr lang="hu-HU" sz="1050"/>
                  <a:t>egy főre (Euró)</a:t>
                </a:r>
              </a:p>
            </c:rich>
          </c:tx>
          <c:layout>
            <c:manualLayout>
              <c:xMode val="edge"/>
              <c:yMode val="edge"/>
              <c:x val="0.38018569326691004"/>
              <c:y val="0.902488247476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l"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" sourceLinked="1"/>
        <c:majorTickMark val="none"/>
        <c:minorTickMark val="none"/>
        <c:tickLblPos val="nextTo"/>
        <c:crossAx val="37138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381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="1">
                <a:solidFill>
                  <a:schemeClr val="tx2"/>
                </a:solidFill>
              </a:rPr>
              <a:t>Az</a:t>
            </a:r>
            <a:r>
              <a:rPr lang="hu-HU" b="1" baseline="0">
                <a:solidFill>
                  <a:schemeClr val="tx2"/>
                </a:solidFill>
              </a:rPr>
              <a:t> EU alapító országainak népessége</a:t>
            </a:r>
            <a:endParaRPr lang="hu-HU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165D-465C-9BBB-C825B92748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65D-465C-9BBB-C825B92748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165D-465C-9BBB-C825B92748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65D-465C-9BBB-C825B92748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635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65D-465C-9BBB-C825B92748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165D-465C-9BBB-C825B927486F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(EU_forrás!$A$23,EU_forrás!$A$24,EU_forrás!$A$25,EU_forrás!$A$26,EU_forrás!$A$27,EU_forrás!$A$28)</c:f>
              <c:strCache>
                <c:ptCount val="6"/>
                <c:pt idx="0">
                  <c:v>Belgium</c:v>
                </c:pt>
                <c:pt idx="1">
                  <c:v>Franciaország</c:v>
                </c:pt>
                <c:pt idx="2">
                  <c:v>Hollandia</c:v>
                </c:pt>
                <c:pt idx="3">
                  <c:v>Luxemburg</c:v>
                </c:pt>
                <c:pt idx="4">
                  <c:v>Németország</c:v>
                </c:pt>
                <c:pt idx="5">
                  <c:v>Olaszország</c:v>
                </c:pt>
              </c:strCache>
            </c:strRef>
          </c:cat>
          <c:val>
            <c:numRef>
              <c:f>EU_forrás!$D$23:$D$28</c:f>
              <c:numCache>
                <c:formatCode>0.00</c:formatCode>
                <c:ptCount val="6"/>
                <c:pt idx="0">
                  <c:v>11.433256</c:v>
                </c:pt>
                <c:pt idx="1">
                  <c:v>66.977107000000004</c:v>
                </c:pt>
                <c:pt idx="2">
                  <c:v>17.231624</c:v>
                </c:pt>
                <c:pt idx="3">
                  <c:v>0.60794999999999999</c:v>
                </c:pt>
                <c:pt idx="4">
                  <c:v>82.905782000000002</c:v>
                </c:pt>
                <c:pt idx="5">
                  <c:v>60.421759999999999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D-465C-9BBB-C825B927486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3175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1750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Hu_forrás!$A$3:$A$18</c:f>
              <c:numCache>
                <c:formatCode>General</c:formatCode>
                <c:ptCount val="16"/>
                <c:pt idx="0">
                  <c:v>1870</c:v>
                </c:pt>
                <c:pt idx="1">
                  <c:v>1880</c:v>
                </c:pt>
                <c:pt idx="2">
                  <c:v>1890</c:v>
                </c:pt>
                <c:pt idx="3">
                  <c:v>1900</c:v>
                </c:pt>
                <c:pt idx="4">
                  <c:v>1910</c:v>
                </c:pt>
                <c:pt idx="5">
                  <c:v>1920</c:v>
                </c:pt>
                <c:pt idx="6">
                  <c:v>1930</c:v>
                </c:pt>
                <c:pt idx="7">
                  <c:v>1940</c:v>
                </c:pt>
                <c:pt idx="8">
                  <c:v>1950</c:v>
                </c:pt>
                <c:pt idx="9">
                  <c:v>1960</c:v>
                </c:pt>
                <c:pt idx="10">
                  <c:v>1970</c:v>
                </c:pt>
                <c:pt idx="11">
                  <c:v>1980</c:v>
                </c:pt>
                <c:pt idx="12">
                  <c:v>1990</c:v>
                </c:pt>
                <c:pt idx="13">
                  <c:v>2001</c:v>
                </c:pt>
                <c:pt idx="14">
                  <c:v>2011</c:v>
                </c:pt>
                <c:pt idx="15">
                  <c:v>2022</c:v>
                </c:pt>
              </c:numCache>
            </c:numRef>
          </c:xVal>
          <c:yVal>
            <c:numRef>
              <c:f>Hu_forrás!$B$3:$B$18</c:f>
              <c:numCache>
                <c:formatCode>_-* #\ ##0\ _F_t_-;\-* #\ ##0\ _F_t_-;_-* "-"??\ _F_t_-;_-@_-</c:formatCode>
                <c:ptCount val="16"/>
                <c:pt idx="0">
                  <c:v>5010000</c:v>
                </c:pt>
                <c:pt idx="1">
                  <c:v>5329000</c:v>
                </c:pt>
                <c:pt idx="2">
                  <c:v>6010000</c:v>
                </c:pt>
                <c:pt idx="3">
                  <c:v>6855000</c:v>
                </c:pt>
                <c:pt idx="4">
                  <c:v>7612000</c:v>
                </c:pt>
                <c:pt idx="5">
                  <c:v>7987000</c:v>
                </c:pt>
                <c:pt idx="6">
                  <c:v>8685000</c:v>
                </c:pt>
                <c:pt idx="7">
                  <c:v>9316000</c:v>
                </c:pt>
                <c:pt idx="8">
                  <c:v>9205000</c:v>
                </c:pt>
                <c:pt idx="9">
                  <c:v>9961000</c:v>
                </c:pt>
                <c:pt idx="10">
                  <c:v>10301000</c:v>
                </c:pt>
                <c:pt idx="11">
                  <c:v>10710000</c:v>
                </c:pt>
                <c:pt idx="12">
                  <c:v>10375000</c:v>
                </c:pt>
                <c:pt idx="13">
                  <c:v>10198000</c:v>
                </c:pt>
                <c:pt idx="14">
                  <c:v>9938000</c:v>
                </c:pt>
                <c:pt idx="15">
                  <c:v>9689000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B-4913-93EF-846763B57F9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27965503"/>
        <c:axId val="991909263"/>
      </c:scatterChart>
      <c:valAx>
        <c:axId val="927965503"/>
        <c:scaling>
          <c:orientation val="minMax"/>
          <c:max val="2025"/>
          <c:min val="187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91909263"/>
        <c:crosses val="autoZero"/>
        <c:crossBetween val="midCat"/>
        <c:majorUnit val="5"/>
        <c:minorUnit val="5"/>
      </c:valAx>
      <c:valAx>
        <c:axId val="991909263"/>
        <c:scaling>
          <c:orientation val="minMax"/>
          <c:min val="500000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Lakosság</a:t>
                </a:r>
                <a:r>
                  <a:rPr lang="hu-HU" baseline="0"/>
                  <a:t> száma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27965503"/>
        <c:crosses val="autoZero"/>
        <c:crossBetween val="midCat"/>
      </c:valAx>
      <c:spPr>
        <a:solidFill>
          <a:schemeClr val="accent3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</a:t>
            </a:r>
            <a:r>
              <a:rPr lang="hu-HU" baseline="0"/>
              <a:t> katolikus és református vallásúak száma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vallás_forrás!$A$2</c:f>
              <c:strCache>
                <c:ptCount val="1"/>
                <c:pt idx="0">
                  <c:v>római katolikus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15875">
              <a:solidFill>
                <a:srgbClr val="002060"/>
              </a:solidFill>
            </a:ln>
            <a:effectLst/>
          </c:spPr>
          <c:cat>
            <c:numRef>
              <c:f>vallás_forrás!$B$1:$D$1</c:f>
              <c:numCache>
                <c:formatCode>General</c:formatCode>
                <c:ptCount val="3"/>
                <c:pt idx="0">
                  <c:v>2001</c:v>
                </c:pt>
                <c:pt idx="1">
                  <c:v>2011</c:v>
                </c:pt>
                <c:pt idx="2">
                  <c:v>2022</c:v>
                </c:pt>
              </c:numCache>
            </c:numRef>
          </c:cat>
          <c:val>
            <c:numRef>
              <c:f>(vallás_forrás!$B$2,vallás_forrás!$C$2,vallás_forrás!$D$2)</c:f>
              <c:numCache>
                <c:formatCode>_-* #\ ##0\ _F_t_-;\-* #\ ##0\ _F_t_-;_-* "-"??\ _F_t_-;_-@_-</c:formatCode>
                <c:ptCount val="3"/>
                <c:pt idx="0">
                  <c:v>5289521</c:v>
                </c:pt>
                <c:pt idx="1">
                  <c:v>3691348</c:v>
                </c:pt>
                <c:pt idx="2">
                  <c:v>2721484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5-4B67-8A96-7E8B70D8A588}"/>
            </c:ext>
          </c:extLst>
        </c:ser>
        <c:ser>
          <c:idx val="1"/>
          <c:order val="1"/>
          <c:tx>
            <c:strRef>
              <c:f>vallás_forrás!$A$4</c:f>
              <c:strCache>
                <c:ptCount val="1"/>
                <c:pt idx="0">
                  <c:v>református 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chemeClr val="accent2">
                  <a:lumMod val="50000"/>
                </a:schemeClr>
              </a:solidFill>
            </a:ln>
            <a:effectLst/>
          </c:spPr>
          <c:cat>
            <c:numRef>
              <c:f>vallás_forrás!$B$1:$D$1</c:f>
              <c:numCache>
                <c:formatCode>General</c:formatCode>
                <c:ptCount val="3"/>
                <c:pt idx="0">
                  <c:v>2001</c:v>
                </c:pt>
                <c:pt idx="1">
                  <c:v>2011</c:v>
                </c:pt>
                <c:pt idx="2">
                  <c:v>2022</c:v>
                </c:pt>
              </c:numCache>
            </c:numRef>
          </c:cat>
          <c:val>
            <c:numRef>
              <c:f>(vallás_forrás!$B$4,vallás_forrás!$C$4,vallás_forrás!$D$4)</c:f>
              <c:numCache>
                <c:formatCode>_-* #\ ##0\ _F_t_-;\-* #\ ##0\ _F_t_-;_-* "-"??\ _F_t_-;_-@_-</c:formatCode>
                <c:ptCount val="3"/>
                <c:pt idx="0">
                  <c:v>1622796</c:v>
                </c:pt>
                <c:pt idx="1">
                  <c:v>1153442</c:v>
                </c:pt>
                <c:pt idx="2">
                  <c:v>943982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5-4B67-8A96-7E8B70D8A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76671"/>
        <c:axId val="196546943"/>
      </c:areaChart>
      <c:catAx>
        <c:axId val="472776671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6546943"/>
        <c:crosses val="autoZero"/>
        <c:auto val="1"/>
        <c:lblAlgn val="ctr"/>
        <c:lblOffset val="100"/>
        <c:noMultiLvlLbl val="0"/>
      </c:catAx>
      <c:valAx>
        <c:axId val="196546943"/>
        <c:scaling>
          <c:orientation val="minMax"/>
          <c:max val="5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F_t_-;\-* #\ ##0\ _F_t_-;_-* &quot;-&quot;??\ _F_t_-;_-@_-" sourceLinked="1"/>
        <c:majorTickMark val="none"/>
        <c:minorTickMark val="none"/>
        <c:tickLblPos val="nextTo"/>
        <c:spPr>
          <a:noFill/>
          <a:ln>
            <a:solidFill>
              <a:srgbClr val="00206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72776671"/>
        <c:crosses val="autoZero"/>
        <c:crossBetween val="midCat"/>
        <c:majorUnit val="500000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Egyházi</a:t>
            </a:r>
            <a:r>
              <a:rPr lang="hu-HU" baseline="0"/>
              <a:t> statisztikai adatok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vallás_forrás!$A$11</c:f>
              <c:strCache>
                <c:ptCount val="1"/>
                <c:pt idx="0">
                  <c:v>Lakosság összesen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val>
            <c:numRef>
              <c:f>vallás_forrás!$B$11:$D$11</c:f>
              <c:numCache>
                <c:formatCode>#,##0</c:formatCode>
                <c:ptCount val="3"/>
                <c:pt idx="0">
                  <c:v>10197810</c:v>
                </c:pt>
                <c:pt idx="1">
                  <c:v>9936271</c:v>
                </c:pt>
                <c:pt idx="2">
                  <c:v>9603634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5-417F-907C-465B8E87F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017183"/>
        <c:axId val="921173679"/>
      </c:areaChart>
      <c:barChart>
        <c:barDir val="col"/>
        <c:grouping val="clustered"/>
        <c:varyColors val="0"/>
        <c:ser>
          <c:idx val="0"/>
          <c:order val="0"/>
          <c:tx>
            <c:strRef>
              <c:f>vallás_forrás!$A$7</c:f>
              <c:strCache>
                <c:ptCount val="1"/>
                <c:pt idx="0">
                  <c:v>egyházhoz tartozó</c:v>
                </c:pt>
              </c:strCache>
            </c:strRef>
          </c:tx>
          <c:spPr>
            <a:solidFill>
              <a:srgbClr val="993300"/>
            </a:solidFill>
            <a:ln w="19050">
              <a:solidFill>
                <a:srgbClr val="C00000"/>
              </a:solidFill>
            </a:ln>
            <a:effectLst/>
          </c:spPr>
          <c:invertIfNegative val="0"/>
          <c:cat>
            <c:numRef>
              <c:f>vallás_forrás!$B$1:$D$1</c:f>
              <c:numCache>
                <c:formatCode>General</c:formatCode>
                <c:ptCount val="3"/>
                <c:pt idx="0">
                  <c:v>2001</c:v>
                </c:pt>
                <c:pt idx="1">
                  <c:v>2011</c:v>
                </c:pt>
                <c:pt idx="2">
                  <c:v>2022</c:v>
                </c:pt>
              </c:numCache>
            </c:numRef>
          </c:cat>
          <c:val>
            <c:numRef>
              <c:f>vallás_forrás!$B$7:$D$7</c:f>
              <c:numCache>
                <c:formatCode>_-* #\ ##0\ _F_t_-;\-* #\ ##0\ _F_t_-;_-* "-"??\ _F_t_-;_-@_-</c:formatCode>
                <c:ptCount val="3"/>
                <c:pt idx="0">
                  <c:v>7610108</c:v>
                </c:pt>
                <c:pt idx="1">
                  <c:v>5430837</c:v>
                </c:pt>
                <c:pt idx="2">
                  <c:v>4201491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5-417F-907C-465B8E87F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923017183"/>
        <c:axId val="921173679"/>
      </c:barChart>
      <c:lineChart>
        <c:grouping val="standard"/>
        <c:varyColors val="0"/>
        <c:ser>
          <c:idx val="2"/>
          <c:order val="2"/>
          <c:tx>
            <c:strRef>
              <c:f>vallás_forrás!$A$9</c:f>
              <c:strCache>
                <c:ptCount val="1"/>
                <c:pt idx="0">
                  <c:v>nem válaszolt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val>
            <c:numRef>
              <c:f>vallás_forrás!$B$9:$D$9</c:f>
              <c:numCache>
                <c:formatCode>_-* #\ ##0\ _F_t_-;\-* #\ ##0\ _F_t_-;_-* "-"??\ _F_t_-;_-@_-</c:formatCode>
                <c:ptCount val="3"/>
                <c:pt idx="0">
                  <c:v>1104333</c:v>
                </c:pt>
                <c:pt idx="1">
                  <c:v>2699025</c:v>
                </c:pt>
                <c:pt idx="2">
                  <c:v>3852533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B5-417F-907C-465B8E87FEED}"/>
            </c:ext>
          </c:extLst>
        </c:ser>
        <c:ser>
          <c:idx val="3"/>
          <c:order val="3"/>
          <c:tx>
            <c:strRef>
              <c:f>vallás_forrás!$A$8</c:f>
              <c:strCache>
                <c:ptCount val="1"/>
                <c:pt idx="0">
                  <c:v>egyházhoz nem tartozó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val>
            <c:numRef>
              <c:f>vallás_forrás!$B$8:$D$8</c:f>
              <c:numCache>
                <c:formatCode>_-* #.##0\ _F_t_-;\-* #.##0\ _F_t_-;_-* "-"??\ _F_t_-;_-@_-</c:formatCode>
                <c:ptCount val="3"/>
                <c:pt idx="0">
                  <c:v>1483369</c:v>
                </c:pt>
                <c:pt idx="1">
                  <c:v>1806409</c:v>
                </c:pt>
                <c:pt idx="2">
                  <c:v>1549610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B5-417F-907C-465B8E87F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017183"/>
        <c:axId val="921173679"/>
      </c:lineChart>
      <c:catAx>
        <c:axId val="92301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21173679"/>
        <c:auto val="1"/>
        <c:lblAlgn val="ctr"/>
        <c:lblOffset val="100"/>
        <c:noMultiLvlLbl val="0"/>
      </c:catAx>
      <c:valAx>
        <c:axId val="921173679"/>
        <c:scaling>
          <c:orientation val="minMax"/>
          <c:max val="1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23017183"/>
        <c:crossBetween val="between"/>
        <c:majorUnit val="1000000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173694</xdr:colOff>
      <xdr:row>1</xdr:row>
      <xdr:rowOff>16807</xdr:rowOff>
    </xdr:from>
    <xdr:to>
      <xdr:col>13</xdr:col>
      <xdr:colOff>504265</xdr:colOff>
      <xdr:row>17</xdr:row>
      <xdr:rowOff>133849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19B5D68-F79A-4AF8-9159-5341687E2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154640</xdr:colOff>
      <xdr:row>18</xdr:row>
      <xdr:rowOff>48745</xdr:rowOff>
    </xdr:from>
    <xdr:to>
      <xdr:col>14</xdr:col>
      <xdr:colOff>358588</xdr:colOff>
      <xdr:row>35</xdr:row>
      <xdr:rowOff>60512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138C75AA-C9D4-41CA-B0DC-10E21FDC3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0</xdr:row>
      <xdr:rowOff>152399</xdr:rowOff>
    </xdr:from>
    <xdr:to>
      <xdr:col>16</xdr:col>
      <xdr:colOff>257175</xdr:colOff>
      <xdr:row>16</xdr:row>
      <xdr:rowOff>142875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58F2E3F5-EF08-4E0C-AFE4-EC84042EC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56521</xdr:colOff>
      <xdr:row>0</xdr:row>
      <xdr:rowOff>62383</xdr:rowOff>
    </xdr:from>
    <xdr:to>
      <xdr:col>12</xdr:col>
      <xdr:colOff>29308</xdr:colOff>
      <xdr:row>15</xdr:row>
      <xdr:rowOff>109904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3FB9056-5049-4CD6-9174-09A01A1E7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28014</xdr:colOff>
      <xdr:row>16</xdr:row>
      <xdr:rowOff>100713</xdr:rowOff>
    </xdr:from>
    <xdr:to>
      <xdr:col>12</xdr:col>
      <xdr:colOff>16921</xdr:colOff>
      <xdr:row>39</xdr:row>
      <xdr:rowOff>61345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E77102BF-D660-4E8A-B3DF-1E9000C88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C278-55E3-471C-A24A-B79D78125989}">
  <dimension ref="A1:T47"/>
  <sheetViews>
    <sheetView tabSelected="1" topLeftCell="A4" zoomScale="85" zoomScaleNormal="85" workbookViewId="0">
      <selection activeCell="P15" sqref="P15"/>
    </sheetView>
  </sheetViews>
  <sheetFormatPr defaultColWidth="9.140625" defaultRowHeight="12.75" x14ac:dyDescent="0.2"/>
  <cols>
    <col min="1" max="1" width="13.42578125" style="4" bestFit="1" customWidth="1"/>
    <col min="2" max="2" width="7.7109375" style="16" bestFit="1" customWidth="1"/>
    <col min="3" max="3" width="8.42578125" style="8" bestFit="1" customWidth="1"/>
    <col min="4" max="4" width="9.28515625" style="8" bestFit="1" customWidth="1"/>
    <col min="5" max="5" width="8" style="8" customWidth="1"/>
    <col min="6" max="6" width="9.140625" style="8" customWidth="1"/>
    <col min="7" max="7" width="10.5703125" style="8" customWidth="1"/>
    <col min="8" max="8" width="8.140625" style="12" customWidth="1"/>
    <col min="9" max="9" width="11.5703125" style="8" customWidth="1"/>
    <col min="10" max="10" width="9.42578125" style="8" customWidth="1"/>
    <col min="11" max="11" width="12.28515625" style="9" customWidth="1"/>
    <col min="12" max="12" width="41.28515625" style="4" customWidth="1"/>
    <col min="13" max="13" width="19.28515625" style="4" customWidth="1"/>
    <col min="14" max="14" width="11.140625" style="4" customWidth="1"/>
    <col min="15" max="15" width="9.140625" style="4"/>
    <col min="16" max="16" width="13.28515625" style="4" customWidth="1"/>
    <col min="17" max="17" width="24.42578125" style="4" customWidth="1"/>
    <col min="18" max="18" width="25.7109375" style="4" customWidth="1"/>
    <col min="19" max="19" width="14.28515625" style="4" customWidth="1"/>
    <col min="20" max="16384" width="9.140625" style="4"/>
  </cols>
  <sheetData>
    <row r="1" spans="1:20" s="2" customFormat="1" ht="27" x14ac:dyDescent="0.2">
      <c r="A1" s="1" t="s">
        <v>0</v>
      </c>
      <c r="B1" s="13" t="s">
        <v>62</v>
      </c>
      <c r="C1" s="5" t="s">
        <v>56</v>
      </c>
      <c r="D1" s="5" t="s">
        <v>57</v>
      </c>
      <c r="E1" s="5" t="s">
        <v>59</v>
      </c>
      <c r="F1" s="5" t="s">
        <v>58</v>
      </c>
      <c r="G1" s="5" t="s">
        <v>61</v>
      </c>
      <c r="H1" s="10" t="s">
        <v>60</v>
      </c>
      <c r="I1" s="6" t="s">
        <v>1</v>
      </c>
      <c r="J1" s="5" t="s">
        <v>64</v>
      </c>
      <c r="K1" s="34" t="s">
        <v>75</v>
      </c>
      <c r="L1" s="36"/>
      <c r="M1" s="20"/>
      <c r="N1" s="36"/>
      <c r="O1" s="36"/>
      <c r="P1" s="36"/>
      <c r="Q1" s="20"/>
      <c r="R1" s="20"/>
      <c r="S1" s="21"/>
      <c r="T1" s="36"/>
    </row>
    <row r="2" spans="1:20" ht="15.75" x14ac:dyDescent="0.25">
      <c r="A2" s="3" t="s">
        <v>4</v>
      </c>
      <c r="B2" s="14">
        <v>1973</v>
      </c>
      <c r="C2" s="7">
        <v>42.920999999999999</v>
      </c>
      <c r="D2" s="7">
        <v>5.7936360000000002</v>
      </c>
      <c r="E2" s="17">
        <f t="shared" ref="E2:E28" si="0">D2/C2*1000</f>
        <v>134.98371426574406</v>
      </c>
      <c r="F2" s="7">
        <v>301.34090000000003</v>
      </c>
      <c r="G2" s="18">
        <f t="shared" ref="G2:G28" si="1">F2/D2*1000</f>
        <v>52012.397741245739</v>
      </c>
      <c r="H2" s="11">
        <v>81</v>
      </c>
      <c r="I2" s="7" t="s">
        <v>34</v>
      </c>
      <c r="J2" s="7">
        <v>1320.826</v>
      </c>
      <c r="K2" s="35">
        <f>D2*1000</f>
        <v>5793.6360000000004</v>
      </c>
      <c r="L2" s="22"/>
      <c r="M2" s="19"/>
      <c r="N2" s="33"/>
      <c r="O2" s="23"/>
      <c r="P2" s="37"/>
      <c r="Q2" s="24"/>
      <c r="R2" s="24"/>
      <c r="S2" s="38"/>
      <c r="T2" s="38"/>
    </row>
    <row r="3" spans="1:20" ht="15.75" x14ac:dyDescent="0.25">
      <c r="A3" s="3" t="s">
        <v>9</v>
      </c>
      <c r="B3" s="15">
        <v>1973</v>
      </c>
      <c r="C3" s="7">
        <v>69.825000000000003</v>
      </c>
      <c r="D3" s="7">
        <v>4.8673089999999997</v>
      </c>
      <c r="E3" s="17">
        <f t="shared" si="0"/>
        <v>69.707253848907982</v>
      </c>
      <c r="F3" s="7">
        <v>324.03820000000002</v>
      </c>
      <c r="G3" s="18">
        <f t="shared" si="1"/>
        <v>66574.404871357066</v>
      </c>
      <c r="H3" s="11">
        <v>82.3</v>
      </c>
      <c r="I3" s="7" t="s">
        <v>41</v>
      </c>
      <c r="J3" s="7">
        <v>1201.4259999999999</v>
      </c>
      <c r="K3" s="35">
        <f t="shared" ref="K3:K28" si="2">D3*1000</f>
        <v>4867.3089999999993</v>
      </c>
      <c r="L3" s="22"/>
      <c r="M3" s="19"/>
      <c r="N3" s="33"/>
      <c r="O3" s="23"/>
      <c r="P3" s="37"/>
      <c r="Q3" s="24"/>
      <c r="R3" s="24"/>
      <c r="S3" s="38"/>
      <c r="T3" s="38"/>
    </row>
    <row r="4" spans="1:20" ht="15.75" x14ac:dyDescent="0.25">
      <c r="A4" s="3" t="s">
        <v>7</v>
      </c>
      <c r="B4" s="15">
        <v>1981</v>
      </c>
      <c r="C4" s="7">
        <v>131.95699999999999</v>
      </c>
      <c r="D4" s="7">
        <v>10.731726</v>
      </c>
      <c r="E4" s="17">
        <f t="shared" si="0"/>
        <v>81.327447577619992</v>
      </c>
      <c r="F4" s="7">
        <v>184.71360000000001</v>
      </c>
      <c r="G4" s="18">
        <f t="shared" si="1"/>
        <v>17211.919126522615</v>
      </c>
      <c r="H4" s="11">
        <v>81.900000000000006</v>
      </c>
      <c r="I4" s="7" t="s">
        <v>38</v>
      </c>
      <c r="J4" s="7">
        <v>3155.6</v>
      </c>
      <c r="K4" s="35">
        <f t="shared" si="2"/>
        <v>10731.726000000001</v>
      </c>
      <c r="L4" s="22"/>
      <c r="M4" s="25"/>
      <c r="N4" s="33"/>
      <c r="O4" s="23"/>
      <c r="P4" s="37"/>
      <c r="Q4" s="24"/>
      <c r="R4" s="24"/>
      <c r="S4" s="38"/>
      <c r="T4" s="38"/>
    </row>
    <row r="5" spans="1:20" ht="15.75" x14ac:dyDescent="0.25">
      <c r="A5" s="3" t="s">
        <v>13</v>
      </c>
      <c r="B5" s="14">
        <v>1986</v>
      </c>
      <c r="C5" s="7">
        <v>92.225999999999999</v>
      </c>
      <c r="D5" s="7">
        <v>10.283822000000001</v>
      </c>
      <c r="E5" s="17">
        <f t="shared" si="0"/>
        <v>111.50675514496999</v>
      </c>
      <c r="F5" s="7">
        <v>204.3048</v>
      </c>
      <c r="G5" s="18">
        <f t="shared" si="1"/>
        <v>19866.621573185534</v>
      </c>
      <c r="H5" s="11">
        <v>81.5</v>
      </c>
      <c r="I5" s="7" t="s">
        <v>49</v>
      </c>
      <c r="J5" s="7">
        <v>2927.3159999999998</v>
      </c>
      <c r="K5" s="35">
        <f t="shared" si="2"/>
        <v>10283.822</v>
      </c>
      <c r="L5" s="22"/>
      <c r="M5" s="26"/>
      <c r="N5" s="33"/>
      <c r="O5" s="23"/>
      <c r="P5" s="37"/>
      <c r="Q5" s="24"/>
      <c r="R5" s="24"/>
      <c r="S5" s="38"/>
      <c r="T5" s="38"/>
    </row>
    <row r="6" spans="1:20" ht="15.75" x14ac:dyDescent="0.25">
      <c r="A6" s="3" t="s">
        <v>14</v>
      </c>
      <c r="B6" s="14">
        <v>1986</v>
      </c>
      <c r="C6" s="7">
        <v>505.97982000000002</v>
      </c>
      <c r="D6" s="7">
        <v>46.79654</v>
      </c>
      <c r="E6" s="17">
        <f t="shared" si="0"/>
        <v>92.486969144342552</v>
      </c>
      <c r="F6" s="7">
        <v>1202.193</v>
      </c>
      <c r="G6" s="18">
        <f t="shared" si="1"/>
        <v>25689.783902827003</v>
      </c>
      <c r="H6" s="11">
        <v>83.5</v>
      </c>
      <c r="I6" s="7" t="s">
        <v>51</v>
      </c>
      <c r="J6" s="7">
        <v>6497.1239999999998</v>
      </c>
      <c r="K6" s="35">
        <f t="shared" si="2"/>
        <v>46796.54</v>
      </c>
      <c r="L6" s="22"/>
      <c r="M6" s="19"/>
      <c r="N6" s="33"/>
      <c r="O6" s="23"/>
      <c r="P6" s="37"/>
      <c r="Q6" s="24"/>
      <c r="R6" s="24"/>
      <c r="S6" s="38"/>
      <c r="T6" s="38"/>
    </row>
    <row r="7" spans="1:20" ht="15.75" x14ac:dyDescent="0.25">
      <c r="A7" s="3" t="s">
        <v>2</v>
      </c>
      <c r="B7" s="14">
        <v>1995</v>
      </c>
      <c r="C7" s="7">
        <v>83.882460000000009</v>
      </c>
      <c r="D7" s="7">
        <v>8.8405210000000007</v>
      </c>
      <c r="E7" s="17">
        <f t="shared" si="0"/>
        <v>105.39177081835702</v>
      </c>
      <c r="F7" s="7">
        <v>385.71190000000001</v>
      </c>
      <c r="G7" s="18">
        <f t="shared" si="1"/>
        <v>43629.996467402772</v>
      </c>
      <c r="H7" s="11">
        <v>81.8</v>
      </c>
      <c r="I7" s="7" t="s">
        <v>29</v>
      </c>
      <c r="J7" s="7">
        <v>1900.547</v>
      </c>
      <c r="K7" s="35">
        <f t="shared" si="2"/>
        <v>8840.5210000000006</v>
      </c>
      <c r="L7" s="39"/>
      <c r="M7" s="19"/>
      <c r="N7" s="40"/>
      <c r="O7" s="23"/>
      <c r="P7" s="37"/>
      <c r="Q7" s="24"/>
      <c r="R7" s="24"/>
      <c r="S7" s="38"/>
      <c r="T7" s="38"/>
    </row>
    <row r="8" spans="1:20" ht="15.75" x14ac:dyDescent="0.25">
      <c r="A8" s="3" t="s">
        <v>5</v>
      </c>
      <c r="B8" s="14">
        <v>1995</v>
      </c>
      <c r="C8" s="7">
        <v>336.86601000000002</v>
      </c>
      <c r="D8" s="7">
        <v>5.5155250000000002</v>
      </c>
      <c r="E8" s="17">
        <f t="shared" si="0"/>
        <v>16.373052894235308</v>
      </c>
      <c r="F8" s="7">
        <v>233.66200000000001</v>
      </c>
      <c r="G8" s="18">
        <f t="shared" si="1"/>
        <v>42364.416805290515</v>
      </c>
      <c r="H8" s="11">
        <v>81.8</v>
      </c>
      <c r="I8" s="7" t="s">
        <v>36</v>
      </c>
      <c r="J8" s="7">
        <v>1279.096</v>
      </c>
      <c r="K8" s="35">
        <f t="shared" si="2"/>
        <v>5515.5250000000005</v>
      </c>
      <c r="L8" s="39"/>
      <c r="M8" s="19"/>
      <c r="N8" s="38"/>
      <c r="O8" s="23"/>
      <c r="P8" s="37"/>
      <c r="Q8" s="24"/>
      <c r="R8" s="24"/>
      <c r="S8" s="38"/>
      <c r="T8" s="38"/>
    </row>
    <row r="9" spans="1:20" ht="15.75" x14ac:dyDescent="0.25">
      <c r="A9" s="3" t="s">
        <v>15</v>
      </c>
      <c r="B9" s="14">
        <v>1995</v>
      </c>
      <c r="C9" s="7">
        <v>438.57400000000001</v>
      </c>
      <c r="D9" s="7">
        <v>10.175214</v>
      </c>
      <c r="E9" s="17">
        <f t="shared" si="0"/>
        <v>23.200677650749927</v>
      </c>
      <c r="F9" s="7">
        <v>470.67309999999998</v>
      </c>
      <c r="G9" s="18">
        <f t="shared" si="1"/>
        <v>46256.82565496902</v>
      </c>
      <c r="H9" s="11">
        <v>82.6</v>
      </c>
      <c r="I9" s="7" t="s">
        <v>52</v>
      </c>
      <c r="J9" s="7">
        <v>1582.9680000000001</v>
      </c>
      <c r="K9" s="35">
        <f t="shared" si="2"/>
        <v>10175.214</v>
      </c>
      <c r="L9" s="38"/>
      <c r="M9" s="19"/>
      <c r="N9" s="38"/>
      <c r="O9" s="38"/>
      <c r="P9" s="37"/>
      <c r="Q9" s="24"/>
      <c r="R9" s="24"/>
      <c r="S9" s="38"/>
      <c r="T9" s="38"/>
    </row>
    <row r="10" spans="1:20" ht="15.75" x14ac:dyDescent="0.25">
      <c r="A10" s="3" t="s">
        <v>16</v>
      </c>
      <c r="B10" s="14">
        <v>2004</v>
      </c>
      <c r="C10" s="7">
        <v>9.2509999999999994</v>
      </c>
      <c r="D10" s="7">
        <v>0.87006700000000003</v>
      </c>
      <c r="E10" s="17">
        <f t="shared" si="0"/>
        <v>94.051129607610008</v>
      </c>
      <c r="F10" s="7">
        <v>21.137799999999999</v>
      </c>
      <c r="G10" s="18">
        <f t="shared" si="1"/>
        <v>24294.450887115589</v>
      </c>
      <c r="H10" s="11">
        <v>82.9</v>
      </c>
      <c r="I10" s="7" t="s">
        <v>32</v>
      </c>
      <c r="J10" s="7">
        <v>269.46899999999999</v>
      </c>
      <c r="K10" s="35">
        <f t="shared" si="2"/>
        <v>870.06700000000001</v>
      </c>
      <c r="L10" s="22"/>
      <c r="M10" s="19"/>
      <c r="N10" s="38"/>
      <c r="O10" s="38"/>
      <c r="P10" s="37"/>
      <c r="Q10" s="24"/>
      <c r="R10" s="24"/>
      <c r="S10" s="38"/>
      <c r="T10" s="38"/>
    </row>
    <row r="11" spans="1:20" ht="15.75" x14ac:dyDescent="0.25">
      <c r="A11" s="3" t="s">
        <v>17</v>
      </c>
      <c r="B11" s="14">
        <v>2004</v>
      </c>
      <c r="C11" s="7">
        <v>78.870410000000007</v>
      </c>
      <c r="D11" s="7">
        <v>10.629928</v>
      </c>
      <c r="E11" s="17">
        <f t="shared" si="0"/>
        <v>134.77713631766335</v>
      </c>
      <c r="F11" s="7">
        <v>207.57029999999997</v>
      </c>
      <c r="G11" s="18">
        <f t="shared" si="1"/>
        <v>19526.971396231467</v>
      </c>
      <c r="H11" s="11">
        <v>79.099999999999994</v>
      </c>
      <c r="I11" s="7" t="s">
        <v>33</v>
      </c>
      <c r="J11" s="7">
        <v>1291.5519999999999</v>
      </c>
      <c r="K11" s="35">
        <f t="shared" si="2"/>
        <v>10629.928</v>
      </c>
      <c r="L11" s="39"/>
      <c r="M11" s="26"/>
      <c r="N11" s="33"/>
      <c r="O11" s="23"/>
      <c r="P11" s="37"/>
      <c r="Q11" s="24"/>
      <c r="R11" s="24"/>
      <c r="S11" s="38"/>
      <c r="T11" s="38"/>
    </row>
    <row r="12" spans="1:20" ht="15.75" x14ac:dyDescent="0.25">
      <c r="A12" s="3" t="s">
        <v>18</v>
      </c>
      <c r="B12" s="14">
        <v>2004</v>
      </c>
      <c r="C12" s="7">
        <v>45.226999999999997</v>
      </c>
      <c r="D12" s="7">
        <v>1.321977</v>
      </c>
      <c r="E12" s="17">
        <f t="shared" si="0"/>
        <v>29.229818471267166</v>
      </c>
      <c r="F12" s="7">
        <v>26.035900000000002</v>
      </c>
      <c r="G12" s="18">
        <f t="shared" si="1"/>
        <v>19694.669423144278</v>
      </c>
      <c r="H12" s="11">
        <v>78.5</v>
      </c>
      <c r="I12" s="7" t="s">
        <v>35</v>
      </c>
      <c r="J12" s="7">
        <v>437.02699999999999</v>
      </c>
      <c r="K12" s="35">
        <f t="shared" si="2"/>
        <v>1321.9769999999999</v>
      </c>
      <c r="L12" s="39"/>
      <c r="M12" s="26"/>
      <c r="N12" s="33"/>
      <c r="O12" s="23"/>
      <c r="P12" s="37"/>
      <c r="Q12" s="24"/>
      <c r="R12" s="24"/>
      <c r="S12" s="38"/>
      <c r="T12" s="38"/>
    </row>
    <row r="13" spans="1:20" ht="15.75" x14ac:dyDescent="0.25">
      <c r="A13" s="3" t="s">
        <v>19</v>
      </c>
      <c r="B13" s="15">
        <v>2004</v>
      </c>
      <c r="C13" s="7">
        <v>312.67899999999997</v>
      </c>
      <c r="D13" s="7">
        <v>37.97475</v>
      </c>
      <c r="E13" s="17">
        <f t="shared" si="0"/>
        <v>121.44963364984537</v>
      </c>
      <c r="F13" s="7">
        <v>497.59009999999995</v>
      </c>
      <c r="G13" s="18">
        <f t="shared" si="1"/>
        <v>13103.183036096352</v>
      </c>
      <c r="H13" s="11">
        <v>77.7</v>
      </c>
      <c r="I13" s="7" t="s">
        <v>42</v>
      </c>
      <c r="J13" s="7">
        <v>1767.798</v>
      </c>
      <c r="K13" s="35">
        <f t="shared" si="2"/>
        <v>37974.75</v>
      </c>
      <c r="L13" s="41"/>
      <c r="M13" s="26"/>
      <c r="N13" s="33"/>
      <c r="O13" s="23"/>
      <c r="P13" s="37"/>
      <c r="Q13" s="24"/>
      <c r="R13" s="24"/>
      <c r="S13" s="38"/>
      <c r="T13" s="38"/>
    </row>
    <row r="14" spans="1:20" ht="15.75" x14ac:dyDescent="0.25">
      <c r="A14" s="3" t="s">
        <v>20</v>
      </c>
      <c r="B14" s="15">
        <v>2004</v>
      </c>
      <c r="C14" s="7">
        <v>64.572999999999993</v>
      </c>
      <c r="D14" s="7">
        <v>1.9271739999999999</v>
      </c>
      <c r="E14" s="17">
        <f t="shared" si="0"/>
        <v>29.844888730583992</v>
      </c>
      <c r="F14" s="7">
        <v>29.056099999999997</v>
      </c>
      <c r="G14" s="18">
        <f t="shared" si="1"/>
        <v>15077.050645141539</v>
      </c>
      <c r="H14" s="11">
        <v>75.099999999999994</v>
      </c>
      <c r="I14" s="7" t="s">
        <v>43</v>
      </c>
      <c r="J14" s="7">
        <v>637.08900000000006</v>
      </c>
      <c r="K14" s="35">
        <f t="shared" si="2"/>
        <v>1927.174</v>
      </c>
      <c r="L14" s="38"/>
      <c r="M14" s="19"/>
      <c r="N14" s="38"/>
      <c r="O14" s="38"/>
      <c r="P14" s="37"/>
      <c r="Q14" s="24"/>
      <c r="R14" s="24"/>
      <c r="S14" s="38"/>
      <c r="T14" s="38"/>
    </row>
    <row r="15" spans="1:20" ht="15.75" x14ac:dyDescent="0.25">
      <c r="A15" s="3" t="s">
        <v>21</v>
      </c>
      <c r="B15" s="15">
        <v>2004</v>
      </c>
      <c r="C15" s="7">
        <v>65.286000000000001</v>
      </c>
      <c r="D15" s="7">
        <v>2.8015430000000001</v>
      </c>
      <c r="E15" s="17">
        <f t="shared" si="0"/>
        <v>42.911849401096717</v>
      </c>
      <c r="F15" s="7">
        <v>45.264400000000002</v>
      </c>
      <c r="G15" s="18">
        <f t="shared" si="1"/>
        <v>16156.953507406453</v>
      </c>
      <c r="H15" s="11">
        <v>76</v>
      </c>
      <c r="I15" s="7" t="s">
        <v>44</v>
      </c>
      <c r="J15" s="7">
        <v>536.05499999999995</v>
      </c>
      <c r="K15" s="35">
        <f t="shared" si="2"/>
        <v>2801.5430000000001</v>
      </c>
      <c r="L15" s="22"/>
      <c r="M15" s="19"/>
      <c r="N15" s="38"/>
      <c r="O15" s="38"/>
      <c r="P15" s="37"/>
      <c r="Q15" s="24"/>
      <c r="R15" s="24"/>
      <c r="S15" s="38"/>
      <c r="T15" s="38"/>
    </row>
    <row r="16" spans="1:20" ht="15.75" x14ac:dyDescent="0.25">
      <c r="A16" s="3" t="s">
        <v>22</v>
      </c>
      <c r="B16" s="15">
        <v>2004</v>
      </c>
      <c r="C16" s="7">
        <v>93.022000000000006</v>
      </c>
      <c r="D16" s="7">
        <v>9.7755639999999993</v>
      </c>
      <c r="E16" s="17">
        <f t="shared" si="0"/>
        <v>105.08873169787792</v>
      </c>
      <c r="F16" s="7">
        <v>133.78220000000002</v>
      </c>
      <c r="G16" s="18">
        <f t="shared" si="1"/>
        <v>13685.368946487386</v>
      </c>
      <c r="H16" s="11">
        <v>76.2</v>
      </c>
      <c r="I16" s="7" t="s">
        <v>46</v>
      </c>
      <c r="J16" s="7">
        <v>1749.7339999999999</v>
      </c>
      <c r="K16" s="35">
        <f t="shared" si="2"/>
        <v>9775.5639999999985</v>
      </c>
      <c r="L16" s="39"/>
      <c r="M16" s="27"/>
      <c r="N16" s="33"/>
      <c r="O16" s="23"/>
      <c r="P16" s="37"/>
      <c r="Q16" s="24"/>
      <c r="R16" s="24"/>
      <c r="S16" s="38"/>
      <c r="T16" s="38"/>
    </row>
    <row r="17" spans="1:20" ht="15.75" x14ac:dyDescent="0.25">
      <c r="A17" s="3" t="s">
        <v>23</v>
      </c>
      <c r="B17" s="15">
        <v>2004</v>
      </c>
      <c r="C17" s="7">
        <v>0.315</v>
      </c>
      <c r="D17" s="7">
        <v>0.48463000000000001</v>
      </c>
      <c r="E17" s="17">
        <f t="shared" si="0"/>
        <v>1538.5079365079366</v>
      </c>
      <c r="F17" s="7">
        <v>12.402799999999999</v>
      </c>
      <c r="G17" s="18">
        <f t="shared" si="1"/>
        <v>25592.30753358232</v>
      </c>
      <c r="H17" s="11">
        <v>82.5</v>
      </c>
      <c r="I17" s="7" t="s">
        <v>55</v>
      </c>
      <c r="J17" s="7">
        <v>212.768</v>
      </c>
      <c r="K17" s="35">
        <f t="shared" si="2"/>
        <v>484.63</v>
      </c>
      <c r="L17" s="39"/>
      <c r="M17" s="26"/>
      <c r="N17" s="33"/>
      <c r="O17" s="23"/>
      <c r="P17" s="37"/>
      <c r="Q17" s="24"/>
      <c r="R17" s="24"/>
      <c r="S17" s="38"/>
      <c r="T17" s="38"/>
    </row>
    <row r="18" spans="1:20" ht="15.75" x14ac:dyDescent="0.25">
      <c r="A18" s="3" t="s">
        <v>24</v>
      </c>
      <c r="B18" s="14">
        <v>2004</v>
      </c>
      <c r="C18" s="7">
        <v>49.034999999999997</v>
      </c>
      <c r="D18" s="7">
        <v>5.446771</v>
      </c>
      <c r="E18" s="17">
        <f t="shared" si="0"/>
        <v>111.07924951565209</v>
      </c>
      <c r="F18" s="7">
        <v>89.605899999999991</v>
      </c>
      <c r="G18" s="18">
        <f t="shared" si="1"/>
        <v>16451.196497888381</v>
      </c>
      <c r="H18" s="11">
        <v>77.400000000000006</v>
      </c>
      <c r="I18" s="7" t="s">
        <v>53</v>
      </c>
      <c r="J18" s="7">
        <v>429.92</v>
      </c>
      <c r="K18" s="35">
        <f t="shared" si="2"/>
        <v>5446.7709999999997</v>
      </c>
      <c r="L18" s="39"/>
      <c r="M18" s="26"/>
      <c r="N18" s="33"/>
      <c r="O18" s="23"/>
      <c r="P18" s="37"/>
      <c r="Q18" s="24"/>
      <c r="R18" s="24"/>
      <c r="S18" s="38"/>
      <c r="T18" s="38"/>
    </row>
    <row r="19" spans="1:20" ht="15.75" x14ac:dyDescent="0.25">
      <c r="A19" s="3" t="s">
        <v>25</v>
      </c>
      <c r="B19" s="14">
        <v>2004</v>
      </c>
      <c r="C19" s="7">
        <v>20.273</v>
      </c>
      <c r="D19" s="7">
        <v>2.0738940000000001</v>
      </c>
      <c r="E19" s="17">
        <f t="shared" si="0"/>
        <v>102.29832782518622</v>
      </c>
      <c r="F19" s="7">
        <v>45.754800000000003</v>
      </c>
      <c r="G19" s="18">
        <f t="shared" si="1"/>
        <v>22062.265477406272</v>
      </c>
      <c r="H19" s="11">
        <v>81.5</v>
      </c>
      <c r="I19" s="7" t="s">
        <v>54</v>
      </c>
      <c r="J19" s="7">
        <v>286.49099999999999</v>
      </c>
      <c r="K19" s="35">
        <f t="shared" si="2"/>
        <v>2073.8940000000002</v>
      </c>
      <c r="L19" s="39"/>
      <c r="M19" s="26"/>
      <c r="N19" s="33"/>
      <c r="O19" s="23"/>
      <c r="P19" s="37"/>
      <c r="Q19" s="24"/>
      <c r="R19" s="24"/>
      <c r="S19" s="38"/>
      <c r="T19" s="38"/>
    </row>
    <row r="20" spans="1:20" ht="15.75" x14ac:dyDescent="0.25">
      <c r="A20" s="3" t="s">
        <v>26</v>
      </c>
      <c r="B20" s="14">
        <v>2007</v>
      </c>
      <c r="C20" s="7">
        <v>110.372</v>
      </c>
      <c r="D20" s="7">
        <v>7.0250370000000002</v>
      </c>
      <c r="E20" s="17">
        <f t="shared" si="0"/>
        <v>63.648724314137652</v>
      </c>
      <c r="F20" s="7">
        <v>56.0869</v>
      </c>
      <c r="G20" s="18">
        <f t="shared" si="1"/>
        <v>7983.8583056573225</v>
      </c>
      <c r="H20" s="11">
        <v>75</v>
      </c>
      <c r="I20" s="7" t="s">
        <v>31</v>
      </c>
      <c r="J20" s="7">
        <v>1272</v>
      </c>
      <c r="K20" s="35">
        <f t="shared" si="2"/>
        <v>7025.0370000000003</v>
      </c>
      <c r="L20" s="38"/>
      <c r="M20" s="42"/>
      <c r="N20" s="38"/>
      <c r="O20" s="38"/>
      <c r="P20" s="37"/>
      <c r="Q20" s="24"/>
      <c r="R20" s="24"/>
      <c r="S20" s="38"/>
      <c r="T20" s="38"/>
    </row>
    <row r="21" spans="1:20" ht="15.75" x14ac:dyDescent="0.25">
      <c r="A21" s="3" t="s">
        <v>27</v>
      </c>
      <c r="B21" s="14">
        <v>2007</v>
      </c>
      <c r="C21" s="7">
        <v>238.39099999999999</v>
      </c>
      <c r="D21" s="7">
        <v>19.466145000000001</v>
      </c>
      <c r="E21" s="17">
        <f t="shared" si="0"/>
        <v>81.656375450415496</v>
      </c>
      <c r="F21" s="7">
        <v>204.6405</v>
      </c>
      <c r="G21" s="18">
        <f t="shared" si="1"/>
        <v>10512.63616910282</v>
      </c>
      <c r="H21" s="11">
        <v>75.3</v>
      </c>
      <c r="I21" s="7" t="s">
        <v>50</v>
      </c>
      <c r="J21" s="7">
        <v>1821.38</v>
      </c>
      <c r="K21" s="35">
        <f t="shared" si="2"/>
        <v>19466.145</v>
      </c>
      <c r="L21" s="22"/>
      <c r="M21" s="28"/>
      <c r="N21" s="38"/>
      <c r="O21" s="23"/>
      <c r="P21" s="37"/>
      <c r="Q21" s="24"/>
      <c r="R21" s="24"/>
      <c r="S21" s="38"/>
      <c r="T21" s="38"/>
    </row>
    <row r="22" spans="1:20" ht="15.75" x14ac:dyDescent="0.25">
      <c r="A22" s="3" t="s">
        <v>28</v>
      </c>
      <c r="B22" s="15">
        <v>2013</v>
      </c>
      <c r="C22" s="7">
        <v>56.594000000000001</v>
      </c>
      <c r="D22" s="7">
        <v>4.0908699999999998</v>
      </c>
      <c r="E22" s="17">
        <f t="shared" si="0"/>
        <v>72.284517793405655</v>
      </c>
      <c r="F22" s="7">
        <v>51.625099999999996</v>
      </c>
      <c r="G22" s="18">
        <f t="shared" si="1"/>
        <v>12619.589476077217</v>
      </c>
      <c r="H22" s="11">
        <v>78.2</v>
      </c>
      <c r="I22" s="7" t="s">
        <v>40</v>
      </c>
      <c r="J22" s="7">
        <v>685.58699999999999</v>
      </c>
      <c r="K22" s="35">
        <f t="shared" si="2"/>
        <v>4090.87</v>
      </c>
      <c r="L22" s="39"/>
      <c r="M22" s="30"/>
      <c r="N22" s="43"/>
      <c r="O22" s="23"/>
      <c r="P22" s="37"/>
      <c r="Q22" s="24"/>
      <c r="R22" s="24"/>
      <c r="S22" s="38"/>
      <c r="T22" s="38"/>
    </row>
    <row r="23" spans="1:20" ht="15.75" x14ac:dyDescent="0.25">
      <c r="A23" s="3" t="s">
        <v>3</v>
      </c>
      <c r="B23" s="15" t="s">
        <v>63</v>
      </c>
      <c r="C23" s="7">
        <v>30.527999999999999</v>
      </c>
      <c r="D23" s="7">
        <v>11.433256</v>
      </c>
      <c r="E23" s="17">
        <f t="shared" si="0"/>
        <v>374.51703354297695</v>
      </c>
      <c r="F23" s="7">
        <v>459.53159999999997</v>
      </c>
      <c r="G23" s="18">
        <f t="shared" si="1"/>
        <v>40192.540077822094</v>
      </c>
      <c r="H23" s="11">
        <v>81.7</v>
      </c>
      <c r="I23" s="7" t="s">
        <v>30</v>
      </c>
      <c r="J23" s="7">
        <v>2049.5100000000002</v>
      </c>
      <c r="K23" s="80">
        <f t="shared" si="2"/>
        <v>11433.255999999999</v>
      </c>
      <c r="L23" s="39"/>
      <c r="M23" s="30"/>
      <c r="N23" s="43"/>
      <c r="O23" s="23"/>
      <c r="P23" s="37"/>
      <c r="Q23" s="24"/>
      <c r="R23" s="24"/>
      <c r="S23" s="38"/>
      <c r="T23" s="38"/>
    </row>
    <row r="24" spans="1:20" ht="15" x14ac:dyDescent="0.25">
      <c r="A24" s="3" t="s">
        <v>6</v>
      </c>
      <c r="B24" s="15" t="s">
        <v>63</v>
      </c>
      <c r="C24" s="7">
        <v>551.5</v>
      </c>
      <c r="D24" s="7">
        <v>66.977107000000004</v>
      </c>
      <c r="E24" s="17">
        <f t="shared" si="0"/>
        <v>121.44534360834089</v>
      </c>
      <c r="F24" s="7">
        <v>2360.6869999999999</v>
      </c>
      <c r="G24" s="18">
        <f t="shared" si="1"/>
        <v>35246.177473744872</v>
      </c>
      <c r="H24" s="11">
        <v>82.9</v>
      </c>
      <c r="I24" s="7" t="s">
        <v>37</v>
      </c>
      <c r="J24" s="7">
        <v>10900.951999999999</v>
      </c>
      <c r="K24" s="80">
        <f t="shared" si="2"/>
        <v>66977.107000000004</v>
      </c>
      <c r="L24" s="39"/>
      <c r="M24" s="44"/>
      <c r="N24" s="43"/>
      <c r="O24" s="23"/>
      <c r="P24" s="37"/>
      <c r="Q24" s="24"/>
      <c r="R24" s="24"/>
      <c r="S24" s="38"/>
      <c r="T24" s="38"/>
    </row>
    <row r="25" spans="1:20" ht="15" x14ac:dyDescent="0.25">
      <c r="A25" s="3" t="s">
        <v>8</v>
      </c>
      <c r="B25" s="15" t="s">
        <v>63</v>
      </c>
      <c r="C25" s="7">
        <v>41.542999999999999</v>
      </c>
      <c r="D25" s="7">
        <v>17.231624</v>
      </c>
      <c r="E25" s="17">
        <f t="shared" si="0"/>
        <v>414.79007293647544</v>
      </c>
      <c r="F25" s="7">
        <v>773.98699999999997</v>
      </c>
      <c r="G25" s="18">
        <f t="shared" si="1"/>
        <v>44916.660205677654</v>
      </c>
      <c r="H25" s="11">
        <v>81.900000000000006</v>
      </c>
      <c r="I25" s="7" t="s">
        <v>39</v>
      </c>
      <c r="J25" s="7">
        <v>1131.69</v>
      </c>
      <c r="K25" s="80">
        <f t="shared" si="2"/>
        <v>17231.624</v>
      </c>
      <c r="L25" s="45"/>
      <c r="M25" s="46"/>
      <c r="N25" s="38"/>
      <c r="O25" s="23"/>
      <c r="P25" s="38"/>
      <c r="Q25" s="24"/>
      <c r="R25" s="24"/>
      <c r="S25" s="38"/>
      <c r="T25" s="38"/>
    </row>
    <row r="26" spans="1:20" ht="15" x14ac:dyDescent="0.25">
      <c r="A26" s="3" t="s">
        <v>10</v>
      </c>
      <c r="B26" s="15" t="s">
        <v>63</v>
      </c>
      <c r="C26" s="7">
        <v>2.5859999999999999</v>
      </c>
      <c r="D26" s="7">
        <v>0.60794999999999999</v>
      </c>
      <c r="E26" s="17">
        <f t="shared" si="0"/>
        <v>235.09280742459399</v>
      </c>
      <c r="F26" s="7">
        <v>60.053100000000001</v>
      </c>
      <c r="G26" s="18">
        <f t="shared" si="1"/>
        <v>98779.669380705658</v>
      </c>
      <c r="H26" s="11">
        <v>82.3</v>
      </c>
      <c r="I26" s="7" t="s">
        <v>45</v>
      </c>
      <c r="J26" s="7">
        <v>119.752</v>
      </c>
      <c r="K26" s="80">
        <f t="shared" si="2"/>
        <v>607.95000000000005</v>
      </c>
      <c r="L26" s="31"/>
      <c r="M26" s="32"/>
      <c r="N26" s="38"/>
      <c r="O26" s="23"/>
      <c r="P26" s="38"/>
      <c r="Q26" s="24"/>
      <c r="R26" s="24"/>
      <c r="S26" s="38"/>
      <c r="T26" s="38"/>
    </row>
    <row r="27" spans="1:20" ht="15" x14ac:dyDescent="0.25">
      <c r="A27" s="3" t="s">
        <v>11</v>
      </c>
      <c r="B27" s="15" t="s">
        <v>63</v>
      </c>
      <c r="C27" s="7">
        <v>357.57799999999997</v>
      </c>
      <c r="D27" s="7">
        <v>82.905782000000002</v>
      </c>
      <c r="E27" s="17">
        <f t="shared" si="0"/>
        <v>231.85369905307377</v>
      </c>
      <c r="F27" s="7">
        <v>3344.37</v>
      </c>
      <c r="G27" s="18">
        <f t="shared" si="1"/>
        <v>40339.406001863659</v>
      </c>
      <c r="H27" s="11">
        <v>81</v>
      </c>
      <c r="I27" s="7" t="s">
        <v>47</v>
      </c>
      <c r="J27" s="7">
        <v>3552.123</v>
      </c>
      <c r="K27" s="80">
        <f t="shared" si="2"/>
        <v>82905.782000000007</v>
      </c>
      <c r="L27" s="45"/>
      <c r="M27" s="46"/>
      <c r="N27" s="38"/>
      <c r="O27" s="23"/>
      <c r="P27" s="38"/>
      <c r="Q27" s="24"/>
      <c r="R27" s="24"/>
      <c r="S27" s="38"/>
      <c r="T27" s="38"/>
    </row>
    <row r="28" spans="1:20" ht="15" x14ac:dyDescent="0.25">
      <c r="A28" s="3" t="s">
        <v>12</v>
      </c>
      <c r="B28" s="15" t="s">
        <v>63</v>
      </c>
      <c r="C28" s="7">
        <v>302.07299999999998</v>
      </c>
      <c r="D28" s="7">
        <v>60.421759999999999</v>
      </c>
      <c r="E28" s="17">
        <f t="shared" si="0"/>
        <v>200.02370287976748</v>
      </c>
      <c r="F28" s="7">
        <v>1766.1681999999998</v>
      </c>
      <c r="G28" s="18">
        <f t="shared" si="1"/>
        <v>29230.664581766567</v>
      </c>
      <c r="H28" s="11">
        <v>83.4</v>
      </c>
      <c r="I28" s="7" t="s">
        <v>48</v>
      </c>
      <c r="J28" s="7">
        <v>4209.71</v>
      </c>
      <c r="K28" s="80">
        <f t="shared" si="2"/>
        <v>60421.760000000002</v>
      </c>
      <c r="L28" s="45"/>
      <c r="M28" s="46"/>
      <c r="N28" s="38"/>
      <c r="O28" s="23"/>
      <c r="P28" s="38"/>
      <c r="Q28" s="24"/>
      <c r="R28" s="24"/>
      <c r="S28" s="38"/>
      <c r="T28" s="38"/>
    </row>
    <row r="29" spans="1:20" ht="15" x14ac:dyDescent="0.25">
      <c r="D29" s="52"/>
      <c r="E29" s="29"/>
      <c r="F29" s="53"/>
      <c r="G29" s="29"/>
      <c r="H29" s="54"/>
      <c r="L29" s="38"/>
      <c r="M29" s="46"/>
      <c r="N29" s="38"/>
      <c r="O29" s="23"/>
      <c r="P29" s="38"/>
      <c r="Q29" s="33"/>
      <c r="R29" s="33"/>
      <c r="S29" s="38"/>
      <c r="T29" s="38"/>
    </row>
    <row r="30" spans="1:20" x14ac:dyDescent="0.2">
      <c r="D30" s="52"/>
      <c r="E30" s="52"/>
      <c r="F30" s="52"/>
      <c r="G30" s="52"/>
      <c r="H30" s="54"/>
      <c r="L30" s="38"/>
      <c r="M30" s="38"/>
      <c r="N30" s="38"/>
      <c r="O30" s="38"/>
      <c r="P30" s="38"/>
      <c r="Q30" s="33"/>
      <c r="R30" s="33"/>
      <c r="S30" s="38"/>
      <c r="T30" s="38"/>
    </row>
    <row r="31" spans="1:20" x14ac:dyDescent="0.2">
      <c r="L31" s="38"/>
      <c r="M31" s="38"/>
      <c r="N31" s="38"/>
      <c r="O31" s="38"/>
      <c r="P31" s="38"/>
      <c r="Q31" s="33"/>
      <c r="R31" s="33"/>
      <c r="S31" s="38"/>
      <c r="T31" s="38"/>
    </row>
    <row r="32" spans="1:20" x14ac:dyDescent="0.2">
      <c r="L32" s="38"/>
      <c r="M32" s="38"/>
      <c r="N32" s="38"/>
      <c r="O32" s="38"/>
      <c r="P32" s="38"/>
      <c r="Q32" s="23"/>
      <c r="R32" s="23"/>
      <c r="S32" s="38"/>
      <c r="T32" s="38"/>
    </row>
    <row r="33" spans="12:20" x14ac:dyDescent="0.2">
      <c r="L33" s="38"/>
      <c r="M33" s="38"/>
      <c r="N33" s="38"/>
      <c r="O33" s="38"/>
      <c r="P33" s="38"/>
      <c r="Q33" s="40"/>
      <c r="R33" s="40"/>
      <c r="S33" s="38"/>
      <c r="T33" s="38"/>
    </row>
    <row r="34" spans="12:20" x14ac:dyDescent="0.2">
      <c r="L34" s="38"/>
      <c r="M34" s="38"/>
      <c r="N34" s="38"/>
      <c r="O34" s="38"/>
      <c r="P34" s="38"/>
      <c r="Q34" s="72"/>
      <c r="R34" s="72"/>
      <c r="S34" s="38"/>
      <c r="T34" s="38"/>
    </row>
    <row r="35" spans="12:20" x14ac:dyDescent="0.2">
      <c r="L35" s="38"/>
      <c r="M35" s="38"/>
      <c r="N35" s="38"/>
      <c r="O35" s="38"/>
      <c r="P35" s="38"/>
      <c r="Q35" s="38"/>
      <c r="R35" s="38"/>
      <c r="S35" s="38"/>
      <c r="T35" s="38"/>
    </row>
    <row r="36" spans="12:20" x14ac:dyDescent="0.2">
      <c r="L36" s="38"/>
      <c r="M36" s="38"/>
      <c r="N36" s="38"/>
      <c r="O36" s="38"/>
      <c r="P36" s="38"/>
      <c r="Q36" s="38"/>
      <c r="R36" s="38"/>
      <c r="S36" s="38"/>
      <c r="T36" s="38"/>
    </row>
    <row r="37" spans="12:20" x14ac:dyDescent="0.2">
      <c r="L37" s="38"/>
      <c r="M37" s="38"/>
      <c r="N37" s="38"/>
      <c r="O37" s="38"/>
      <c r="P37" s="38"/>
      <c r="Q37" s="38"/>
      <c r="R37" s="38"/>
      <c r="S37" s="38"/>
      <c r="T37" s="38"/>
    </row>
    <row r="38" spans="12:20" x14ac:dyDescent="0.2">
      <c r="L38" s="38"/>
      <c r="M38" s="38"/>
      <c r="N38" s="38"/>
      <c r="O38" s="38"/>
      <c r="P38" s="38"/>
      <c r="Q38" s="38"/>
      <c r="R38" s="38"/>
      <c r="S38" s="38"/>
      <c r="T38" s="38"/>
    </row>
    <row r="39" spans="12:20" x14ac:dyDescent="0.2">
      <c r="L39" s="38"/>
      <c r="M39" s="38"/>
      <c r="N39" s="38"/>
      <c r="O39" s="38"/>
      <c r="P39" s="38"/>
      <c r="Q39" s="38"/>
      <c r="R39" s="38"/>
      <c r="S39" s="38"/>
      <c r="T39" s="38"/>
    </row>
    <row r="40" spans="12:20" x14ac:dyDescent="0.2">
      <c r="L40" s="38"/>
      <c r="M40" s="38"/>
      <c r="N40" s="38"/>
      <c r="O40" s="38"/>
      <c r="P40" s="38"/>
      <c r="Q40" s="38"/>
      <c r="R40" s="38"/>
      <c r="S40" s="38"/>
      <c r="T40" s="38"/>
    </row>
    <row r="41" spans="12:20" x14ac:dyDescent="0.2">
      <c r="L41" s="38"/>
      <c r="M41" s="38"/>
      <c r="N41" s="38"/>
      <c r="O41" s="38"/>
      <c r="P41" s="38"/>
      <c r="Q41" s="38"/>
      <c r="R41" s="38"/>
      <c r="S41" s="38"/>
      <c r="T41" s="38"/>
    </row>
    <row r="42" spans="12:20" x14ac:dyDescent="0.2">
      <c r="L42" s="38"/>
      <c r="M42" s="38"/>
      <c r="N42" s="38"/>
      <c r="O42" s="38"/>
      <c r="P42" s="38"/>
      <c r="Q42" s="38"/>
      <c r="R42" s="38"/>
      <c r="S42" s="38"/>
      <c r="T42" s="38"/>
    </row>
    <row r="43" spans="12:20" x14ac:dyDescent="0.2">
      <c r="L43" s="38"/>
      <c r="M43" s="38"/>
      <c r="N43" s="38"/>
      <c r="O43" s="38"/>
      <c r="P43" s="38"/>
      <c r="Q43" s="38"/>
      <c r="R43" s="38"/>
      <c r="S43" s="38"/>
      <c r="T43" s="38"/>
    </row>
    <row r="44" spans="12:20" x14ac:dyDescent="0.2">
      <c r="L44" s="38"/>
      <c r="M44" s="38"/>
      <c r="N44" s="38"/>
      <c r="O44" s="38"/>
      <c r="P44" s="38"/>
      <c r="Q44" s="38"/>
      <c r="R44" s="38"/>
      <c r="S44" s="38"/>
      <c r="T44" s="38"/>
    </row>
    <row r="45" spans="12:20" x14ac:dyDescent="0.2">
      <c r="L45" s="38"/>
      <c r="M45" s="38"/>
      <c r="N45" s="38"/>
      <c r="O45" s="38"/>
      <c r="P45" s="38"/>
      <c r="Q45" s="38"/>
      <c r="R45" s="38"/>
      <c r="S45" s="38"/>
      <c r="T45" s="38"/>
    </row>
    <row r="46" spans="12:20" x14ac:dyDescent="0.2">
      <c r="L46" s="38"/>
      <c r="M46" s="38"/>
      <c r="N46" s="38"/>
      <c r="O46" s="38"/>
      <c r="P46" s="38"/>
      <c r="Q46" s="38"/>
      <c r="R46" s="38"/>
      <c r="S46" s="38"/>
      <c r="T46" s="38"/>
    </row>
    <row r="47" spans="12:20" x14ac:dyDescent="0.2">
      <c r="L47" s="38"/>
      <c r="M47" s="38"/>
      <c r="N47" s="38"/>
      <c r="O47" s="38"/>
      <c r="P47" s="38"/>
      <c r="Q47" s="38"/>
      <c r="R47" s="38"/>
      <c r="S47" s="38"/>
      <c r="T47" s="38"/>
    </row>
  </sheetData>
  <sortState ref="A2:J28">
    <sortCondition ref="B2"/>
  </sortState>
  <mergeCells count="1">
    <mergeCell ref="Q34:R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38E9-47CE-4885-AFB8-71DCF0DAF793}">
  <dimension ref="A1:C18"/>
  <sheetViews>
    <sheetView workbookViewId="0">
      <selection activeCell="K26" sqref="K26"/>
    </sheetView>
  </sheetViews>
  <sheetFormatPr defaultRowHeight="12.75" x14ac:dyDescent="0.2"/>
  <cols>
    <col min="2" max="2" width="17.42578125" customWidth="1"/>
    <col min="3" max="3" width="13.28515625" customWidth="1"/>
  </cols>
  <sheetData>
    <row r="1" spans="1:3" ht="36.6" customHeight="1" x14ac:dyDescent="0.2">
      <c r="A1" s="73" t="s">
        <v>74</v>
      </c>
      <c r="B1" s="73"/>
      <c r="C1" s="73"/>
    </row>
    <row r="2" spans="1:3" x14ac:dyDescent="0.2">
      <c r="A2" s="47" t="s">
        <v>71</v>
      </c>
      <c r="B2" s="48" t="s">
        <v>72</v>
      </c>
      <c r="C2" s="48" t="s">
        <v>73</v>
      </c>
    </row>
    <row r="3" spans="1:3" x14ac:dyDescent="0.2">
      <c r="A3" s="47">
        <v>1870</v>
      </c>
      <c r="B3" s="51">
        <v>5010000</v>
      </c>
      <c r="C3" s="49" t="s">
        <v>65</v>
      </c>
    </row>
    <row r="4" spans="1:3" x14ac:dyDescent="0.2">
      <c r="A4" s="47">
        <v>1880</v>
      </c>
      <c r="B4" s="51">
        <v>5329000</v>
      </c>
      <c r="C4" s="50">
        <v>6.1999999999999998E-3</v>
      </c>
    </row>
    <row r="5" spans="1:3" x14ac:dyDescent="0.2">
      <c r="A5" s="47">
        <v>1890</v>
      </c>
      <c r="B5" s="51">
        <v>6010000</v>
      </c>
      <c r="C5" s="50">
        <v>1.2E-2</v>
      </c>
    </row>
    <row r="6" spans="1:3" x14ac:dyDescent="0.2">
      <c r="A6" s="47">
        <v>1900</v>
      </c>
      <c r="B6" s="51">
        <v>6855000</v>
      </c>
      <c r="C6" s="50">
        <v>1.32E-2</v>
      </c>
    </row>
    <row r="7" spans="1:3" x14ac:dyDescent="0.2">
      <c r="A7" s="47">
        <v>1910</v>
      </c>
      <c r="B7" s="51">
        <v>7612000</v>
      </c>
      <c r="C7" s="50">
        <v>1.0500000000000001E-2</v>
      </c>
    </row>
    <row r="8" spans="1:3" x14ac:dyDescent="0.2">
      <c r="A8" s="47">
        <v>1920</v>
      </c>
      <c r="B8" s="51">
        <v>7987000</v>
      </c>
      <c r="C8" s="50">
        <v>4.7999999999999996E-3</v>
      </c>
    </row>
    <row r="9" spans="1:3" x14ac:dyDescent="0.2">
      <c r="A9" s="47">
        <v>1930</v>
      </c>
      <c r="B9" s="51">
        <v>8685000</v>
      </c>
      <c r="C9" s="50">
        <v>8.3999999999999995E-3</v>
      </c>
    </row>
    <row r="10" spans="1:3" x14ac:dyDescent="0.2">
      <c r="A10" s="47">
        <v>1940</v>
      </c>
      <c r="B10" s="51">
        <v>9316000</v>
      </c>
      <c r="C10" s="50">
        <v>6.4000000000000003E-3</v>
      </c>
    </row>
    <row r="11" spans="1:3" x14ac:dyDescent="0.2">
      <c r="A11" s="47">
        <v>1950</v>
      </c>
      <c r="B11" s="51">
        <v>9205000</v>
      </c>
      <c r="C11" s="49" t="s">
        <v>66</v>
      </c>
    </row>
    <row r="12" spans="1:3" x14ac:dyDescent="0.2">
      <c r="A12" s="47">
        <v>1960</v>
      </c>
      <c r="B12" s="51">
        <v>9961000</v>
      </c>
      <c r="C12" s="50">
        <v>7.1999999999999998E-3</v>
      </c>
    </row>
    <row r="13" spans="1:3" x14ac:dyDescent="0.2">
      <c r="A13" s="47">
        <v>1970</v>
      </c>
      <c r="B13" s="51">
        <v>10301000</v>
      </c>
      <c r="C13" s="50">
        <v>3.3999999999999998E-3</v>
      </c>
    </row>
    <row r="14" spans="1:3" x14ac:dyDescent="0.2">
      <c r="A14" s="47">
        <v>1980</v>
      </c>
      <c r="B14" s="51">
        <v>10710000</v>
      </c>
      <c r="C14" s="50">
        <v>3.8999999999999998E-3</v>
      </c>
    </row>
    <row r="15" spans="1:3" x14ac:dyDescent="0.2">
      <c r="A15" s="47">
        <v>1990</v>
      </c>
      <c r="B15" s="51">
        <v>10375000</v>
      </c>
      <c r="C15" s="49" t="s">
        <v>67</v>
      </c>
    </row>
    <row r="16" spans="1:3" x14ac:dyDescent="0.2">
      <c r="A16" s="47">
        <v>2001</v>
      </c>
      <c r="B16" s="51">
        <v>10198000</v>
      </c>
      <c r="C16" s="49" t="s">
        <v>68</v>
      </c>
    </row>
    <row r="17" spans="1:3" x14ac:dyDescent="0.2">
      <c r="A17" s="47">
        <v>2011</v>
      </c>
      <c r="B17" s="51">
        <v>9938000</v>
      </c>
      <c r="C17" s="49" t="s">
        <v>69</v>
      </c>
    </row>
    <row r="18" spans="1:3" x14ac:dyDescent="0.2">
      <c r="A18" s="47">
        <v>2022</v>
      </c>
      <c r="B18" s="51">
        <v>9689000</v>
      </c>
      <c r="C18" s="49" t="s">
        <v>70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0C95-7F52-43D7-8B2F-76BC12C7D345}">
  <dimension ref="A1:D16"/>
  <sheetViews>
    <sheetView zoomScale="85" zoomScaleNormal="85" workbookViewId="0">
      <selection activeCell="C14" sqref="C14"/>
    </sheetView>
  </sheetViews>
  <sheetFormatPr defaultRowHeight="12.75" x14ac:dyDescent="0.2"/>
  <cols>
    <col min="1" max="1" width="26.85546875" bestFit="1" customWidth="1"/>
    <col min="2" max="4" width="20.7109375" bestFit="1" customWidth="1"/>
  </cols>
  <sheetData>
    <row r="1" spans="1:4" ht="34.9" customHeight="1" x14ac:dyDescent="0.2">
      <c r="A1" s="65" t="s">
        <v>103</v>
      </c>
      <c r="B1" s="65">
        <v>2001</v>
      </c>
      <c r="C1" s="65">
        <v>2011</v>
      </c>
      <c r="D1" s="66">
        <v>2022</v>
      </c>
    </row>
    <row r="2" spans="1:4" ht="18" x14ac:dyDescent="0.25">
      <c r="A2" s="63" t="s">
        <v>104</v>
      </c>
      <c r="B2" s="68">
        <v>5289521</v>
      </c>
      <c r="C2" s="68">
        <v>3691348</v>
      </c>
      <c r="D2" s="69">
        <v>2721484</v>
      </c>
    </row>
    <row r="3" spans="1:4" ht="18" x14ac:dyDescent="0.25">
      <c r="A3" s="63" t="s">
        <v>105</v>
      </c>
      <c r="B3" s="68">
        <v>268935</v>
      </c>
      <c r="C3" s="68">
        <v>179176</v>
      </c>
      <c r="D3" s="69">
        <v>165135</v>
      </c>
    </row>
    <row r="4" spans="1:4" ht="18" x14ac:dyDescent="0.25">
      <c r="A4" s="63" t="s">
        <v>106</v>
      </c>
      <c r="B4" s="68">
        <v>1622796</v>
      </c>
      <c r="C4" s="68">
        <v>1153442</v>
      </c>
      <c r="D4" s="69">
        <v>943982</v>
      </c>
    </row>
    <row r="5" spans="1:4" ht="18" x14ac:dyDescent="0.25">
      <c r="A5" s="63" t="s">
        <v>107</v>
      </c>
      <c r="B5" s="68">
        <v>304705</v>
      </c>
      <c r="C5" s="68">
        <v>214965</v>
      </c>
      <c r="D5" s="69">
        <v>176503</v>
      </c>
    </row>
    <row r="6" spans="1:4" ht="18" x14ac:dyDescent="0.25">
      <c r="A6" s="63" t="s">
        <v>108</v>
      </c>
      <c r="B6" s="68">
        <v>124151</v>
      </c>
      <c r="C6" s="68">
        <v>191906</v>
      </c>
      <c r="D6" s="69">
        <v>194387</v>
      </c>
    </row>
    <row r="7" spans="1:4" ht="18" x14ac:dyDescent="0.2">
      <c r="A7" s="63" t="s">
        <v>111</v>
      </c>
      <c r="B7" s="68">
        <f>SUM(B2:B6)</f>
        <v>7610108</v>
      </c>
      <c r="C7" s="68">
        <f t="shared" ref="C7:D7" si="0">SUM(C2:C6)</f>
        <v>5430837</v>
      </c>
      <c r="D7" s="68">
        <f t="shared" si="0"/>
        <v>4201491</v>
      </c>
    </row>
    <row r="8" spans="1:4" ht="18" x14ac:dyDescent="0.25">
      <c r="A8" s="63" t="s">
        <v>109</v>
      </c>
      <c r="B8" s="68">
        <v>1483369</v>
      </c>
      <c r="C8" s="68">
        <v>1806409</v>
      </c>
      <c r="D8" s="69">
        <v>1549610</v>
      </c>
    </row>
    <row r="9" spans="1:4" ht="18" x14ac:dyDescent="0.25">
      <c r="A9" s="63" t="s">
        <v>110</v>
      </c>
      <c r="B9" s="68">
        <v>1104333</v>
      </c>
      <c r="C9" s="68">
        <v>2699025</v>
      </c>
      <c r="D9" s="69">
        <v>3852533</v>
      </c>
    </row>
    <row r="10" spans="1:4" ht="18" x14ac:dyDescent="0.25">
      <c r="A10" s="64"/>
      <c r="B10" s="67"/>
      <c r="C10" s="67"/>
      <c r="D10" s="67"/>
    </row>
    <row r="11" spans="1:4" ht="18" x14ac:dyDescent="0.2">
      <c r="A11" s="63" t="s">
        <v>112</v>
      </c>
      <c r="B11" s="70">
        <f>SUM(B7:B9)</f>
        <v>10197810</v>
      </c>
      <c r="C11" s="70">
        <f t="shared" ref="C11:D11" si="1">SUM(C7:C9)</f>
        <v>9936271</v>
      </c>
      <c r="D11" s="70">
        <f t="shared" si="1"/>
        <v>9603634</v>
      </c>
    </row>
    <row r="14" spans="1:4" x14ac:dyDescent="0.2">
      <c r="B14" s="71"/>
      <c r="C14" s="71"/>
      <c r="D14" s="71"/>
    </row>
    <row r="16" spans="1:4" x14ac:dyDescent="0.2">
      <c r="B16" s="71"/>
      <c r="C16" s="71"/>
      <c r="D16" s="7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54F7-002B-4EA2-B78B-3839348463F2}">
  <dimension ref="A1:L24"/>
  <sheetViews>
    <sheetView topLeftCell="A4" workbookViewId="0">
      <selection activeCell="J6" sqref="J6"/>
    </sheetView>
  </sheetViews>
  <sheetFormatPr defaultRowHeight="12.75" x14ac:dyDescent="0.2"/>
  <cols>
    <col min="1" max="1" width="24.5703125" bestFit="1" customWidth="1"/>
    <col min="2" max="2" width="5.7109375" bestFit="1" customWidth="1"/>
    <col min="3" max="3" width="10.28515625" bestFit="1" customWidth="1"/>
    <col min="4" max="4" width="6.28515625" bestFit="1" customWidth="1"/>
    <col min="5" max="5" width="17.140625" customWidth="1"/>
    <col min="6" max="6" width="14.5703125" bestFit="1" customWidth="1"/>
    <col min="7" max="7" width="12.28515625" customWidth="1"/>
  </cols>
  <sheetData>
    <row r="1" spans="1:12" ht="15.75" x14ac:dyDescent="0.2">
      <c r="A1" s="78" t="s">
        <v>76</v>
      </c>
      <c r="B1" s="78" t="s">
        <v>77</v>
      </c>
      <c r="C1" s="74" t="s">
        <v>78</v>
      </c>
      <c r="D1" s="75"/>
      <c r="E1" s="78" t="s">
        <v>72</v>
      </c>
      <c r="F1" s="78" t="s">
        <v>79</v>
      </c>
      <c r="G1" s="76" t="s">
        <v>101</v>
      </c>
    </row>
    <row r="2" spans="1:12" ht="63" x14ac:dyDescent="0.2">
      <c r="A2" s="79"/>
      <c r="B2" s="79"/>
      <c r="C2" s="57" t="s">
        <v>80</v>
      </c>
      <c r="D2" s="58" t="s">
        <v>100</v>
      </c>
      <c r="E2" s="79"/>
      <c r="F2" s="79"/>
      <c r="G2" s="77"/>
    </row>
    <row r="3" spans="1:12" ht="15.75" x14ac:dyDescent="0.25">
      <c r="A3" s="59"/>
      <c r="B3" s="60"/>
      <c r="C3" s="60"/>
      <c r="D3" s="60"/>
      <c r="E3" s="60"/>
      <c r="F3" s="60"/>
      <c r="G3" s="60"/>
      <c r="J3" s="55"/>
      <c r="K3" s="55"/>
      <c r="L3" s="56"/>
    </row>
    <row r="4" spans="1:12" ht="15.75" x14ac:dyDescent="0.25">
      <c r="A4" s="59" t="s">
        <v>81</v>
      </c>
      <c r="B4" s="61">
        <v>11</v>
      </c>
      <c r="C4" s="61">
        <v>119</v>
      </c>
      <c r="D4" s="61">
        <v>22</v>
      </c>
      <c r="E4" s="62">
        <v>503825</v>
      </c>
      <c r="F4" s="62">
        <v>8443</v>
      </c>
      <c r="G4" s="61">
        <v>59</v>
      </c>
      <c r="J4" s="55"/>
      <c r="K4" s="55"/>
      <c r="L4" s="56"/>
    </row>
    <row r="5" spans="1:12" ht="15.75" x14ac:dyDescent="0.25">
      <c r="A5" s="59" t="s">
        <v>82</v>
      </c>
      <c r="B5" s="61">
        <v>10</v>
      </c>
      <c r="C5" s="61">
        <v>301</v>
      </c>
      <c r="D5" s="61">
        <v>14</v>
      </c>
      <c r="E5" s="62">
        <v>360704</v>
      </c>
      <c r="F5" s="62">
        <v>4430</v>
      </c>
      <c r="G5" s="61">
        <v>81</v>
      </c>
      <c r="J5" s="55"/>
      <c r="K5" s="55"/>
      <c r="L5" s="56"/>
    </row>
    <row r="6" spans="1:12" ht="15.75" x14ac:dyDescent="0.25">
      <c r="A6" s="59" t="s">
        <v>83</v>
      </c>
      <c r="B6" s="61">
        <v>9</v>
      </c>
      <c r="C6" s="61">
        <v>75</v>
      </c>
      <c r="D6" s="61">
        <v>22</v>
      </c>
      <c r="E6" s="62">
        <v>334264</v>
      </c>
      <c r="F6" s="62">
        <v>5630</v>
      </c>
      <c r="G6" s="61">
        <v>59</v>
      </c>
      <c r="J6" s="55"/>
      <c r="K6" s="55"/>
      <c r="L6" s="56"/>
    </row>
    <row r="7" spans="1:12" ht="15.75" x14ac:dyDescent="0.25">
      <c r="A7" s="59" t="s">
        <v>84</v>
      </c>
      <c r="B7" s="61">
        <v>16</v>
      </c>
      <c r="C7" s="61">
        <v>358</v>
      </c>
      <c r="D7" s="61">
        <v>29</v>
      </c>
      <c r="E7" s="62">
        <v>642447</v>
      </c>
      <c r="F7" s="62">
        <v>7247</v>
      </c>
      <c r="G7" s="61">
        <v>88</v>
      </c>
      <c r="J7" s="55"/>
      <c r="K7" s="55"/>
      <c r="L7" s="56"/>
    </row>
    <row r="8" spans="1:12" ht="15.75" x14ac:dyDescent="0.25">
      <c r="A8" s="59" t="s">
        <v>85</v>
      </c>
      <c r="B8" s="61">
        <v>7</v>
      </c>
      <c r="C8" s="61">
        <v>60</v>
      </c>
      <c r="D8" s="61">
        <v>10</v>
      </c>
      <c r="E8" s="62">
        <v>399012</v>
      </c>
      <c r="F8" s="62">
        <v>4262</v>
      </c>
      <c r="G8" s="61">
        <v>93</v>
      </c>
      <c r="J8" s="55"/>
      <c r="K8" s="55"/>
      <c r="L8" s="56"/>
    </row>
    <row r="9" spans="1:12" ht="15.75" x14ac:dyDescent="0.25">
      <c r="A9" s="59" t="s">
        <v>86</v>
      </c>
      <c r="B9" s="61">
        <v>8</v>
      </c>
      <c r="C9" s="61">
        <v>108</v>
      </c>
      <c r="D9" s="61">
        <v>17</v>
      </c>
      <c r="E9" s="62">
        <v>417712</v>
      </c>
      <c r="F9" s="62">
        <v>4358</v>
      </c>
      <c r="G9" s="61">
        <v>95</v>
      </c>
      <c r="J9" s="55"/>
      <c r="K9" s="55"/>
      <c r="L9" s="56"/>
    </row>
    <row r="10" spans="1:12" ht="15.75" x14ac:dyDescent="0.25">
      <c r="A10" s="59" t="s">
        <v>87</v>
      </c>
      <c r="B10" s="61">
        <v>7</v>
      </c>
      <c r="C10" s="61">
        <v>183</v>
      </c>
      <c r="D10" s="61">
        <v>12</v>
      </c>
      <c r="E10" s="62">
        <v>467144</v>
      </c>
      <c r="F10" s="62">
        <v>4208</v>
      </c>
      <c r="G10" s="61">
        <v>111</v>
      </c>
      <c r="J10" s="55"/>
      <c r="K10" s="55"/>
      <c r="L10" s="56"/>
    </row>
    <row r="11" spans="1:12" ht="15.75" x14ac:dyDescent="0.25">
      <c r="A11" s="59" t="s">
        <v>88</v>
      </c>
      <c r="B11" s="61">
        <v>10</v>
      </c>
      <c r="C11" s="61">
        <v>82</v>
      </c>
      <c r="D11" s="61">
        <v>21</v>
      </c>
      <c r="E11" s="62">
        <v>527989</v>
      </c>
      <c r="F11" s="62">
        <v>6209</v>
      </c>
      <c r="G11" s="61">
        <v>85</v>
      </c>
      <c r="J11" s="55"/>
      <c r="K11" s="55"/>
      <c r="L11" s="56"/>
    </row>
    <row r="12" spans="1:12" ht="15.75" x14ac:dyDescent="0.25">
      <c r="A12" s="59" t="s">
        <v>89</v>
      </c>
      <c r="B12" s="61">
        <v>7</v>
      </c>
      <c r="C12" s="61">
        <v>121</v>
      </c>
      <c r="D12" s="61">
        <v>11</v>
      </c>
      <c r="E12" s="62">
        <v>294609</v>
      </c>
      <c r="F12" s="62">
        <v>3637</v>
      </c>
      <c r="G12" s="61">
        <v>81</v>
      </c>
      <c r="J12" s="55"/>
      <c r="K12" s="55"/>
      <c r="L12" s="56"/>
    </row>
    <row r="13" spans="1:12" ht="15.75" x14ac:dyDescent="0.25">
      <c r="A13" s="59" t="s">
        <v>90</v>
      </c>
      <c r="B13" s="61">
        <v>9</v>
      </c>
      <c r="C13" s="61">
        <v>78</v>
      </c>
      <c r="D13" s="61">
        <v>22</v>
      </c>
      <c r="E13" s="62">
        <v>370007</v>
      </c>
      <c r="F13" s="62">
        <v>5581</v>
      </c>
      <c r="G13" s="61">
        <v>66</v>
      </c>
      <c r="J13" s="55"/>
      <c r="K13" s="55"/>
      <c r="L13" s="56"/>
    </row>
    <row r="14" spans="1:12" ht="15.75" x14ac:dyDescent="0.25">
      <c r="A14" s="59" t="s">
        <v>91</v>
      </c>
      <c r="B14" s="61">
        <v>6</v>
      </c>
      <c r="C14" s="61">
        <v>76</v>
      </c>
      <c r="D14" s="61">
        <v>12</v>
      </c>
      <c r="E14" s="62">
        <v>299207</v>
      </c>
      <c r="F14" s="62">
        <v>2264</v>
      </c>
      <c r="G14" s="61">
        <v>132</v>
      </c>
      <c r="J14" s="55"/>
      <c r="K14" s="55"/>
      <c r="L14" s="56"/>
    </row>
    <row r="15" spans="1:12" ht="15.75" x14ac:dyDescent="0.25">
      <c r="A15" s="59" t="s">
        <v>92</v>
      </c>
      <c r="B15" s="61">
        <v>6</v>
      </c>
      <c r="C15" s="61">
        <v>131</v>
      </c>
      <c r="D15" s="61">
        <v>6</v>
      </c>
      <c r="E15" s="62">
        <v>189304</v>
      </c>
      <c r="F15" s="62">
        <v>2544</v>
      </c>
      <c r="G15" s="61">
        <v>74</v>
      </c>
      <c r="J15" s="55"/>
      <c r="K15" s="55"/>
      <c r="L15" s="56"/>
    </row>
    <row r="16" spans="1:12" ht="15.75" x14ac:dyDescent="0.25">
      <c r="A16" s="59" t="s">
        <v>93</v>
      </c>
      <c r="B16" s="61">
        <v>18</v>
      </c>
      <c r="C16" s="61">
        <v>187</v>
      </c>
      <c r="D16" s="61">
        <v>52</v>
      </c>
      <c r="E16" s="62">
        <v>1278874</v>
      </c>
      <c r="F16" s="62">
        <v>6390</v>
      </c>
      <c r="G16" s="61">
        <v>200</v>
      </c>
      <c r="J16" s="55"/>
      <c r="K16" s="55"/>
      <c r="L16" s="56"/>
    </row>
    <row r="17" spans="1:12" ht="15.75" x14ac:dyDescent="0.25">
      <c r="A17" s="59" t="s">
        <v>94</v>
      </c>
      <c r="B17" s="61">
        <v>8</v>
      </c>
      <c r="C17" s="61">
        <v>246</v>
      </c>
      <c r="D17" s="61">
        <v>16</v>
      </c>
      <c r="E17" s="62">
        <v>301429</v>
      </c>
      <c r="F17" s="62">
        <v>6065</v>
      </c>
      <c r="G17" s="61">
        <v>49</v>
      </c>
      <c r="J17" s="55"/>
      <c r="K17" s="55"/>
      <c r="L17" s="56"/>
    </row>
    <row r="18" spans="1:12" ht="15.75" x14ac:dyDescent="0.25">
      <c r="A18" s="59" t="s">
        <v>95</v>
      </c>
      <c r="B18" s="61">
        <v>13</v>
      </c>
      <c r="C18" s="61">
        <v>229</v>
      </c>
      <c r="D18" s="61">
        <v>29</v>
      </c>
      <c r="E18" s="62">
        <v>552964</v>
      </c>
      <c r="F18" s="62">
        <v>5933</v>
      </c>
      <c r="G18" s="61">
        <v>93</v>
      </c>
      <c r="J18" s="56"/>
      <c r="K18" s="56"/>
      <c r="L18" s="56"/>
    </row>
    <row r="19" spans="1:12" ht="15.75" x14ac:dyDescent="0.25">
      <c r="A19" s="59" t="s">
        <v>96</v>
      </c>
      <c r="B19" s="61">
        <v>6</v>
      </c>
      <c r="C19" s="61">
        <v>109</v>
      </c>
      <c r="D19" s="61">
        <v>11</v>
      </c>
      <c r="E19" s="62">
        <v>217463</v>
      </c>
      <c r="F19" s="62">
        <v>3703</v>
      </c>
      <c r="G19" s="61">
        <v>58</v>
      </c>
    </row>
    <row r="20" spans="1:12" ht="15.75" x14ac:dyDescent="0.25">
      <c r="A20" s="59" t="s">
        <v>97</v>
      </c>
      <c r="B20" s="61">
        <v>7</v>
      </c>
      <c r="C20" s="61">
        <v>216</v>
      </c>
      <c r="D20" s="61">
        <v>13</v>
      </c>
      <c r="E20" s="62">
        <v>253551</v>
      </c>
      <c r="F20" s="62">
        <v>3336</v>
      </c>
      <c r="G20" s="61">
        <v>76</v>
      </c>
    </row>
    <row r="21" spans="1:12" ht="15.75" x14ac:dyDescent="0.25">
      <c r="A21" s="59" t="s">
        <v>98</v>
      </c>
      <c r="B21" s="61">
        <v>10</v>
      </c>
      <c r="C21" s="61">
        <v>217</v>
      </c>
      <c r="D21" s="61">
        <v>15</v>
      </c>
      <c r="E21" s="62">
        <v>341317</v>
      </c>
      <c r="F21" s="62">
        <v>4463</v>
      </c>
      <c r="G21" s="61">
        <v>76</v>
      </c>
    </row>
    <row r="22" spans="1:12" ht="15.75" x14ac:dyDescent="0.25">
      <c r="A22" s="59" t="s">
        <v>99</v>
      </c>
      <c r="B22" s="61">
        <v>6</v>
      </c>
      <c r="C22" s="61">
        <v>258</v>
      </c>
      <c r="D22" s="61">
        <v>10</v>
      </c>
      <c r="E22" s="62">
        <v>268648</v>
      </c>
      <c r="F22" s="62">
        <v>3784</v>
      </c>
      <c r="G22" s="61">
        <v>71</v>
      </c>
    </row>
    <row r="23" spans="1:12" ht="15.75" x14ac:dyDescent="0.25">
      <c r="A23" s="59" t="s">
        <v>46</v>
      </c>
      <c r="B23" s="61">
        <v>23</v>
      </c>
      <c r="C23" s="61"/>
      <c r="D23" s="61"/>
      <c r="E23" s="62">
        <v>1752286</v>
      </c>
      <c r="F23" s="62">
        <v>525</v>
      </c>
      <c r="G23" s="61">
        <v>3784</v>
      </c>
    </row>
    <row r="24" spans="1:12" ht="15.75" x14ac:dyDescent="0.25">
      <c r="A24" s="59" t="s">
        <v>102</v>
      </c>
      <c r="B24" s="61">
        <f>SUM(B4:B23)</f>
        <v>197</v>
      </c>
      <c r="C24" s="61">
        <f t="shared" ref="C24:D24" si="0">SUM(C4:C22)</f>
        <v>3154</v>
      </c>
      <c r="D24" s="61">
        <f t="shared" si="0"/>
        <v>344</v>
      </c>
      <c r="E24" s="62">
        <f>SUM(E4:E23)</f>
        <v>9772756</v>
      </c>
      <c r="F24" s="62">
        <f>SUM(F4:F23)</f>
        <v>93012</v>
      </c>
      <c r="G24" s="61">
        <f>SUM(G4:G23)</f>
        <v>5431</v>
      </c>
    </row>
  </sheetData>
  <mergeCells count="6">
    <mergeCell ref="C1:D1"/>
    <mergeCell ref="G1:G2"/>
    <mergeCell ref="A1:A2"/>
    <mergeCell ref="B1:B2"/>
    <mergeCell ref="E1:E2"/>
    <mergeCell ref="F1:F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B347CADD54FF34FAA7FA9C8899965D9" ma:contentTypeVersion="1" ma:contentTypeDescription="Új dokumentum létrehozása." ma:contentTypeScope="" ma:versionID="b3c2e0c0e97bb892337f1f5bf72067b8">
  <xsd:schema xmlns:xsd="http://www.w3.org/2001/XMLSchema" xmlns:xs="http://www.w3.org/2001/XMLSchema" xmlns:p="http://schemas.microsoft.com/office/2006/metadata/properties" xmlns:ns2="48317048-fbf5-43a4-b5de-bfff98d4f78e" targetNamespace="http://schemas.microsoft.com/office/2006/metadata/properties" ma:root="true" ma:fieldsID="9d1c9be79b6320e37274804edf76be56" ns2:_="">
    <xsd:import namespace="48317048-fbf5-43a4-b5de-bfff98d4f78e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17048-fbf5-43a4-b5de-bfff98d4f7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169052-5E3E-4E47-BB5C-396CBED7819B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48317048-fbf5-43a4-b5de-bfff98d4f78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001694A-B39A-424C-B4DF-47E8369A7C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317048-fbf5-43a4-b5de-bfff98d4f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2CF842-3A08-4AF3-BAB7-59B70182C0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EU_forrás</vt:lpstr>
      <vt:lpstr>Hu_forrás</vt:lpstr>
      <vt:lpstr>vallás_forrás</vt:lpstr>
      <vt:lpstr>vármegyék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2021-05-06T06:09:08Z</dcterms:created>
  <dcterms:modified xsi:type="dcterms:W3CDTF">2026-02-12T09:41:59Z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0x010100EB347CADD54FF34FAA7FA9C8899965D9</vt:lpwstr>
  </property>
</Properties>
</file>