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di\Desktop\2023 okt közép\"/>
    </mc:Choice>
  </mc:AlternateContent>
  <xr:revisionPtr revIDLastSave="0" documentId="13_ncr:1_{B2CD8961-58BA-4879-9065-4885DFF800D8}" xr6:coauthVersionLast="47" xr6:coauthVersionMax="47" xr10:uidLastSave="{00000000-0000-0000-0000-000000000000}"/>
  <bookViews>
    <workbookView xWindow="-120" yWindow="-120" windowWidth="29040" windowHeight="15840" xr2:uid="{D83366CE-A78E-4870-80F4-9D48FE99CA6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H3" i="1"/>
  <c r="I8" i="1"/>
  <c r="I9" i="1"/>
  <c r="I10" i="1"/>
  <c r="I11" i="1"/>
  <c r="I12" i="1"/>
  <c r="I13" i="1"/>
  <c r="I14" i="1"/>
  <c r="I15" i="1"/>
  <c r="I16" i="1"/>
  <c r="I17" i="1"/>
  <c r="I18" i="1"/>
  <c r="I19" i="1"/>
  <c r="I7" i="1"/>
  <c r="H2" i="1"/>
  <c r="H8" i="1"/>
  <c r="H9" i="1"/>
  <c r="H10" i="1"/>
  <c r="H11" i="1"/>
  <c r="H12" i="1"/>
  <c r="H13" i="1"/>
  <c r="H14" i="1"/>
  <c r="H15" i="1"/>
  <c r="H16" i="1"/>
  <c r="H17" i="1"/>
  <c r="H18" i="1"/>
  <c r="H19" i="1"/>
  <c r="H7" i="1"/>
</calcChain>
</file>

<file path=xl/sharedStrings.xml><?xml version="1.0" encoding="utf-8"?>
<sst xmlns="http://schemas.openxmlformats.org/spreadsheetml/2006/main" count="143" uniqueCount="39">
  <si>
    <t>Helyszín</t>
  </si>
  <si>
    <t>Fafaj</t>
  </si>
  <si>
    <t>Faiskola</t>
  </si>
  <si>
    <t>Szállítás napja</t>
  </si>
  <si>
    <t>Darab</t>
  </si>
  <si>
    <t>Május 1. út</t>
  </si>
  <si>
    <t>Korai juhar</t>
  </si>
  <si>
    <t>Zöld Fák Kertészeti Áruda</t>
  </si>
  <si>
    <t>Gesztenye sor</t>
  </si>
  <si>
    <t>Hegyi juhar</t>
  </si>
  <si>
    <t>Tisza Dísznövény</t>
  </si>
  <si>
    <t>Kérész út</t>
  </si>
  <si>
    <t>Bajcsy-Zsilinszky út</t>
  </si>
  <si>
    <t>Magas kőris</t>
  </si>
  <si>
    <t>Liget Faiskola</t>
  </si>
  <si>
    <t>Kőrizs út</t>
  </si>
  <si>
    <t>Csók István út</t>
  </si>
  <si>
    <t>Piros virágú vadgesztenye</t>
  </si>
  <si>
    <t>Ifjúsági út</t>
  </si>
  <si>
    <t>Béke út</t>
  </si>
  <si>
    <t>Mezei juhar</t>
  </si>
  <si>
    <t>Husáng Kertészet</t>
  </si>
  <si>
    <t>Bercsényi utca</t>
  </si>
  <si>
    <t>Erdő út</t>
  </si>
  <si>
    <t>Háromerű juhar</t>
  </si>
  <si>
    <t>Szolnoki út</t>
  </si>
  <si>
    <t>Mirkovec platán</t>
  </si>
  <si>
    <t>Szegfű út</t>
  </si>
  <si>
    <t>Déryné utca</t>
  </si>
  <si>
    <t>Európai hárs</t>
  </si>
  <si>
    <t>Ezüsthárs</t>
  </si>
  <si>
    <t>Virágos kőris</t>
  </si>
  <si>
    <t>Petőfi Sándor út</t>
  </si>
  <si>
    <t>Csertölgy</t>
  </si>
  <si>
    <t>Közönséges gyertyán</t>
  </si>
  <si>
    <t>Juharlevelű platán</t>
  </si>
  <si>
    <t>Facsemeték száma:</t>
  </si>
  <si>
    <t xml:space="preserve">Tételek </t>
  </si>
  <si>
    <t>Fafajrendelés maximuma: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</si>
</sst>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\.dd"/>
  </numFmts>
  <fonts count="2" x14ac:knownFonts="1">
    <font>
      <sz val="11"/>
      <color theme="1"/>
      <name val="Aptos Narrow"/>
      <family val="2"/>
      <charset val="238"/>
      <scheme val="minor"/>
    </font>
    <font>
      <b/>
      <sz val="13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300" b="1">
                <a:solidFill>
                  <a:schemeClr val="accent3"/>
                </a:solidFill>
              </a:rPr>
              <a:t>Facsemeték rendelésének</a:t>
            </a:r>
          </a:p>
          <a:p>
            <a:pPr>
              <a:defRPr/>
            </a:pPr>
            <a:r>
              <a:rPr lang="hu-HU" sz="1300" b="1" baseline="0">
                <a:solidFill>
                  <a:schemeClr val="accent3"/>
                </a:solidFill>
              </a:rPr>
              <a:t> összesítése</a:t>
            </a:r>
            <a:endParaRPr lang="hu-HU" sz="1300" b="1">
              <a:solidFill>
                <a:schemeClr val="accent3"/>
              </a:solidFill>
            </a:endParaRPr>
          </a:p>
        </c:rich>
      </c:tx>
      <c:layout>
        <c:manualLayout>
          <c:xMode val="edge"/>
          <c:yMode val="edge"/>
          <c:x val="0.49407625251662807"/>
          <c:y val="0.7898500515622911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 w="25400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Munka1!$G$7:$G$19</c:f>
              <c:strCache>
                <c:ptCount val="13"/>
                <c:pt idx="0">
                  <c:v>Juharlevelű platán</c:v>
                </c:pt>
                <c:pt idx="1">
                  <c:v>Magas kőris</c:v>
                </c:pt>
                <c:pt idx="2">
                  <c:v>Piros virágú vadgesztenye</c:v>
                </c:pt>
                <c:pt idx="3">
                  <c:v>Csertölgy</c:v>
                </c:pt>
                <c:pt idx="4">
                  <c:v>Ezüsthárs</c:v>
                </c:pt>
                <c:pt idx="5">
                  <c:v>Korai juhar</c:v>
                </c:pt>
                <c:pt idx="6">
                  <c:v>Mezei juhar</c:v>
                </c:pt>
                <c:pt idx="7">
                  <c:v>Virágos kőris</c:v>
                </c:pt>
                <c:pt idx="8">
                  <c:v>Háromerű juhar</c:v>
                </c:pt>
                <c:pt idx="9">
                  <c:v>Mirkovec platán</c:v>
                </c:pt>
                <c:pt idx="10">
                  <c:v>Európai hárs</c:v>
                </c:pt>
                <c:pt idx="11">
                  <c:v>Hegyi juhar</c:v>
                </c:pt>
                <c:pt idx="12">
                  <c:v>Közönséges gyertyán</c:v>
                </c:pt>
              </c:strCache>
            </c:strRef>
          </c:cat>
          <c:val>
            <c:numRef>
              <c:f>Munka1!$I$7:$I$19</c:f>
              <c:numCache>
                <c:formatCode>General</c:formatCode>
                <c:ptCount val="13"/>
                <c:pt idx="0">
                  <c:v>48</c:v>
                </c:pt>
                <c:pt idx="1">
                  <c:v>23</c:v>
                </c:pt>
                <c:pt idx="2">
                  <c:v>46</c:v>
                </c:pt>
                <c:pt idx="3">
                  <c:v>21</c:v>
                </c:pt>
                <c:pt idx="4">
                  <c:v>16</c:v>
                </c:pt>
                <c:pt idx="5">
                  <c:v>17</c:v>
                </c:pt>
                <c:pt idx="6">
                  <c:v>65</c:v>
                </c:pt>
                <c:pt idx="7">
                  <c:v>16</c:v>
                </c:pt>
                <c:pt idx="8">
                  <c:v>35</c:v>
                </c:pt>
                <c:pt idx="9">
                  <c:v>9</c:v>
                </c:pt>
                <c:pt idx="10">
                  <c:v>15</c:v>
                </c:pt>
                <c:pt idx="11">
                  <c:v>16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3-4B3C-8B09-545EE42F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4571232"/>
        <c:axId val="393890720"/>
      </c:barChart>
      <c:catAx>
        <c:axId val="1734571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3890720"/>
        <c:crosses val="autoZero"/>
        <c:auto val="1"/>
        <c:lblAlgn val="ctr"/>
        <c:lblOffset val="100"/>
        <c:noMultiLvlLbl val="0"/>
      </c:catAx>
      <c:valAx>
        <c:axId val="393890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3457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4</xdr:row>
      <xdr:rowOff>161924</xdr:rowOff>
    </xdr:from>
    <xdr:to>
      <xdr:col>16</xdr:col>
      <xdr:colOff>533400</xdr:colOff>
      <xdr:row>19</xdr:row>
      <xdr:rowOff>155407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68759CC-A2CF-5E9F-351A-DB28F23E8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13CF-585E-4103-8A2E-44077EBF9565}">
  <dimension ref="A1:I41"/>
  <sheetViews>
    <sheetView tabSelected="1" zoomScale="70" zoomScaleNormal="70" workbookViewId="0">
      <selection activeCell="K24" sqref="K24"/>
    </sheetView>
  </sheetViews>
  <sheetFormatPr defaultRowHeight="15" x14ac:dyDescent="0.25"/>
  <cols>
    <col min="1" max="1" width="18.42578125" bestFit="1" customWidth="1"/>
    <col min="2" max="2" width="23.85546875" bestFit="1" customWidth="1"/>
    <col min="3" max="3" width="23.42578125" bestFit="1" customWidth="1"/>
    <col min="4" max="4" width="15.7109375" style="6" bestFit="1" customWidth="1"/>
    <col min="5" max="5" width="10.42578125" style="6" customWidth="1"/>
    <col min="7" max="7" width="26.28515625" customWidth="1"/>
    <col min="9" max="9" width="11.140625" bestFit="1" customWidth="1"/>
  </cols>
  <sheetData>
    <row r="1" spans="1:9" ht="17.25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9" x14ac:dyDescent="0.25">
      <c r="A2" s="3" t="s">
        <v>12</v>
      </c>
      <c r="B2" s="1" t="s">
        <v>35</v>
      </c>
      <c r="C2" s="1" t="s">
        <v>21</v>
      </c>
      <c r="D2" s="19">
        <v>46342</v>
      </c>
      <c r="E2" s="7">
        <v>7</v>
      </c>
      <c r="G2" t="s">
        <v>36</v>
      </c>
      <c r="H2">
        <f>SUM(E2:E41)</f>
        <v>334</v>
      </c>
    </row>
    <row r="3" spans="1:9" x14ac:dyDescent="0.25">
      <c r="A3" s="3" t="s">
        <v>12</v>
      </c>
      <c r="B3" s="1" t="s">
        <v>13</v>
      </c>
      <c r="C3" s="1" t="s">
        <v>14</v>
      </c>
      <c r="D3" s="19">
        <v>46306</v>
      </c>
      <c r="E3" s="7">
        <v>5</v>
      </c>
      <c r="G3" t="s">
        <v>38</v>
      </c>
      <c r="H3">
        <f>MAX(I7:I19)</f>
        <v>65</v>
      </c>
      <c r="I3" t="str">
        <f>INDEX(G7:I19,MATCH(H3,I7:I19,0),1)</f>
        <v>Mezei juhar</v>
      </c>
    </row>
    <row r="4" spans="1:9" x14ac:dyDescent="0.25">
      <c r="A4" s="3" t="s">
        <v>12</v>
      </c>
      <c r="B4" s="1" t="s">
        <v>17</v>
      </c>
      <c r="C4" s="1" t="s">
        <v>21</v>
      </c>
      <c r="D4" s="19">
        <v>46342</v>
      </c>
      <c r="E4" s="7">
        <v>13</v>
      </c>
    </row>
    <row r="5" spans="1:9" ht="15.75" thickBot="1" x14ac:dyDescent="0.3">
      <c r="A5" s="3" t="s">
        <v>19</v>
      </c>
      <c r="B5" s="1" t="s">
        <v>33</v>
      </c>
      <c r="C5" s="1" t="s">
        <v>21</v>
      </c>
      <c r="D5" s="19">
        <v>46333</v>
      </c>
      <c r="E5" s="7">
        <v>9</v>
      </c>
    </row>
    <row r="6" spans="1:9" ht="18" thickBot="1" x14ac:dyDescent="0.3">
      <c r="A6" s="3" t="s">
        <v>19</v>
      </c>
      <c r="B6" s="1" t="s">
        <v>30</v>
      </c>
      <c r="C6" s="1" t="s">
        <v>7</v>
      </c>
      <c r="D6" s="19">
        <v>46339</v>
      </c>
      <c r="E6" s="7">
        <v>6</v>
      </c>
      <c r="G6" s="12" t="s">
        <v>1</v>
      </c>
      <c r="H6" s="13" t="s">
        <v>37</v>
      </c>
      <c r="I6" s="14" t="s">
        <v>4</v>
      </c>
    </row>
    <row r="7" spans="1:9" x14ac:dyDescent="0.25">
      <c r="A7" s="3" t="s">
        <v>19</v>
      </c>
      <c r="B7" s="1" t="s">
        <v>6</v>
      </c>
      <c r="C7" s="1" t="s">
        <v>7</v>
      </c>
      <c r="D7" s="19">
        <v>46339</v>
      </c>
      <c r="E7" s="7">
        <v>11</v>
      </c>
      <c r="G7" s="2" t="s">
        <v>35</v>
      </c>
      <c r="H7" s="15">
        <f>COUNTIFS($B$2:$B$41,G7)</f>
        <v>7</v>
      </c>
      <c r="I7" s="16">
        <f>SUMIFS($E$2:$E$41,$B$2:$B$41,G7)</f>
        <v>48</v>
      </c>
    </row>
    <row r="8" spans="1:9" x14ac:dyDescent="0.25">
      <c r="A8" s="3" t="s">
        <v>19</v>
      </c>
      <c r="B8" s="1" t="s">
        <v>20</v>
      </c>
      <c r="C8" s="1" t="s">
        <v>21</v>
      </c>
      <c r="D8" s="19">
        <v>46307</v>
      </c>
      <c r="E8" s="7">
        <v>6</v>
      </c>
      <c r="G8" s="3" t="s">
        <v>13</v>
      </c>
      <c r="H8" s="15">
        <f t="shared" ref="H8:H19" si="0">COUNTIFS($B$2:$B$41,G8)</f>
        <v>3</v>
      </c>
      <c r="I8" s="16">
        <f t="shared" ref="I8:I19" si="1">SUMIFS($E$2:$E$41,$B$2:$B$41,G8)</f>
        <v>23</v>
      </c>
    </row>
    <row r="9" spans="1:9" x14ac:dyDescent="0.25">
      <c r="A9" s="3" t="s">
        <v>19</v>
      </c>
      <c r="B9" s="1" t="s">
        <v>31</v>
      </c>
      <c r="C9" s="1" t="s">
        <v>21</v>
      </c>
      <c r="D9" s="19">
        <v>46325</v>
      </c>
      <c r="E9" s="7">
        <v>7</v>
      </c>
      <c r="G9" s="3" t="s">
        <v>17</v>
      </c>
      <c r="H9" s="15">
        <f t="shared" si="0"/>
        <v>4</v>
      </c>
      <c r="I9" s="16">
        <f t="shared" si="1"/>
        <v>46</v>
      </c>
    </row>
    <row r="10" spans="1:9" x14ac:dyDescent="0.25">
      <c r="A10" s="3" t="s">
        <v>22</v>
      </c>
      <c r="B10" s="1" t="s">
        <v>20</v>
      </c>
      <c r="C10" s="1" t="s">
        <v>21</v>
      </c>
      <c r="D10" s="19">
        <v>46307</v>
      </c>
      <c r="E10" s="7">
        <v>4</v>
      </c>
      <c r="G10" s="3" t="s">
        <v>33</v>
      </c>
      <c r="H10" s="15">
        <f t="shared" si="0"/>
        <v>2</v>
      </c>
      <c r="I10" s="16">
        <f t="shared" si="1"/>
        <v>21</v>
      </c>
    </row>
    <row r="11" spans="1:9" x14ac:dyDescent="0.25">
      <c r="A11" s="3" t="s">
        <v>16</v>
      </c>
      <c r="B11" s="1" t="s">
        <v>24</v>
      </c>
      <c r="C11" s="1" t="s">
        <v>21</v>
      </c>
      <c r="D11" s="19">
        <v>46314</v>
      </c>
      <c r="E11" s="7">
        <v>4</v>
      </c>
      <c r="G11" s="3" t="s">
        <v>30</v>
      </c>
      <c r="H11" s="15">
        <f t="shared" si="0"/>
        <v>2</v>
      </c>
      <c r="I11" s="16">
        <f t="shared" si="1"/>
        <v>16</v>
      </c>
    </row>
    <row r="12" spans="1:9" x14ac:dyDescent="0.25">
      <c r="A12" s="3" t="s">
        <v>16</v>
      </c>
      <c r="B12" s="1" t="s">
        <v>20</v>
      </c>
      <c r="C12" s="1" t="s">
        <v>21</v>
      </c>
      <c r="D12" s="19">
        <v>46307</v>
      </c>
      <c r="E12" s="7">
        <v>9</v>
      </c>
      <c r="G12" s="3" t="s">
        <v>6</v>
      </c>
      <c r="H12" s="15">
        <f t="shared" si="0"/>
        <v>2</v>
      </c>
      <c r="I12" s="16">
        <f t="shared" si="1"/>
        <v>17</v>
      </c>
    </row>
    <row r="13" spans="1:9" x14ac:dyDescent="0.25">
      <c r="A13" s="3" t="s">
        <v>16</v>
      </c>
      <c r="B13" s="1" t="s">
        <v>26</v>
      </c>
      <c r="C13" s="1" t="s">
        <v>14</v>
      </c>
      <c r="D13" s="19">
        <v>46314</v>
      </c>
      <c r="E13" s="7">
        <v>3</v>
      </c>
      <c r="G13" s="3" t="s">
        <v>20</v>
      </c>
      <c r="H13" s="15">
        <f t="shared" si="0"/>
        <v>6</v>
      </c>
      <c r="I13" s="16">
        <f t="shared" si="1"/>
        <v>65</v>
      </c>
    </row>
    <row r="14" spans="1:9" x14ac:dyDescent="0.25">
      <c r="A14" s="3" t="s">
        <v>16</v>
      </c>
      <c r="B14" s="1" t="s">
        <v>17</v>
      </c>
      <c r="C14" s="1" t="s">
        <v>14</v>
      </c>
      <c r="D14" s="19">
        <v>46306</v>
      </c>
      <c r="E14" s="7">
        <v>5</v>
      </c>
      <c r="G14" s="3" t="s">
        <v>31</v>
      </c>
      <c r="H14" s="15">
        <f t="shared" si="0"/>
        <v>3</v>
      </c>
      <c r="I14" s="16">
        <f t="shared" si="1"/>
        <v>16</v>
      </c>
    </row>
    <row r="15" spans="1:9" x14ac:dyDescent="0.25">
      <c r="A15" s="3" t="s">
        <v>28</v>
      </c>
      <c r="B15" s="1" t="s">
        <v>29</v>
      </c>
      <c r="C15" s="1" t="s">
        <v>7</v>
      </c>
      <c r="D15" s="19">
        <v>46319</v>
      </c>
      <c r="E15" s="7">
        <v>6</v>
      </c>
      <c r="G15" s="2" t="s">
        <v>24</v>
      </c>
      <c r="H15" s="15">
        <f t="shared" si="0"/>
        <v>4</v>
      </c>
      <c r="I15" s="16">
        <f t="shared" si="1"/>
        <v>35</v>
      </c>
    </row>
    <row r="16" spans="1:9" x14ac:dyDescent="0.25">
      <c r="A16" s="3" t="s">
        <v>28</v>
      </c>
      <c r="B16" s="1" t="s">
        <v>30</v>
      </c>
      <c r="C16" s="1" t="s">
        <v>7</v>
      </c>
      <c r="D16" s="19">
        <v>46319</v>
      </c>
      <c r="E16" s="7">
        <v>10</v>
      </c>
      <c r="G16" s="3" t="s">
        <v>26</v>
      </c>
      <c r="H16" s="15">
        <f t="shared" si="0"/>
        <v>2</v>
      </c>
      <c r="I16" s="16">
        <f t="shared" si="1"/>
        <v>9</v>
      </c>
    </row>
    <row r="17" spans="1:9" x14ac:dyDescent="0.25">
      <c r="A17" s="3" t="s">
        <v>28</v>
      </c>
      <c r="B17" s="1" t="s">
        <v>35</v>
      </c>
      <c r="C17" s="1" t="s">
        <v>21</v>
      </c>
      <c r="D17" s="19">
        <v>46341</v>
      </c>
      <c r="E17" s="7">
        <v>7</v>
      </c>
      <c r="G17" s="3" t="s">
        <v>29</v>
      </c>
      <c r="H17" s="15">
        <f t="shared" si="0"/>
        <v>2</v>
      </c>
      <c r="I17" s="16">
        <f t="shared" si="1"/>
        <v>15</v>
      </c>
    </row>
    <row r="18" spans="1:9" x14ac:dyDescent="0.25">
      <c r="A18" s="3" t="s">
        <v>23</v>
      </c>
      <c r="B18" s="1" t="s">
        <v>20</v>
      </c>
      <c r="C18" s="1" t="s">
        <v>21</v>
      </c>
      <c r="D18" s="19">
        <v>46307</v>
      </c>
      <c r="E18" s="7">
        <v>6</v>
      </c>
      <c r="G18" s="3" t="s">
        <v>9</v>
      </c>
      <c r="H18" s="15">
        <f t="shared" si="0"/>
        <v>2</v>
      </c>
      <c r="I18" s="16">
        <f t="shared" si="1"/>
        <v>16</v>
      </c>
    </row>
    <row r="19" spans="1:9" ht="15.75" thickBot="1" x14ac:dyDescent="0.3">
      <c r="A19" s="3" t="s">
        <v>8</v>
      </c>
      <c r="B19" s="1" t="s">
        <v>9</v>
      </c>
      <c r="C19" s="1" t="s">
        <v>10</v>
      </c>
      <c r="D19" s="19">
        <v>46305</v>
      </c>
      <c r="E19" s="7">
        <v>9</v>
      </c>
      <c r="G19" s="4" t="s">
        <v>34</v>
      </c>
      <c r="H19" s="17">
        <f t="shared" si="0"/>
        <v>1</v>
      </c>
      <c r="I19" s="18">
        <f t="shared" si="1"/>
        <v>7</v>
      </c>
    </row>
    <row r="20" spans="1:9" x14ac:dyDescent="0.25">
      <c r="A20" s="3" t="s">
        <v>8</v>
      </c>
      <c r="B20" s="1" t="s">
        <v>35</v>
      </c>
      <c r="C20" s="1" t="s">
        <v>21</v>
      </c>
      <c r="D20" s="19">
        <v>46341</v>
      </c>
      <c r="E20" s="7">
        <v>3</v>
      </c>
    </row>
    <row r="21" spans="1:9" x14ac:dyDescent="0.25">
      <c r="A21" s="3" t="s">
        <v>8</v>
      </c>
      <c r="B21" s="1" t="s">
        <v>35</v>
      </c>
      <c r="C21" s="1" t="s">
        <v>21</v>
      </c>
      <c r="D21" s="19">
        <v>46341</v>
      </c>
      <c r="E21" s="7">
        <v>8</v>
      </c>
    </row>
    <row r="22" spans="1:9" x14ac:dyDescent="0.25">
      <c r="A22" s="3" t="s">
        <v>8</v>
      </c>
      <c r="B22" s="1" t="s">
        <v>34</v>
      </c>
      <c r="C22" s="1" t="s">
        <v>14</v>
      </c>
      <c r="D22" s="19">
        <v>46333</v>
      </c>
      <c r="E22" s="7">
        <v>7</v>
      </c>
    </row>
    <row r="23" spans="1:9" x14ac:dyDescent="0.25">
      <c r="A23" s="3" t="s">
        <v>18</v>
      </c>
      <c r="B23" s="1" t="s">
        <v>33</v>
      </c>
      <c r="C23" s="1" t="s">
        <v>21</v>
      </c>
      <c r="D23" s="19">
        <v>46333</v>
      </c>
      <c r="E23" s="7">
        <v>12</v>
      </c>
    </row>
    <row r="24" spans="1:9" x14ac:dyDescent="0.25">
      <c r="A24" s="3" t="s">
        <v>18</v>
      </c>
      <c r="B24" s="1" t="s">
        <v>24</v>
      </c>
      <c r="C24" s="1" t="s">
        <v>10</v>
      </c>
      <c r="D24" s="19">
        <v>46342</v>
      </c>
      <c r="E24" s="7">
        <v>12</v>
      </c>
    </row>
    <row r="25" spans="1:9" x14ac:dyDescent="0.25">
      <c r="A25" s="3" t="s">
        <v>18</v>
      </c>
      <c r="B25" s="1" t="s">
        <v>20</v>
      </c>
      <c r="C25" s="1" t="s">
        <v>21</v>
      </c>
      <c r="D25" s="19">
        <v>46307</v>
      </c>
      <c r="E25" s="7">
        <v>13</v>
      </c>
    </row>
    <row r="26" spans="1:9" x14ac:dyDescent="0.25">
      <c r="A26" s="3" t="s">
        <v>18</v>
      </c>
      <c r="B26" s="1" t="s">
        <v>17</v>
      </c>
      <c r="C26" s="1" t="s">
        <v>14</v>
      </c>
      <c r="D26" s="19">
        <v>46306</v>
      </c>
      <c r="E26" s="7">
        <v>18</v>
      </c>
    </row>
    <row r="27" spans="1:9" x14ac:dyDescent="0.25">
      <c r="A27" s="3" t="s">
        <v>11</v>
      </c>
      <c r="B27" s="1" t="s">
        <v>9</v>
      </c>
      <c r="C27" s="1" t="s">
        <v>10</v>
      </c>
      <c r="D27" s="19">
        <v>46305</v>
      </c>
      <c r="E27" s="7">
        <v>7</v>
      </c>
    </row>
    <row r="28" spans="1:9" x14ac:dyDescent="0.25">
      <c r="A28" s="3" t="s">
        <v>11</v>
      </c>
      <c r="B28" s="1" t="s">
        <v>20</v>
      </c>
      <c r="C28" s="1" t="s">
        <v>21</v>
      </c>
      <c r="D28" s="19">
        <v>46307</v>
      </c>
      <c r="E28" s="7">
        <v>27</v>
      </c>
    </row>
    <row r="29" spans="1:9" x14ac:dyDescent="0.25">
      <c r="A29" s="3" t="s">
        <v>11</v>
      </c>
      <c r="B29" s="1" t="s">
        <v>31</v>
      </c>
      <c r="C29" s="1" t="s">
        <v>21</v>
      </c>
      <c r="D29" s="19">
        <v>46325</v>
      </c>
      <c r="E29" s="7">
        <v>5</v>
      </c>
    </row>
    <row r="30" spans="1:9" x14ac:dyDescent="0.25">
      <c r="A30" s="3" t="s">
        <v>15</v>
      </c>
      <c r="B30" s="1" t="s">
        <v>24</v>
      </c>
      <c r="C30" s="1" t="s">
        <v>10</v>
      </c>
      <c r="D30" s="19">
        <v>46342</v>
      </c>
      <c r="E30" s="7">
        <v>10</v>
      </c>
    </row>
    <row r="31" spans="1:9" x14ac:dyDescent="0.25">
      <c r="A31" s="3" t="s">
        <v>15</v>
      </c>
      <c r="B31" s="1" t="s">
        <v>13</v>
      </c>
      <c r="C31" s="1" t="s">
        <v>14</v>
      </c>
      <c r="D31" s="19">
        <v>46306</v>
      </c>
      <c r="E31" s="7">
        <v>9</v>
      </c>
    </row>
    <row r="32" spans="1:9" x14ac:dyDescent="0.25">
      <c r="A32" s="3" t="s">
        <v>15</v>
      </c>
      <c r="B32" s="1" t="s">
        <v>17</v>
      </c>
      <c r="C32" s="1" t="s">
        <v>10</v>
      </c>
      <c r="D32" s="19">
        <v>46342</v>
      </c>
      <c r="E32" s="7">
        <v>10</v>
      </c>
    </row>
    <row r="33" spans="1:5" x14ac:dyDescent="0.25">
      <c r="A33" s="3" t="s">
        <v>5</v>
      </c>
      <c r="B33" s="1" t="s">
        <v>6</v>
      </c>
      <c r="C33" s="1" t="s">
        <v>7</v>
      </c>
      <c r="D33" s="19">
        <v>46299</v>
      </c>
      <c r="E33" s="7">
        <v>6</v>
      </c>
    </row>
    <row r="34" spans="1:5" x14ac:dyDescent="0.25">
      <c r="A34" s="3" t="s">
        <v>32</v>
      </c>
      <c r="B34" s="1" t="s">
        <v>35</v>
      </c>
      <c r="C34" s="1" t="s">
        <v>21</v>
      </c>
      <c r="D34" s="19">
        <v>46341</v>
      </c>
      <c r="E34" s="7">
        <v>8</v>
      </c>
    </row>
    <row r="35" spans="1:5" x14ac:dyDescent="0.25">
      <c r="A35" s="3" t="s">
        <v>32</v>
      </c>
      <c r="B35" s="1" t="s">
        <v>31</v>
      </c>
      <c r="C35" s="1" t="s">
        <v>21</v>
      </c>
      <c r="D35" s="19">
        <v>46325</v>
      </c>
      <c r="E35" s="7">
        <v>4</v>
      </c>
    </row>
    <row r="36" spans="1:5" x14ac:dyDescent="0.25">
      <c r="A36" s="3" t="s">
        <v>27</v>
      </c>
      <c r="B36" s="1" t="s">
        <v>35</v>
      </c>
      <c r="C36" s="1" t="s">
        <v>21</v>
      </c>
      <c r="D36" s="19">
        <v>46341</v>
      </c>
      <c r="E36" s="7">
        <v>6</v>
      </c>
    </row>
    <row r="37" spans="1:5" x14ac:dyDescent="0.25">
      <c r="A37" s="3" t="s">
        <v>27</v>
      </c>
      <c r="B37" s="1" t="s">
        <v>35</v>
      </c>
      <c r="C37" s="1" t="s">
        <v>21</v>
      </c>
      <c r="D37" s="19">
        <v>46341</v>
      </c>
      <c r="E37" s="7">
        <v>9</v>
      </c>
    </row>
    <row r="38" spans="1:5" x14ac:dyDescent="0.25">
      <c r="A38" s="3" t="s">
        <v>27</v>
      </c>
      <c r="B38" s="1" t="s">
        <v>26</v>
      </c>
      <c r="C38" s="1" t="s">
        <v>14</v>
      </c>
      <c r="D38" s="19">
        <v>46314</v>
      </c>
      <c r="E38" s="7">
        <v>6</v>
      </c>
    </row>
    <row r="39" spans="1:5" x14ac:dyDescent="0.25">
      <c r="A39" s="3" t="s">
        <v>25</v>
      </c>
      <c r="B39" s="1" t="s">
        <v>29</v>
      </c>
      <c r="C39" s="1" t="s">
        <v>7</v>
      </c>
      <c r="D39" s="19">
        <v>46319</v>
      </c>
      <c r="E39" s="7">
        <v>9</v>
      </c>
    </row>
    <row r="40" spans="1:5" x14ac:dyDescent="0.25">
      <c r="A40" s="3" t="s">
        <v>25</v>
      </c>
      <c r="B40" s="1" t="s">
        <v>24</v>
      </c>
      <c r="C40" s="1" t="s">
        <v>10</v>
      </c>
      <c r="D40" s="19">
        <v>46314</v>
      </c>
      <c r="E40" s="7">
        <v>9</v>
      </c>
    </row>
    <row r="41" spans="1:5" ht="15.75" thickBot="1" x14ac:dyDescent="0.3">
      <c r="A41" s="4" t="s">
        <v>25</v>
      </c>
      <c r="B41" s="5" t="s">
        <v>13</v>
      </c>
      <c r="C41" s="5" t="s">
        <v>14</v>
      </c>
      <c r="D41" s="20">
        <v>46337</v>
      </c>
      <c r="E41" s="8">
        <v>9</v>
      </c>
    </row>
  </sheetData>
  <sortState xmlns:xlrd2="http://schemas.microsoft.com/office/spreadsheetml/2017/richdata2" ref="A2:E41">
    <sortCondition ref="A2:A41"/>
    <sortCondition ref="B2:B4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2026-10-11T18:49:27Z</dcterms:created>
  <dcterms:modified xsi:type="dcterms:W3CDTF">2026-10-11T19:26:13Z</dcterms:modified>
</cp:coreProperties>
</file>