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álint\Desktop\dkf\excel\oktv 20-21\"/>
    </mc:Choice>
  </mc:AlternateContent>
  <xr:revisionPtr revIDLastSave="0" documentId="13_ncr:9_{5E2D1D71-9100-42E0-9DA1-C2F754413DF2}" xr6:coauthVersionLast="47" xr6:coauthVersionMax="47" xr10:uidLastSave="{00000000-0000-0000-0000-000000000000}"/>
  <bookViews>
    <workbookView xWindow="-120" yWindow="-120" windowWidth="29040" windowHeight="15720" activeTab="1" xr2:uid="{7F1B7575-0EEE-4078-AD87-263E8BAEDF2F}"/>
  </bookViews>
  <sheets>
    <sheet name="Magyarországi adatok" sheetId="1" r:id="rId1"/>
    <sheet name="EU-s adatok" sheetId="3" r:id="rId2"/>
  </sheets>
  <calcPr calcId="0"/>
</workbook>
</file>

<file path=xl/calcChain.xml><?xml version="1.0" encoding="utf-8"?>
<calcChain xmlns="http://schemas.openxmlformats.org/spreadsheetml/2006/main">
  <c r="X5" i="3" l="1"/>
  <c r="W3" i="3"/>
  <c r="N12" i="1" l="1"/>
  <c r="N11" i="1" l="1"/>
  <c r="C26" i="1" l="1"/>
  <c r="D26" i="1"/>
  <c r="E26" i="1"/>
  <c r="F26" i="1"/>
  <c r="B26" i="1"/>
  <c r="C25" i="1"/>
  <c r="D25" i="1"/>
  <c r="E25" i="1"/>
  <c r="F25" i="1"/>
  <c r="B25" i="1"/>
  <c r="F17" i="1"/>
  <c r="E17" i="1"/>
  <c r="D17" i="1"/>
  <c r="C17" i="1"/>
  <c r="B17" i="1"/>
  <c r="C8" i="1"/>
  <c r="D8" i="1"/>
  <c r="E8" i="1"/>
  <c r="F8" i="1"/>
  <c r="B8" i="1"/>
</calcChain>
</file>

<file path=xl/sharedStrings.xml><?xml version="1.0" encoding="utf-8"?>
<sst xmlns="http://schemas.openxmlformats.org/spreadsheetml/2006/main" count="145" uniqueCount="77">
  <si>
    <t>Búza felhasználási adatok</t>
  </si>
  <si>
    <t>Megnevezés / Év</t>
  </si>
  <si>
    <t>Összevont mérleg, tonna</t>
  </si>
  <si>
    <t>Nyitókészlet</t>
  </si>
  <si>
    <t>Betakarított összes termés</t>
  </si>
  <si>
    <t>Behozatal</t>
  </si>
  <si>
    <t>Egyéb forrás</t>
  </si>
  <si>
    <t>–</t>
  </si>
  <si>
    <t>Forrás összesen</t>
  </si>
  <si>
    <t>Lakosság</t>
  </si>
  <si>
    <t>Ipari feldolgozás</t>
  </si>
  <si>
    <t>Takarmányfelhasználás</t>
  </si>
  <si>
    <t>Vetőmag-felhasználás</t>
  </si>
  <si>
    <t>Kivitel</t>
  </si>
  <si>
    <t>Egyéb felhasználás</t>
  </si>
  <si>
    <t>Veszteség</t>
  </si>
  <si>
    <t>Záró készlet</t>
  </si>
  <si>
    <t>Felhasználás összesen</t>
  </si>
  <si>
    <t>Külkereskedelem</t>
  </si>
  <si>
    <t>tonna</t>
  </si>
  <si>
    <t>millió Ft</t>
  </si>
  <si>
    <t xml:space="preserve"> tonna</t>
  </si>
  <si>
    <t>Kereskedelmi mérleg(súly)</t>
  </si>
  <si>
    <t>Kereskedelmi mérleg(ár)</t>
  </si>
  <si>
    <t>A legnagyobb és legkisebb nyitóösszeg közötti különbség:</t>
  </si>
  <si>
    <t>Ipari feldolgozásra szánt búzamennyiség évente:</t>
  </si>
  <si>
    <t>Búza és tönkölybúza termelési adatok, Európai Unió</t>
  </si>
  <si>
    <t>EU (27 ország - 2020-tól)</t>
  </si>
  <si>
    <t>:</t>
  </si>
  <si>
    <t>EU (28 ország)</t>
  </si>
  <si>
    <t>Belgium</t>
  </si>
  <si>
    <t>Bulgária</t>
  </si>
  <si>
    <t>Csehország</t>
  </si>
  <si>
    <t>Dánia</t>
  </si>
  <si>
    <t>Németország</t>
  </si>
  <si>
    <t>Észtország</t>
  </si>
  <si>
    <t>Írország</t>
  </si>
  <si>
    <t>Görögország</t>
  </si>
  <si>
    <t>Spanyolország</t>
  </si>
  <si>
    <t>Franciaország</t>
  </si>
  <si>
    <t>Horvátország</t>
  </si>
  <si>
    <t>Olaszország</t>
  </si>
  <si>
    <t>Ciprus</t>
  </si>
  <si>
    <t>Lettország</t>
  </si>
  <si>
    <t>Litvánia</t>
  </si>
  <si>
    <t>Luxemburg</t>
  </si>
  <si>
    <t>Magyarország</t>
  </si>
  <si>
    <t>Málta</t>
  </si>
  <si>
    <t>Hollandia</t>
  </si>
  <si>
    <t>Ausztria</t>
  </si>
  <si>
    <t>Lengyelország</t>
  </si>
  <si>
    <t>Portugália</t>
  </si>
  <si>
    <t>Románia</t>
  </si>
  <si>
    <t>Szlovénia</t>
  </si>
  <si>
    <t>Szlovákia</t>
  </si>
  <si>
    <t>Finnország</t>
  </si>
  <si>
    <t>Svédország</t>
  </si>
  <si>
    <t>Egyesült Királyság</t>
  </si>
  <si>
    <t>Izland</t>
  </si>
  <si>
    <t>Liechtenstein</t>
  </si>
  <si>
    <t>Norvégia</t>
  </si>
  <si>
    <t>Svájc</t>
  </si>
  <si>
    <t>Montenegro</t>
  </si>
  <si>
    <t>Észak Macedónia</t>
  </si>
  <si>
    <t>Albánia</t>
  </si>
  <si>
    <t>Szerbia</t>
  </si>
  <si>
    <t>Törökország</t>
  </si>
  <si>
    <t>Bosznia-Hercegovina</t>
  </si>
  <si>
    <t>Koszovó</t>
  </si>
  <si>
    <t>Legtöbb búzát termelő ország 2019-ben:</t>
  </si>
  <si>
    <t>Hány ország 2018as és 2019es adata jobb, mint az azévi átlag:</t>
  </si>
  <si>
    <t>Hány ország adatait tartalmazza a táblázat?</t>
  </si>
  <si>
    <t>Törpe</t>
  </si>
  <si>
    <t>Elégséges</t>
  </si>
  <si>
    <t>Közepes</t>
  </si>
  <si>
    <t>jó</t>
  </si>
  <si>
    <t>kiváló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</si>
</sst>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,&quot;t&quot;"/>
    <numFmt numFmtId="169" formatCode="General\ &quot;t&quot;"/>
    <numFmt numFmtId="170" formatCode="General\ &quot;ezer t&quot;"/>
  </numFmts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2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Border="1"/>
    <xf numFmtId="0" fontId="0" fillId="33" borderId="0" xfId="0" applyFill="1" applyBorder="1"/>
    <xf numFmtId="0" fontId="0" fillId="34" borderId="10" xfId="0" applyFill="1" applyBorder="1"/>
    <xf numFmtId="0" fontId="0" fillId="0" borderId="0" xfId="0" applyNumberFormat="1"/>
    <xf numFmtId="168" fontId="0" fillId="34" borderId="10" xfId="0" applyNumberFormat="1" applyFill="1" applyBorder="1"/>
    <xf numFmtId="168" fontId="0" fillId="35" borderId="10" xfId="0" applyNumberFormat="1" applyFill="1" applyBorder="1"/>
    <xf numFmtId="169" fontId="0" fillId="33" borderId="0" xfId="0" applyNumberFormat="1" applyFill="1" applyBorder="1"/>
    <xf numFmtId="0" fontId="0" fillId="36" borderId="10" xfId="0" applyFill="1" applyBorder="1"/>
    <xf numFmtId="170" fontId="0" fillId="36" borderId="10" xfId="0" applyNumberFormat="1" applyFill="1" applyBorder="1"/>
    <xf numFmtId="0" fontId="0" fillId="36" borderId="0" xfId="0" applyFill="1" applyAlignment="1">
      <alignment horizontal="left" vertical="top"/>
    </xf>
    <xf numFmtId="0" fontId="18" fillId="36" borderId="11" xfId="0" applyFont="1" applyFill="1" applyBorder="1" applyAlignment="1">
      <alignment horizontal="center" vertical="top"/>
    </xf>
    <xf numFmtId="0" fontId="18" fillId="36" borderId="10" xfId="0" applyFont="1" applyFill="1" applyBorder="1"/>
    <xf numFmtId="9" fontId="0" fillId="0" borderId="10" xfId="0" applyNumberFormat="1" applyBorder="1"/>
    <xf numFmtId="0" fontId="0" fillId="0" borderId="10" xfId="0" applyBorder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3">
    <dxf>
      <fill>
        <patternFill>
          <bgColor theme="6" tint="0.39994506668294322"/>
        </patternFill>
      </fill>
    </dxf>
    <dxf>
      <fill>
        <patternFill>
          <bgColor rgb="FFC00000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D6FB5-220F-4B5C-98A3-EEEE39FEA5A3}">
  <dimension ref="A1:Z29"/>
  <sheetViews>
    <sheetView workbookViewId="0">
      <selection activeCell="P12" sqref="P12"/>
    </sheetView>
  </sheetViews>
  <sheetFormatPr defaultRowHeight="15" x14ac:dyDescent="0.25"/>
  <cols>
    <col min="1" max="1" width="24.5703125" bestFit="1" customWidth="1"/>
    <col min="2" max="2" width="12.5703125" bestFit="1" customWidth="1"/>
    <col min="3" max="3" width="12" bestFit="1" customWidth="1"/>
    <col min="4" max="4" width="11.5703125" bestFit="1" customWidth="1"/>
    <col min="5" max="5" width="11" bestFit="1" customWidth="1"/>
    <col min="6" max="6" width="10.5703125" bestFit="1" customWidth="1"/>
  </cols>
  <sheetData>
    <row r="1" spans="1:26" x14ac:dyDescent="0.25">
      <c r="A1" s="3" t="s">
        <v>0</v>
      </c>
      <c r="B1" s="3"/>
      <c r="C1" s="3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1"/>
      <c r="Z1" s="1"/>
    </row>
    <row r="2" spans="1:26" x14ac:dyDescent="0.25">
      <c r="A2" s="3" t="s">
        <v>1</v>
      </c>
      <c r="B2" s="3">
        <v>2014</v>
      </c>
      <c r="C2" s="3">
        <v>2015</v>
      </c>
      <c r="D2" s="3">
        <v>2016</v>
      </c>
      <c r="E2" s="3">
        <v>2017</v>
      </c>
      <c r="F2" s="3">
        <v>2018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1"/>
      <c r="Z2" s="1"/>
    </row>
    <row r="3" spans="1:26" x14ac:dyDescent="0.25">
      <c r="A3" s="3" t="s">
        <v>2</v>
      </c>
      <c r="B3" s="3"/>
      <c r="C3" s="3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"/>
      <c r="Z3" s="1"/>
    </row>
    <row r="4" spans="1:26" x14ac:dyDescent="0.25">
      <c r="A4" s="3" t="s">
        <v>3</v>
      </c>
      <c r="B4" s="5">
        <v>2171034</v>
      </c>
      <c r="C4" s="5">
        <v>2488179.0460000001</v>
      </c>
      <c r="D4" s="5">
        <v>3422125.5</v>
      </c>
      <c r="E4" s="5">
        <v>3887866.5</v>
      </c>
      <c r="F4" s="5">
        <v>3254666.4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1"/>
      <c r="Z4" s="1"/>
    </row>
    <row r="5" spans="1:26" x14ac:dyDescent="0.25">
      <c r="A5" s="3" t="s">
        <v>4</v>
      </c>
      <c r="B5" s="5">
        <v>5261890.0999999996</v>
      </c>
      <c r="C5" s="5">
        <v>5331425.9000000004</v>
      </c>
      <c r="D5" s="5">
        <v>5603183.5</v>
      </c>
      <c r="E5" s="5">
        <v>5246258.3</v>
      </c>
      <c r="F5" s="5">
        <v>5258432.0999999996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1"/>
      <c r="Z5" s="1"/>
    </row>
    <row r="6" spans="1:26" x14ac:dyDescent="0.25">
      <c r="A6" s="3" t="s">
        <v>5</v>
      </c>
      <c r="B6" s="5">
        <v>169977.70499999999</v>
      </c>
      <c r="C6" s="5">
        <v>213779</v>
      </c>
      <c r="D6" s="5">
        <v>273088</v>
      </c>
      <c r="E6" s="5">
        <v>167952</v>
      </c>
      <c r="F6" s="5">
        <v>194787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1"/>
      <c r="Z6" s="1"/>
    </row>
    <row r="7" spans="1:26" x14ac:dyDescent="0.25">
      <c r="A7" s="3" t="s">
        <v>6</v>
      </c>
      <c r="B7" s="5" t="s">
        <v>7</v>
      </c>
      <c r="C7" s="5" t="s">
        <v>7</v>
      </c>
      <c r="D7" s="5" t="s">
        <v>7</v>
      </c>
      <c r="E7" s="5" t="s">
        <v>7</v>
      </c>
      <c r="F7" s="5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1"/>
      <c r="Z7" s="1"/>
    </row>
    <row r="8" spans="1:26" x14ac:dyDescent="0.25">
      <c r="A8" s="3" t="s">
        <v>8</v>
      </c>
      <c r="B8" s="6">
        <f>SUM(B$4:B$6)</f>
        <v>7602901.8049999997</v>
      </c>
      <c r="C8" s="6">
        <f t="shared" ref="C8:F8" si="0">SUM(C$4:C$6)</f>
        <v>8033383.9460000005</v>
      </c>
      <c r="D8" s="6">
        <f t="shared" si="0"/>
        <v>9298397</v>
      </c>
      <c r="E8" s="6">
        <f t="shared" si="0"/>
        <v>9302076.8000000007</v>
      </c>
      <c r="F8" s="6">
        <f t="shared" si="0"/>
        <v>8707885.5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1"/>
      <c r="Z8" s="1"/>
    </row>
    <row r="9" spans="1:26" x14ac:dyDescent="0.25">
      <c r="A9" s="3" t="s">
        <v>9</v>
      </c>
      <c r="B9" s="5" t="s">
        <v>7</v>
      </c>
      <c r="C9" s="5" t="s">
        <v>7</v>
      </c>
      <c r="D9" s="5" t="s">
        <v>7</v>
      </c>
      <c r="E9" s="5" t="s">
        <v>7</v>
      </c>
      <c r="F9" s="5" t="s">
        <v>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1"/>
      <c r="Z9" s="1"/>
    </row>
    <row r="10" spans="1:26" x14ac:dyDescent="0.25">
      <c r="A10" s="3" t="s">
        <v>10</v>
      </c>
      <c r="B10" s="5">
        <v>1145007.8</v>
      </c>
      <c r="C10" s="5">
        <v>1172413.3999999999</v>
      </c>
      <c r="D10" s="5">
        <v>1216967.6000000001</v>
      </c>
      <c r="E10" s="5">
        <v>1222330.5</v>
      </c>
      <c r="F10" s="5">
        <v>1237697.3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1"/>
      <c r="Z10" s="1"/>
    </row>
    <row r="11" spans="1:26" x14ac:dyDescent="0.25">
      <c r="A11" s="3" t="s">
        <v>11</v>
      </c>
      <c r="B11" s="5">
        <v>1150817.125</v>
      </c>
      <c r="C11" s="5">
        <v>1187686.3959999999</v>
      </c>
      <c r="D11" s="5">
        <v>1163076.3</v>
      </c>
      <c r="E11" s="5">
        <v>1104085.25</v>
      </c>
      <c r="F11" s="5">
        <v>1183083.6000000001</v>
      </c>
      <c r="G11" s="2"/>
      <c r="H11" s="2" t="s">
        <v>24</v>
      </c>
      <c r="I11" s="2"/>
      <c r="J11" s="2"/>
      <c r="K11" s="2"/>
      <c r="L11" s="2"/>
      <c r="M11" s="2"/>
      <c r="N11" s="7">
        <f>E4-B4</f>
        <v>1716832.5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1"/>
      <c r="Z11" s="1"/>
    </row>
    <row r="12" spans="1:26" x14ac:dyDescent="0.25">
      <c r="A12" s="3" t="s">
        <v>12</v>
      </c>
      <c r="B12" s="5">
        <v>258240.25</v>
      </c>
      <c r="C12" s="5">
        <v>262548.25</v>
      </c>
      <c r="D12" s="5">
        <v>241665</v>
      </c>
      <c r="E12" s="5">
        <v>258916.25</v>
      </c>
      <c r="F12" s="5">
        <v>259157</v>
      </c>
      <c r="G12" s="2"/>
      <c r="H12" s="2" t="s">
        <v>25</v>
      </c>
      <c r="I12" s="2"/>
      <c r="J12" s="2"/>
      <c r="K12" s="2"/>
      <c r="L12" s="2"/>
      <c r="M12" s="2"/>
      <c r="N12" s="7">
        <f>ROUND(AVERAGE(B10:F10),-3)</f>
        <v>1199000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1"/>
      <c r="Z12" s="1"/>
    </row>
    <row r="13" spans="1:26" x14ac:dyDescent="0.25">
      <c r="A13" s="3" t="s">
        <v>13</v>
      </c>
      <c r="B13" s="5">
        <v>2483430.8840000001</v>
      </c>
      <c r="C13" s="5">
        <v>1962562</v>
      </c>
      <c r="D13" s="5">
        <v>2764795</v>
      </c>
      <c r="E13" s="5">
        <v>3446372</v>
      </c>
      <c r="F13" s="5">
        <v>2359588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1"/>
      <c r="Z13" s="1"/>
    </row>
    <row r="14" spans="1:26" x14ac:dyDescent="0.25">
      <c r="A14" s="3" t="s">
        <v>14</v>
      </c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1"/>
      <c r="Z14" s="1"/>
    </row>
    <row r="15" spans="1:26" x14ac:dyDescent="0.25">
      <c r="A15" s="3" t="s">
        <v>15</v>
      </c>
      <c r="B15" s="5">
        <v>77226.7</v>
      </c>
      <c r="C15" s="5">
        <v>26048.400000000001</v>
      </c>
      <c r="D15" s="5">
        <v>24026.6</v>
      </c>
      <c r="E15" s="5">
        <v>15706.4</v>
      </c>
      <c r="F15" s="5">
        <v>17204.099999999999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1"/>
      <c r="Z15" s="1"/>
    </row>
    <row r="16" spans="1:26" x14ac:dyDescent="0.25">
      <c r="A16" s="3" t="s">
        <v>16</v>
      </c>
      <c r="B16" s="5">
        <v>2488179.0460000001</v>
      </c>
      <c r="C16" s="5">
        <v>3422125.5</v>
      </c>
      <c r="D16" s="5">
        <v>3887866.5</v>
      </c>
      <c r="E16" s="5">
        <v>3254666.4</v>
      </c>
      <c r="F16" s="5">
        <v>3651155.5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1"/>
      <c r="Z16" s="1"/>
    </row>
    <row r="17" spans="1:26" x14ac:dyDescent="0.25">
      <c r="A17" s="3" t="s">
        <v>17</v>
      </c>
      <c r="B17" s="6">
        <f>SUM(B$4:B$6)</f>
        <v>7602901.8049999997</v>
      </c>
      <c r="C17" s="6">
        <f t="shared" ref="C17:F17" si="1">SUM(C$4:C$6)</f>
        <v>8033383.9460000005</v>
      </c>
      <c r="D17" s="6">
        <f t="shared" si="1"/>
        <v>9298397</v>
      </c>
      <c r="E17" s="6">
        <f t="shared" si="1"/>
        <v>9302076.8000000007</v>
      </c>
      <c r="F17" s="6">
        <f t="shared" si="1"/>
        <v>8707885.5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1"/>
      <c r="Z17" s="1"/>
    </row>
    <row r="18" spans="1:26" x14ac:dyDescent="0.25">
      <c r="A18" s="3" t="s">
        <v>18</v>
      </c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"/>
      <c r="Z18" s="1"/>
    </row>
    <row r="19" spans="1:26" x14ac:dyDescent="0.25">
      <c r="A19" s="3" t="s">
        <v>5</v>
      </c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1"/>
      <c r="Z19" s="1"/>
    </row>
    <row r="20" spans="1:26" x14ac:dyDescent="0.25">
      <c r="A20" s="3" t="s">
        <v>19</v>
      </c>
      <c r="B20" s="5">
        <v>169978</v>
      </c>
      <c r="C20" s="5">
        <v>213779</v>
      </c>
      <c r="D20" s="5">
        <v>273088</v>
      </c>
      <c r="E20" s="5">
        <v>167952</v>
      </c>
      <c r="F20" s="5">
        <v>194787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1"/>
      <c r="Z20" s="1"/>
    </row>
    <row r="21" spans="1:26" x14ac:dyDescent="0.25">
      <c r="A21" s="3" t="s">
        <v>20</v>
      </c>
      <c r="B21" s="5">
        <v>9298</v>
      </c>
      <c r="C21" s="5">
        <v>13308</v>
      </c>
      <c r="D21" s="5">
        <v>13146</v>
      </c>
      <c r="E21" s="5">
        <v>8826</v>
      </c>
      <c r="F21" s="5">
        <v>11036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1"/>
      <c r="Z21" s="1"/>
    </row>
    <row r="22" spans="1:26" x14ac:dyDescent="0.25">
      <c r="A22" s="3" t="s">
        <v>13</v>
      </c>
      <c r="B22" s="5"/>
      <c r="C22" s="5"/>
      <c r="D22" s="5"/>
      <c r="E22" s="5"/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1"/>
      <c r="Z22" s="1"/>
    </row>
    <row r="23" spans="1:26" x14ac:dyDescent="0.25">
      <c r="A23" s="3" t="s">
        <v>21</v>
      </c>
      <c r="B23" s="5">
        <v>2483431</v>
      </c>
      <c r="C23" s="5">
        <v>1962562</v>
      </c>
      <c r="D23" s="5">
        <v>2764795</v>
      </c>
      <c r="E23" s="5">
        <v>3446372</v>
      </c>
      <c r="F23" s="5">
        <v>2359588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1"/>
      <c r="Z23" s="1"/>
    </row>
    <row r="24" spans="1:26" x14ac:dyDescent="0.25">
      <c r="A24" s="3" t="s">
        <v>20</v>
      </c>
      <c r="B24" s="5">
        <v>145748</v>
      </c>
      <c r="C24" s="5">
        <v>114033</v>
      </c>
      <c r="D24" s="5">
        <v>134860</v>
      </c>
      <c r="E24" s="5">
        <v>173678</v>
      </c>
      <c r="F24" s="5">
        <v>131250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1"/>
      <c r="Z24" s="1"/>
    </row>
    <row r="25" spans="1:26" x14ac:dyDescent="0.25">
      <c r="A25" s="3" t="s">
        <v>22</v>
      </c>
      <c r="B25" s="6">
        <f>B$23-B$20</f>
        <v>2313453</v>
      </c>
      <c r="C25" s="6">
        <f t="shared" ref="C25:F25" si="2">C$23-C$20</f>
        <v>1748783</v>
      </c>
      <c r="D25" s="6">
        <f t="shared" si="2"/>
        <v>2491707</v>
      </c>
      <c r="E25" s="6">
        <f t="shared" si="2"/>
        <v>3278420</v>
      </c>
      <c r="F25" s="6">
        <f t="shared" si="2"/>
        <v>2164801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1"/>
      <c r="Z25" s="1"/>
    </row>
    <row r="26" spans="1:26" x14ac:dyDescent="0.25">
      <c r="A26" s="3" t="s">
        <v>23</v>
      </c>
      <c r="B26" s="6">
        <f>B$24-B$21</f>
        <v>136450</v>
      </c>
      <c r="C26" s="6">
        <f t="shared" ref="C26:F26" si="3">C$24-C$21</f>
        <v>100725</v>
      </c>
      <c r="D26" s="6">
        <f t="shared" si="3"/>
        <v>121714</v>
      </c>
      <c r="E26" s="6">
        <f t="shared" si="3"/>
        <v>164852</v>
      </c>
      <c r="F26" s="6">
        <f t="shared" si="3"/>
        <v>120214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1"/>
      <c r="Z26" s="1"/>
    </row>
    <row r="27" spans="1:26" x14ac:dyDescent="0.25"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1"/>
      <c r="Z27" s="1"/>
    </row>
    <row r="28" spans="1:26" x14ac:dyDescent="0.25"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1"/>
      <c r="Z28" s="1"/>
    </row>
    <row r="29" spans="1:26" x14ac:dyDescent="0.25"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1"/>
      <c r="Z29" s="1"/>
    </row>
  </sheetData>
  <conditionalFormatting sqref="B2:F2">
    <cfRule type="expression" dxfId="1" priority="1">
      <formula>B15=MAX($B15,$F15)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BF58-5CEB-48CA-B998-8A61CF18BE4F}">
  <dimension ref="A1:X43"/>
  <sheetViews>
    <sheetView tabSelected="1" topLeftCell="D1" workbookViewId="0">
      <pane ySplit="1" topLeftCell="A2" activePane="bottomLeft" state="frozen"/>
      <selection pane="bottomLeft" activeCell="S13" sqref="S13"/>
    </sheetView>
  </sheetViews>
  <sheetFormatPr defaultRowHeight="15" x14ac:dyDescent="0.25"/>
  <cols>
    <col min="1" max="1" width="22.42578125" bestFit="1" customWidth="1"/>
    <col min="2" max="2" width="16.5703125" customWidth="1"/>
    <col min="3" max="3" width="22" customWidth="1"/>
    <col min="4" max="4" width="16.85546875" customWidth="1"/>
    <col min="5" max="5" width="21.5703125" customWidth="1"/>
    <col min="6" max="6" width="11" bestFit="1" customWidth="1"/>
    <col min="7" max="7" width="18.140625" customWidth="1"/>
    <col min="8" max="8" width="18.7109375" customWidth="1"/>
    <col min="9" max="9" width="17.5703125" customWidth="1"/>
    <col min="10" max="10" width="17.7109375" customWidth="1"/>
    <col min="11" max="11" width="17.28515625" customWidth="1"/>
    <col min="12" max="12" width="17.140625" customWidth="1"/>
    <col min="13" max="13" width="16.140625" customWidth="1"/>
  </cols>
  <sheetData>
    <row r="1" spans="1:24" s="10" customFormat="1" x14ac:dyDescent="0.25">
      <c r="A1" s="11" t="s">
        <v>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24" x14ac:dyDescent="0.25">
      <c r="A2" s="8"/>
      <c r="B2" s="12">
        <v>2009</v>
      </c>
      <c r="C2" s="12">
        <v>2010</v>
      </c>
      <c r="D2" s="12">
        <v>2011</v>
      </c>
      <c r="E2" s="12">
        <v>2012</v>
      </c>
      <c r="F2" s="12">
        <v>2013</v>
      </c>
      <c r="G2" s="12">
        <v>2014</v>
      </c>
      <c r="H2" s="12">
        <v>2015</v>
      </c>
      <c r="I2" s="12">
        <v>2016</v>
      </c>
      <c r="J2" s="12">
        <v>2017</v>
      </c>
      <c r="K2" s="12">
        <v>2018</v>
      </c>
      <c r="L2" s="12">
        <v>2019</v>
      </c>
      <c r="M2" s="12">
        <v>2020</v>
      </c>
    </row>
    <row r="3" spans="1:24" x14ac:dyDescent="0.25">
      <c r="A3" s="8" t="s">
        <v>27</v>
      </c>
      <c r="B3" s="9" t="s">
        <v>28</v>
      </c>
      <c r="C3" s="9">
        <v>121956.34</v>
      </c>
      <c r="D3" s="9">
        <v>124096.55</v>
      </c>
      <c r="E3" s="9">
        <v>120652.71</v>
      </c>
      <c r="F3" s="9">
        <v>132270.22</v>
      </c>
      <c r="G3" s="9">
        <v>140561.88</v>
      </c>
      <c r="H3" s="9" t="s">
        <v>28</v>
      </c>
      <c r="I3" s="9" t="s">
        <v>28</v>
      </c>
      <c r="J3" s="9">
        <v>136885.41</v>
      </c>
      <c r="K3" s="9">
        <v>124510.72</v>
      </c>
      <c r="L3" s="9">
        <v>139275.04999999999</v>
      </c>
      <c r="M3" s="9" t="s">
        <v>28</v>
      </c>
      <c r="Q3" t="s">
        <v>69</v>
      </c>
      <c r="W3" t="str">
        <f>INDEX(A5:M43,MATCH(MAX(L5:L43),L5:L43,0),1)</f>
        <v>Franciaország</v>
      </c>
    </row>
    <row r="4" spans="1:24" x14ac:dyDescent="0.25">
      <c r="A4" s="8" t="s">
        <v>29</v>
      </c>
      <c r="B4" s="9" t="s">
        <v>28</v>
      </c>
      <c r="C4" s="9">
        <v>136747.84</v>
      </c>
      <c r="D4" s="9">
        <v>139264.85</v>
      </c>
      <c r="E4" s="9">
        <v>133836.60999999999</v>
      </c>
      <c r="F4" s="9">
        <v>144121.91</v>
      </c>
      <c r="G4" s="9">
        <v>157071.34</v>
      </c>
      <c r="H4" s="9" t="s">
        <v>28</v>
      </c>
      <c r="I4" s="9" t="s">
        <v>28</v>
      </c>
      <c r="J4" s="9">
        <v>151549.89000000001</v>
      </c>
      <c r="K4" s="9">
        <v>137908.10999999999</v>
      </c>
      <c r="L4" s="9">
        <v>155310.9</v>
      </c>
      <c r="M4" s="9" t="s">
        <v>28</v>
      </c>
      <c r="Q4" t="s">
        <v>70</v>
      </c>
    </row>
    <row r="5" spans="1:24" x14ac:dyDescent="0.25">
      <c r="A5" s="8" t="s">
        <v>30</v>
      </c>
      <c r="B5" s="9">
        <v>1975.8</v>
      </c>
      <c r="C5" s="9">
        <v>1886.11</v>
      </c>
      <c r="D5" s="9">
        <v>1677.92</v>
      </c>
      <c r="E5" s="9">
        <v>1821.8</v>
      </c>
      <c r="F5" s="9">
        <v>1847.89</v>
      </c>
      <c r="G5" s="9">
        <v>1892.2</v>
      </c>
      <c r="H5" s="9">
        <v>2069.02</v>
      </c>
      <c r="I5" s="9">
        <v>1431.44</v>
      </c>
      <c r="J5" s="9">
        <v>1690.84</v>
      </c>
      <c r="K5" s="9">
        <v>1661.86</v>
      </c>
      <c r="L5" s="9">
        <v>1902.38</v>
      </c>
      <c r="M5" s="9" t="s">
        <v>28</v>
      </c>
      <c r="Q5" t="s">
        <v>71</v>
      </c>
      <c r="X5" s="4">
        <f>COUNTA(A5:A43)</f>
        <v>39</v>
      </c>
    </row>
    <row r="6" spans="1:24" x14ac:dyDescent="0.25">
      <c r="A6" s="8" t="s">
        <v>31</v>
      </c>
      <c r="B6" s="9">
        <v>4092.4</v>
      </c>
      <c r="C6" s="9">
        <v>4194.57</v>
      </c>
      <c r="D6" s="9">
        <v>4588.1000000000004</v>
      </c>
      <c r="E6" s="9">
        <v>4600.1499999999996</v>
      </c>
      <c r="F6" s="9">
        <v>5652.17</v>
      </c>
      <c r="G6" s="9">
        <v>5458.99</v>
      </c>
      <c r="H6" s="9">
        <v>5140.1400000000003</v>
      </c>
      <c r="I6" s="9">
        <v>5942.78</v>
      </c>
      <c r="J6" s="9">
        <v>6318.08</v>
      </c>
      <c r="K6" s="9">
        <v>5954.52</v>
      </c>
      <c r="L6" s="9">
        <v>6319.63</v>
      </c>
      <c r="M6" s="9" t="s">
        <v>28</v>
      </c>
    </row>
    <row r="7" spans="1:24" x14ac:dyDescent="0.25">
      <c r="A7" s="8" t="s">
        <v>32</v>
      </c>
      <c r="B7" s="9">
        <v>4358.1000000000004</v>
      </c>
      <c r="C7" s="9">
        <v>4161.55</v>
      </c>
      <c r="D7" s="9">
        <v>4913.05</v>
      </c>
      <c r="E7" s="9">
        <v>3518.9</v>
      </c>
      <c r="F7" s="9">
        <v>4700.7</v>
      </c>
      <c r="G7" s="9">
        <v>5442.35</v>
      </c>
      <c r="H7" s="9">
        <v>5274.27</v>
      </c>
      <c r="I7" s="9">
        <v>5454.66</v>
      </c>
      <c r="J7" s="9">
        <v>4718.21</v>
      </c>
      <c r="K7" s="9">
        <v>4417.84</v>
      </c>
      <c r="L7" s="9">
        <v>4812.16</v>
      </c>
      <c r="M7" s="9">
        <v>4919.04</v>
      </c>
    </row>
    <row r="8" spans="1:24" x14ac:dyDescent="0.25">
      <c r="A8" s="8" t="s">
        <v>33</v>
      </c>
      <c r="B8" s="9">
        <v>5871.33</v>
      </c>
      <c r="C8" s="9">
        <v>5001.0600000000004</v>
      </c>
      <c r="D8" s="9">
        <v>4775.22</v>
      </c>
      <c r="E8" s="9">
        <v>4472.4799999999996</v>
      </c>
      <c r="F8" s="9">
        <v>4097</v>
      </c>
      <c r="G8" s="9">
        <v>5093.38</v>
      </c>
      <c r="H8" s="9">
        <v>4971.51</v>
      </c>
      <c r="I8" s="9">
        <v>4152.6499999999996</v>
      </c>
      <c r="J8" s="9">
        <v>4777.8900000000003</v>
      </c>
      <c r="K8" s="9">
        <v>2623.93</v>
      </c>
      <c r="L8" s="9">
        <v>4642.09</v>
      </c>
      <c r="M8" s="9">
        <v>3889.85</v>
      </c>
      <c r="Q8" s="13">
        <v>0</v>
      </c>
      <c r="R8" s="14" t="s">
        <v>72</v>
      </c>
    </row>
    <row r="9" spans="1:24" x14ac:dyDescent="0.25">
      <c r="A9" s="8" t="s">
        <v>34</v>
      </c>
      <c r="B9" s="9">
        <v>25190.3</v>
      </c>
      <c r="C9" s="9">
        <v>23782.959999999999</v>
      </c>
      <c r="D9" s="9">
        <v>22782.7</v>
      </c>
      <c r="E9" s="9">
        <v>22409.3</v>
      </c>
      <c r="F9" s="9">
        <v>25019.1</v>
      </c>
      <c r="G9" s="9">
        <v>27784.799999999999</v>
      </c>
      <c r="H9" s="9">
        <v>26549.5</v>
      </c>
      <c r="I9" s="9">
        <v>24463.8</v>
      </c>
      <c r="J9" s="9">
        <v>24481.599999999999</v>
      </c>
      <c r="K9" s="9">
        <v>20263.5</v>
      </c>
      <c r="L9" s="9">
        <v>23062.6</v>
      </c>
      <c r="M9" s="9">
        <v>22170.5</v>
      </c>
      <c r="Q9" s="13">
        <v>0.25</v>
      </c>
      <c r="R9" s="14" t="s">
        <v>73</v>
      </c>
    </row>
    <row r="10" spans="1:24" x14ac:dyDescent="0.25">
      <c r="A10" s="8" t="s">
        <v>35</v>
      </c>
      <c r="B10" s="9">
        <v>342.5</v>
      </c>
      <c r="C10" s="9">
        <v>327.60000000000002</v>
      </c>
      <c r="D10" s="9">
        <v>360.2</v>
      </c>
      <c r="E10" s="9">
        <v>484.7</v>
      </c>
      <c r="F10" s="9">
        <v>406.8</v>
      </c>
      <c r="G10" s="9">
        <v>615.5</v>
      </c>
      <c r="H10" s="9">
        <v>812.6</v>
      </c>
      <c r="I10" s="9">
        <v>455.5</v>
      </c>
      <c r="J10" s="9">
        <v>713.26</v>
      </c>
      <c r="K10" s="9">
        <v>450.27</v>
      </c>
      <c r="L10" s="9">
        <v>846.58</v>
      </c>
      <c r="M10" s="9" t="s">
        <v>28</v>
      </c>
      <c r="Q10" s="13">
        <v>0.5</v>
      </c>
      <c r="R10" s="14" t="s">
        <v>74</v>
      </c>
    </row>
    <row r="11" spans="1:24" x14ac:dyDescent="0.25">
      <c r="A11" s="8" t="s">
        <v>36</v>
      </c>
      <c r="B11" s="9">
        <v>646.39</v>
      </c>
      <c r="C11" s="9">
        <v>640.42999999999995</v>
      </c>
      <c r="D11" s="9">
        <v>872.06</v>
      </c>
      <c r="E11" s="9">
        <v>656.22</v>
      </c>
      <c r="F11" s="9">
        <v>524.84</v>
      </c>
      <c r="G11" s="9">
        <v>678.55</v>
      </c>
      <c r="H11" s="9">
        <v>653.41</v>
      </c>
      <c r="I11" s="9">
        <v>610.24</v>
      </c>
      <c r="J11" s="9">
        <v>634.4</v>
      </c>
      <c r="K11" s="9">
        <v>485.48</v>
      </c>
      <c r="L11" s="9">
        <v>595.36</v>
      </c>
      <c r="M11" s="9">
        <v>362.7</v>
      </c>
      <c r="Q11" s="13">
        <v>0.75</v>
      </c>
      <c r="R11" s="14" t="s">
        <v>75</v>
      </c>
    </row>
    <row r="12" spans="1:24" x14ac:dyDescent="0.25">
      <c r="A12" s="8" t="s">
        <v>37</v>
      </c>
      <c r="B12" s="9">
        <v>2235.06</v>
      </c>
      <c r="C12" s="9">
        <v>2114.7600000000002</v>
      </c>
      <c r="D12" s="9">
        <v>1931.81</v>
      </c>
      <c r="E12" s="9">
        <v>1636.83</v>
      </c>
      <c r="F12" s="9">
        <v>1716.05</v>
      </c>
      <c r="G12" s="9">
        <v>1737.3</v>
      </c>
      <c r="H12" s="9">
        <v>1190.1099999999999</v>
      </c>
      <c r="I12" s="9">
        <v>1665.35</v>
      </c>
      <c r="J12" s="9">
        <v>1023.9</v>
      </c>
      <c r="K12" s="9">
        <v>1072.94</v>
      </c>
      <c r="L12" s="9">
        <v>1066.49</v>
      </c>
      <c r="M12" s="9">
        <v>1071.7</v>
      </c>
      <c r="Q12" s="13">
        <v>0.9</v>
      </c>
      <c r="R12" s="14" t="s">
        <v>76</v>
      </c>
    </row>
    <row r="13" spans="1:24" x14ac:dyDescent="0.25">
      <c r="A13" s="8" t="s">
        <v>38</v>
      </c>
      <c r="B13" s="9">
        <v>4883.6899999999996</v>
      </c>
      <c r="C13" s="9">
        <v>6079.36</v>
      </c>
      <c r="D13" s="9">
        <v>7957.86</v>
      </c>
      <c r="E13" s="9">
        <v>5310.52</v>
      </c>
      <c r="F13" s="9">
        <v>7924.91</v>
      </c>
      <c r="G13" s="9">
        <v>6621.89</v>
      </c>
      <c r="H13" s="9">
        <v>6627.04</v>
      </c>
      <c r="I13" s="9">
        <v>8199.69</v>
      </c>
      <c r="J13" s="9">
        <v>5033.04</v>
      </c>
      <c r="K13" s="9">
        <v>8322.51</v>
      </c>
      <c r="L13" s="9">
        <v>6041.17</v>
      </c>
      <c r="M13" s="9">
        <v>8261.8700000000008</v>
      </c>
    </row>
    <row r="14" spans="1:24" x14ac:dyDescent="0.25">
      <c r="A14" s="8" t="s">
        <v>39</v>
      </c>
      <c r="B14" s="9">
        <v>37878.97</v>
      </c>
      <c r="C14" s="9">
        <v>37593.230000000003</v>
      </c>
      <c r="D14" s="9">
        <v>35574.269999999997</v>
      </c>
      <c r="E14" s="9">
        <v>37479.86</v>
      </c>
      <c r="F14" s="9">
        <v>38188.22</v>
      </c>
      <c r="G14" s="9">
        <v>38538.230000000003</v>
      </c>
      <c r="H14" s="9">
        <v>42219.23</v>
      </c>
      <c r="I14" s="9">
        <v>28913.58</v>
      </c>
      <c r="J14" s="9">
        <v>38228.15</v>
      </c>
      <c r="K14" s="9">
        <v>35424.14</v>
      </c>
      <c r="L14" s="9">
        <v>40639.08</v>
      </c>
      <c r="M14" s="9" t="s">
        <v>28</v>
      </c>
    </row>
    <row r="15" spans="1:24" x14ac:dyDescent="0.25">
      <c r="A15" s="8" t="s">
        <v>40</v>
      </c>
      <c r="B15" s="9">
        <v>946.96</v>
      </c>
      <c r="C15" s="9">
        <v>688.94</v>
      </c>
      <c r="D15" s="9">
        <v>791.6</v>
      </c>
      <c r="E15" s="9">
        <v>1011.31</v>
      </c>
      <c r="F15" s="9">
        <v>1010.56</v>
      </c>
      <c r="G15" s="9">
        <v>658.37</v>
      </c>
      <c r="H15" s="9">
        <v>771.85</v>
      </c>
      <c r="I15" s="9">
        <v>969.05</v>
      </c>
      <c r="J15" s="9">
        <v>695.59</v>
      </c>
      <c r="K15" s="9">
        <v>753.06</v>
      </c>
      <c r="L15" s="9">
        <v>803.27</v>
      </c>
      <c r="M15" s="9">
        <v>822.15</v>
      </c>
    </row>
    <row r="16" spans="1:24" x14ac:dyDescent="0.25">
      <c r="A16" s="8" t="s">
        <v>41</v>
      </c>
      <c r="B16" s="9">
        <v>6267.27</v>
      </c>
      <c r="C16" s="9">
        <v>6698.46</v>
      </c>
      <c r="D16" s="9">
        <v>6545</v>
      </c>
      <c r="E16" s="9">
        <v>7565.24</v>
      </c>
      <c r="F16" s="9">
        <v>7510.13</v>
      </c>
      <c r="G16" s="9">
        <v>7317.15</v>
      </c>
      <c r="H16" s="9" t="s">
        <v>28</v>
      </c>
      <c r="I16" s="9">
        <v>8236.9500000000007</v>
      </c>
      <c r="J16" s="9">
        <v>7139.01</v>
      </c>
      <c r="K16" s="9">
        <v>7104.65</v>
      </c>
      <c r="L16" s="9">
        <v>6739.47</v>
      </c>
      <c r="M16" s="9">
        <v>6648.07</v>
      </c>
    </row>
    <row r="17" spans="1:13" x14ac:dyDescent="0.25">
      <c r="A17" s="8" t="s">
        <v>42</v>
      </c>
      <c r="B17" s="9">
        <v>15.34</v>
      </c>
      <c r="C17" s="9">
        <v>19.440000000000001</v>
      </c>
      <c r="D17" s="9">
        <v>24.46</v>
      </c>
      <c r="E17" s="9">
        <v>23.51</v>
      </c>
      <c r="F17" s="9">
        <v>15.66</v>
      </c>
      <c r="G17" s="9">
        <v>4.53</v>
      </c>
      <c r="H17" s="9">
        <v>36.06</v>
      </c>
      <c r="I17" s="9">
        <v>7.1</v>
      </c>
      <c r="J17" s="9">
        <v>17.11</v>
      </c>
      <c r="K17" s="9">
        <v>15.33</v>
      </c>
      <c r="L17" s="9">
        <v>28.45</v>
      </c>
      <c r="M17" s="9">
        <v>27.88</v>
      </c>
    </row>
    <row r="18" spans="1:13" x14ac:dyDescent="0.25">
      <c r="A18" s="8" t="s">
        <v>43</v>
      </c>
      <c r="B18" s="9">
        <v>1036.4000000000001</v>
      </c>
      <c r="C18" s="9">
        <v>989.4</v>
      </c>
      <c r="D18" s="9">
        <v>939.5</v>
      </c>
      <c r="E18" s="9">
        <v>1539.8</v>
      </c>
      <c r="F18" s="9">
        <v>1435</v>
      </c>
      <c r="G18" s="9">
        <v>1467.5</v>
      </c>
      <c r="H18" s="9">
        <v>2250.1</v>
      </c>
      <c r="I18" s="9">
        <v>2062.3000000000002</v>
      </c>
      <c r="J18" s="9">
        <v>2138.8000000000002</v>
      </c>
      <c r="K18" s="9">
        <v>1431.6</v>
      </c>
      <c r="L18" s="9">
        <v>2371</v>
      </c>
      <c r="M18" s="9" t="s">
        <v>28</v>
      </c>
    </row>
    <row r="19" spans="1:13" x14ac:dyDescent="0.25">
      <c r="A19" s="8" t="s">
        <v>44</v>
      </c>
      <c r="B19" s="9">
        <v>2100.1999999999998</v>
      </c>
      <c r="C19" s="9">
        <v>1710.4</v>
      </c>
      <c r="D19" s="9">
        <v>1869.3</v>
      </c>
      <c r="E19" s="9">
        <v>2998.9</v>
      </c>
      <c r="F19" s="9">
        <v>2871.3</v>
      </c>
      <c r="G19" s="9">
        <v>3230.6</v>
      </c>
      <c r="H19" s="9">
        <v>4394.08</v>
      </c>
      <c r="I19" s="9">
        <v>3844.49</v>
      </c>
      <c r="J19" s="9">
        <v>3917.37</v>
      </c>
      <c r="K19" s="9">
        <v>2838.9</v>
      </c>
      <c r="L19" s="9">
        <v>3843.85</v>
      </c>
      <c r="M19" s="9">
        <v>4461.8</v>
      </c>
    </row>
    <row r="20" spans="1:13" x14ac:dyDescent="0.25">
      <c r="A20" s="8" t="s">
        <v>45</v>
      </c>
      <c r="B20" s="9">
        <v>89.84</v>
      </c>
      <c r="C20" s="9">
        <v>82.5</v>
      </c>
      <c r="D20" s="9">
        <v>75.95</v>
      </c>
      <c r="E20" s="9">
        <v>78.28</v>
      </c>
      <c r="F20" s="9">
        <v>90</v>
      </c>
      <c r="G20" s="9">
        <v>77.040000000000006</v>
      </c>
      <c r="H20" s="9">
        <v>92.01</v>
      </c>
      <c r="I20" s="9">
        <v>70.150000000000006</v>
      </c>
      <c r="J20" s="9">
        <v>77.55</v>
      </c>
      <c r="K20" s="9">
        <v>79.650000000000006</v>
      </c>
      <c r="L20" s="9">
        <v>82.26</v>
      </c>
      <c r="M20" s="9" t="s">
        <v>28</v>
      </c>
    </row>
    <row r="21" spans="1:13" x14ac:dyDescent="0.25">
      <c r="A21" s="8" t="s">
        <v>46</v>
      </c>
      <c r="B21" s="9">
        <v>4393.41</v>
      </c>
      <c r="C21" s="9">
        <v>3723.41</v>
      </c>
      <c r="D21" s="9">
        <v>4082.76</v>
      </c>
      <c r="E21" s="9">
        <v>3987.67</v>
      </c>
      <c r="F21" s="9">
        <v>5028.8900000000003</v>
      </c>
      <c r="G21" s="9">
        <v>5261.89</v>
      </c>
      <c r="H21" s="9">
        <v>5331.43</v>
      </c>
      <c r="I21" s="9">
        <v>5603.18</v>
      </c>
      <c r="J21" s="9">
        <v>5246.26</v>
      </c>
      <c r="K21" s="9">
        <v>5258.43</v>
      </c>
      <c r="L21" s="9">
        <v>5369.68</v>
      </c>
      <c r="M21" s="9">
        <v>5010.03</v>
      </c>
    </row>
    <row r="22" spans="1:13" x14ac:dyDescent="0.25">
      <c r="A22" s="8" t="s">
        <v>47</v>
      </c>
      <c r="B22" s="9" t="s">
        <v>28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</row>
    <row r="23" spans="1:13" x14ac:dyDescent="0.25">
      <c r="A23" s="8" t="s">
        <v>48</v>
      </c>
      <c r="B23" s="9">
        <v>1369.4</v>
      </c>
      <c r="C23" s="9">
        <v>1338.14</v>
      </c>
      <c r="D23" s="9">
        <v>1147.67</v>
      </c>
      <c r="E23" s="9">
        <v>1271.72</v>
      </c>
      <c r="F23" s="9">
        <v>1303.95</v>
      </c>
      <c r="G23" s="9">
        <v>1273.67</v>
      </c>
      <c r="H23" s="9">
        <v>1269.81</v>
      </c>
      <c r="I23" s="9">
        <v>995.2</v>
      </c>
      <c r="J23" s="9">
        <v>1032.21</v>
      </c>
      <c r="K23" s="9">
        <v>961.92</v>
      </c>
      <c r="L23" s="9">
        <v>1130.53</v>
      </c>
      <c r="M23" s="9" t="s">
        <v>28</v>
      </c>
    </row>
    <row r="24" spans="1:13" x14ac:dyDescent="0.25">
      <c r="A24" s="8" t="s">
        <v>49</v>
      </c>
      <c r="B24" s="9">
        <v>1523.4</v>
      </c>
      <c r="C24" s="9">
        <v>1517.81</v>
      </c>
      <c r="D24" s="9">
        <v>1781.84</v>
      </c>
      <c r="E24" s="9">
        <v>1275.5</v>
      </c>
      <c r="F24" s="9">
        <v>1597.71</v>
      </c>
      <c r="G24" s="9">
        <v>1804.02</v>
      </c>
      <c r="H24" s="9">
        <v>1715.7</v>
      </c>
      <c r="I24" s="9">
        <v>1965.54</v>
      </c>
      <c r="J24" s="9">
        <v>1434.38</v>
      </c>
      <c r="K24" s="9">
        <v>1367.06</v>
      </c>
      <c r="L24" s="9">
        <v>1596.88</v>
      </c>
      <c r="M24" s="9">
        <v>1571.36</v>
      </c>
    </row>
    <row r="25" spans="1:13" x14ac:dyDescent="0.25">
      <c r="A25" s="8" t="s">
        <v>50</v>
      </c>
      <c r="B25" s="9">
        <v>9676.06</v>
      </c>
      <c r="C25" s="9">
        <v>9298.7000000000007</v>
      </c>
      <c r="D25" s="9">
        <v>9230.6</v>
      </c>
      <c r="E25" s="9">
        <v>8507.51</v>
      </c>
      <c r="F25" s="9">
        <v>9374.91</v>
      </c>
      <c r="G25" s="9">
        <v>11493.48</v>
      </c>
      <c r="H25" s="9">
        <v>10753.93</v>
      </c>
      <c r="I25" s="9">
        <v>10626.45</v>
      </c>
      <c r="J25" s="9">
        <v>11448.66</v>
      </c>
      <c r="K25" s="9">
        <v>9637.6200000000008</v>
      </c>
      <c r="L25" s="9">
        <v>10807.49</v>
      </c>
      <c r="M25" s="9">
        <v>11351.31</v>
      </c>
    </row>
    <row r="26" spans="1:13" x14ac:dyDescent="0.25">
      <c r="A26" s="8" t="s">
        <v>51</v>
      </c>
      <c r="B26" s="9">
        <v>128.47999999999999</v>
      </c>
      <c r="C26" s="9">
        <v>85.46</v>
      </c>
      <c r="D26" s="9">
        <v>52.78</v>
      </c>
      <c r="E26" s="9">
        <v>61.05</v>
      </c>
      <c r="F26" s="9">
        <v>95.22</v>
      </c>
      <c r="G26" s="9">
        <v>102.24</v>
      </c>
      <c r="H26" s="9">
        <v>83.2</v>
      </c>
      <c r="I26" s="9">
        <v>93.16</v>
      </c>
      <c r="J26" s="9">
        <v>61.69</v>
      </c>
      <c r="K26" s="9">
        <v>70.11</v>
      </c>
      <c r="L26" s="9">
        <v>61.6</v>
      </c>
      <c r="M26" s="9">
        <v>58.53</v>
      </c>
    </row>
    <row r="27" spans="1:13" x14ac:dyDescent="0.25">
      <c r="A27" s="8" t="s">
        <v>52</v>
      </c>
      <c r="B27" s="9">
        <v>5202.53</v>
      </c>
      <c r="C27" s="9">
        <v>5811.81</v>
      </c>
      <c r="D27" s="9">
        <v>7131.59</v>
      </c>
      <c r="E27" s="9">
        <v>5297.75</v>
      </c>
      <c r="F27" s="9">
        <v>7296.37</v>
      </c>
      <c r="G27" s="9">
        <v>7584.81</v>
      </c>
      <c r="H27" s="9">
        <v>7962.42</v>
      </c>
      <c r="I27" s="9">
        <v>8431.1299999999992</v>
      </c>
      <c r="J27" s="9">
        <v>10034.959999999999</v>
      </c>
      <c r="K27" s="9">
        <v>10143.67</v>
      </c>
      <c r="L27" s="9">
        <v>10019.82</v>
      </c>
      <c r="M27" s="9">
        <v>6064.55</v>
      </c>
    </row>
    <row r="28" spans="1:13" x14ac:dyDescent="0.25">
      <c r="A28" s="8" t="s">
        <v>53</v>
      </c>
      <c r="B28" s="9">
        <v>136.9</v>
      </c>
      <c r="C28" s="9">
        <v>153.47999999999999</v>
      </c>
      <c r="D28" s="9">
        <v>153.58000000000001</v>
      </c>
      <c r="E28" s="9">
        <v>188.07</v>
      </c>
      <c r="F28" s="9">
        <v>138.24</v>
      </c>
      <c r="G28" s="9">
        <v>173.24</v>
      </c>
      <c r="H28" s="9">
        <v>157.06</v>
      </c>
      <c r="I28" s="9">
        <v>163.16999999999999</v>
      </c>
      <c r="J28" s="9">
        <v>140.96</v>
      </c>
      <c r="K28" s="9">
        <v>121.9</v>
      </c>
      <c r="L28" s="9">
        <v>139.81</v>
      </c>
      <c r="M28" s="9">
        <v>158.05000000000001</v>
      </c>
    </row>
    <row r="29" spans="1:13" x14ac:dyDescent="0.25">
      <c r="A29" s="8" t="s">
        <v>54</v>
      </c>
      <c r="B29" s="9">
        <v>1528.96</v>
      </c>
      <c r="C29" s="9">
        <v>1178.4000000000001</v>
      </c>
      <c r="D29" s="9">
        <v>1621.62</v>
      </c>
      <c r="E29" s="9">
        <v>1267.8900000000001</v>
      </c>
      <c r="F29" s="9">
        <v>1674.48</v>
      </c>
      <c r="G29" s="9">
        <v>2060.36</v>
      </c>
      <c r="H29" s="9">
        <v>2082.13</v>
      </c>
      <c r="I29" s="9" t="s">
        <v>28</v>
      </c>
      <c r="J29" s="9">
        <v>1770.66</v>
      </c>
      <c r="K29" s="9">
        <v>1927.93</v>
      </c>
      <c r="L29" s="9">
        <v>1959.94</v>
      </c>
      <c r="M29" s="9">
        <v>2100</v>
      </c>
    </row>
    <row r="30" spans="1:13" x14ac:dyDescent="0.25">
      <c r="A30" s="8" t="s">
        <v>55</v>
      </c>
      <c r="B30" s="9">
        <v>899.38</v>
      </c>
      <c r="C30" s="9">
        <v>735.35</v>
      </c>
      <c r="D30" s="9">
        <v>988.4</v>
      </c>
      <c r="E30" s="9">
        <v>898.45</v>
      </c>
      <c r="F30" s="9">
        <v>881.53</v>
      </c>
      <c r="G30" s="9">
        <v>1103.3800000000001</v>
      </c>
      <c r="H30" s="9">
        <v>1005.94</v>
      </c>
      <c r="I30" s="9">
        <v>834.44</v>
      </c>
      <c r="J30" s="9">
        <v>812.24</v>
      </c>
      <c r="K30" s="9">
        <v>501.6</v>
      </c>
      <c r="L30" s="9">
        <v>914.18</v>
      </c>
      <c r="M30" s="9">
        <v>753.3</v>
      </c>
    </row>
    <row r="31" spans="1:13" x14ac:dyDescent="0.25">
      <c r="A31" s="8" t="s">
        <v>56</v>
      </c>
      <c r="B31" s="9">
        <v>2277.9</v>
      </c>
      <c r="C31" s="9">
        <v>2143</v>
      </c>
      <c r="D31" s="9">
        <v>2226.6999999999998</v>
      </c>
      <c r="E31" s="9">
        <v>2289.3000000000002</v>
      </c>
      <c r="F31" s="9">
        <v>1868.6</v>
      </c>
      <c r="G31" s="9">
        <v>3086.4</v>
      </c>
      <c r="H31" s="9">
        <v>3300.4</v>
      </c>
      <c r="I31" s="9">
        <v>2841.6</v>
      </c>
      <c r="J31" s="9">
        <v>3298.6</v>
      </c>
      <c r="K31" s="9">
        <v>1620.3</v>
      </c>
      <c r="L31" s="9">
        <v>3476.8</v>
      </c>
      <c r="M31" s="9">
        <v>3113</v>
      </c>
    </row>
    <row r="32" spans="1:13" x14ac:dyDescent="0.25">
      <c r="A32" s="8" t="s">
        <v>57</v>
      </c>
      <c r="B32" s="9">
        <v>13994.16</v>
      </c>
      <c r="C32" s="9">
        <v>14791.5</v>
      </c>
      <c r="D32" s="9">
        <v>15168.3</v>
      </c>
      <c r="E32" s="9">
        <v>13183.9</v>
      </c>
      <c r="F32" s="9">
        <v>11851.69</v>
      </c>
      <c r="G32" s="9">
        <v>16509.45</v>
      </c>
      <c r="H32" s="9">
        <v>16348.4</v>
      </c>
      <c r="I32" s="9">
        <v>14215.76</v>
      </c>
      <c r="J32" s="9">
        <v>14664.48</v>
      </c>
      <c r="K32" s="9">
        <v>13397.38</v>
      </c>
      <c r="L32" s="9">
        <v>16035.84</v>
      </c>
      <c r="M32" s="9">
        <v>9962.7900000000009</v>
      </c>
    </row>
    <row r="33" spans="1:13" x14ac:dyDescent="0.25">
      <c r="A33" s="8" t="s">
        <v>58</v>
      </c>
      <c r="B33" s="9" t="s">
        <v>28</v>
      </c>
      <c r="C33" s="9" t="s">
        <v>28</v>
      </c>
      <c r="D33" s="9">
        <v>0.1</v>
      </c>
      <c r="E33" s="9" t="s">
        <v>28</v>
      </c>
      <c r="F33" s="9" t="s">
        <v>28</v>
      </c>
      <c r="G33" s="9" t="s">
        <v>28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 t="s">
        <v>28</v>
      </c>
    </row>
    <row r="34" spans="1:13" x14ac:dyDescent="0.25">
      <c r="A34" s="8" t="s">
        <v>59</v>
      </c>
      <c r="B34" s="9" t="s">
        <v>28</v>
      </c>
      <c r="C34" s="9" t="s">
        <v>28</v>
      </c>
      <c r="D34" s="9" t="s">
        <v>28</v>
      </c>
      <c r="E34" s="9" t="s">
        <v>28</v>
      </c>
      <c r="F34" s="9" t="s">
        <v>28</v>
      </c>
      <c r="G34" s="9" t="s">
        <v>28</v>
      </c>
      <c r="H34" s="9" t="s">
        <v>28</v>
      </c>
      <c r="I34" s="9" t="s">
        <v>28</v>
      </c>
      <c r="J34" s="9" t="s">
        <v>28</v>
      </c>
      <c r="K34" s="9" t="s">
        <v>28</v>
      </c>
      <c r="L34" s="9" t="s">
        <v>28</v>
      </c>
      <c r="M34" s="9" t="s">
        <v>28</v>
      </c>
    </row>
    <row r="35" spans="1:13" x14ac:dyDescent="0.25">
      <c r="A35" s="8" t="s">
        <v>60</v>
      </c>
      <c r="B35" s="9" t="s">
        <v>28</v>
      </c>
      <c r="C35" s="9">
        <v>327.14999999999998</v>
      </c>
      <c r="D35" s="9">
        <v>281.69</v>
      </c>
      <c r="E35" s="9">
        <v>271.8</v>
      </c>
      <c r="F35" s="9">
        <v>210.52</v>
      </c>
      <c r="G35" s="9">
        <v>385.07</v>
      </c>
      <c r="H35" s="9">
        <v>489.44</v>
      </c>
      <c r="I35" s="9">
        <v>305.8</v>
      </c>
      <c r="J35" s="9" t="s">
        <v>28</v>
      </c>
      <c r="K35" s="9" t="s">
        <v>28</v>
      </c>
      <c r="L35" s="9" t="s">
        <v>28</v>
      </c>
      <c r="M35" s="9" t="s">
        <v>28</v>
      </c>
    </row>
    <row r="36" spans="1:13" x14ac:dyDescent="0.25">
      <c r="A36" s="8" t="s">
        <v>61</v>
      </c>
      <c r="B36" s="9">
        <v>557.37</v>
      </c>
      <c r="C36" s="9">
        <v>531.19000000000005</v>
      </c>
      <c r="D36" s="9">
        <v>560.67999999999995</v>
      </c>
      <c r="E36" s="9">
        <v>519.30999999999995</v>
      </c>
      <c r="F36" s="9">
        <v>488.36</v>
      </c>
      <c r="G36" s="9">
        <v>557.07000000000005</v>
      </c>
      <c r="H36" s="9">
        <v>533.21</v>
      </c>
      <c r="I36" s="9">
        <v>391.11</v>
      </c>
      <c r="J36" s="9">
        <v>536.65</v>
      </c>
      <c r="K36" s="9">
        <v>502.85</v>
      </c>
      <c r="L36" s="9">
        <v>518.1</v>
      </c>
      <c r="M36" s="9" t="s">
        <v>28</v>
      </c>
    </row>
    <row r="37" spans="1:13" x14ac:dyDescent="0.25">
      <c r="A37" s="8" t="s">
        <v>62</v>
      </c>
      <c r="B37" s="9">
        <v>1.17</v>
      </c>
      <c r="C37" s="9">
        <v>0.96</v>
      </c>
      <c r="D37" s="9">
        <v>1.63</v>
      </c>
      <c r="E37" s="9">
        <v>1.46</v>
      </c>
      <c r="F37" s="9">
        <v>2.33</v>
      </c>
      <c r="G37" s="9">
        <v>2.1800000000000002</v>
      </c>
      <c r="H37" s="9">
        <v>2.13</v>
      </c>
      <c r="I37" s="9">
        <v>2.38</v>
      </c>
      <c r="J37" s="9">
        <v>2.4900000000000002</v>
      </c>
      <c r="K37" s="9">
        <v>2.5</v>
      </c>
      <c r="L37" s="9" t="s">
        <v>28</v>
      </c>
      <c r="M37" s="9" t="s">
        <v>28</v>
      </c>
    </row>
    <row r="38" spans="1:13" x14ac:dyDescent="0.25">
      <c r="A38" s="8" t="s">
        <v>63</v>
      </c>
      <c r="B38" s="9">
        <v>274.27</v>
      </c>
      <c r="C38" s="9">
        <v>245.96</v>
      </c>
      <c r="D38" s="9">
        <v>259.08</v>
      </c>
      <c r="E38" s="9">
        <v>217.46</v>
      </c>
      <c r="F38" s="9">
        <v>261.97000000000003</v>
      </c>
      <c r="G38" s="9">
        <v>291.3</v>
      </c>
      <c r="H38" s="9">
        <v>203.56</v>
      </c>
      <c r="I38" s="9">
        <v>310</v>
      </c>
      <c r="J38" s="9">
        <v>202.44</v>
      </c>
      <c r="K38" s="9">
        <v>243.91</v>
      </c>
      <c r="L38" s="9">
        <v>242.71</v>
      </c>
      <c r="M38" s="9">
        <v>240.46</v>
      </c>
    </row>
    <row r="39" spans="1:13" x14ac:dyDescent="0.25">
      <c r="A39" s="8" t="s">
        <v>64</v>
      </c>
      <c r="B39" s="9">
        <v>329.23</v>
      </c>
      <c r="C39" s="9">
        <v>291.47000000000003</v>
      </c>
      <c r="D39" s="9">
        <v>289.39999999999998</v>
      </c>
      <c r="E39" s="9">
        <v>296.51</v>
      </c>
      <c r="F39" s="9" t="s">
        <v>28</v>
      </c>
      <c r="G39" s="9">
        <v>276.74</v>
      </c>
      <c r="H39" s="9">
        <v>271.8</v>
      </c>
      <c r="I39" s="9">
        <v>271.8</v>
      </c>
      <c r="J39" s="9" t="s">
        <v>28</v>
      </c>
      <c r="K39" s="9">
        <v>237.51</v>
      </c>
      <c r="L39" s="9" t="s">
        <v>28</v>
      </c>
      <c r="M39" s="9" t="s">
        <v>28</v>
      </c>
    </row>
    <row r="40" spans="1:13" x14ac:dyDescent="0.25">
      <c r="A40" s="8" t="s">
        <v>65</v>
      </c>
      <c r="B40" s="9">
        <v>2598.1799999999998</v>
      </c>
      <c r="C40" s="9">
        <v>2085.5300000000002</v>
      </c>
      <c r="D40" s="9">
        <v>2609.19</v>
      </c>
      <c r="E40" s="9">
        <v>2399.2199999999998</v>
      </c>
      <c r="F40" s="9">
        <v>2690.27</v>
      </c>
      <c r="G40" s="9">
        <v>2387.1999999999998</v>
      </c>
      <c r="H40" s="9">
        <v>2428.1999999999998</v>
      </c>
      <c r="I40" s="9">
        <v>2885</v>
      </c>
      <c r="J40" s="9">
        <v>2275.6</v>
      </c>
      <c r="K40" s="9">
        <v>2941.6</v>
      </c>
      <c r="L40" s="9">
        <v>2534.64</v>
      </c>
      <c r="M40" s="9" t="s">
        <v>28</v>
      </c>
    </row>
    <row r="41" spans="1:13" x14ac:dyDescent="0.25">
      <c r="A41" s="8" t="s">
        <v>66</v>
      </c>
      <c r="B41" s="9">
        <v>20520</v>
      </c>
      <c r="C41" s="9">
        <v>19682</v>
      </c>
      <c r="D41" s="9">
        <v>21807</v>
      </c>
      <c r="E41" s="9">
        <v>20107</v>
      </c>
      <c r="F41" s="9">
        <v>22064</v>
      </c>
      <c r="G41" s="9">
        <v>19006</v>
      </c>
      <c r="H41" s="9">
        <v>22605</v>
      </c>
      <c r="I41" s="9">
        <v>21467.53</v>
      </c>
      <c r="J41" s="9">
        <v>22407.29</v>
      </c>
      <c r="K41" s="9">
        <v>20664.59</v>
      </c>
      <c r="L41" s="9">
        <v>19798.47</v>
      </c>
      <c r="M41" s="9" t="s">
        <v>28</v>
      </c>
    </row>
    <row r="42" spans="1:13" x14ac:dyDescent="0.25">
      <c r="A42" s="8" t="s">
        <v>67</v>
      </c>
      <c r="B42" s="9">
        <v>258.82</v>
      </c>
      <c r="C42" s="9">
        <v>293.79000000000002</v>
      </c>
      <c r="D42" s="9">
        <v>212.45</v>
      </c>
      <c r="E42" s="9">
        <v>227.75</v>
      </c>
      <c r="F42" s="9">
        <v>268.24</v>
      </c>
      <c r="G42" s="9">
        <v>172.03</v>
      </c>
      <c r="H42" s="9">
        <v>215.49</v>
      </c>
      <c r="I42" s="9">
        <v>310.17</v>
      </c>
      <c r="J42" s="9">
        <v>292.10000000000002</v>
      </c>
      <c r="K42" s="9">
        <v>299.25</v>
      </c>
      <c r="L42" s="9">
        <v>267.85000000000002</v>
      </c>
      <c r="M42" s="9" t="s">
        <v>28</v>
      </c>
    </row>
    <row r="43" spans="1:13" x14ac:dyDescent="0.25">
      <c r="A43" s="8" t="s">
        <v>68</v>
      </c>
      <c r="B43" s="9">
        <v>271.39999999999998</v>
      </c>
      <c r="C43" s="9">
        <v>294.5</v>
      </c>
      <c r="D43" s="9">
        <v>300.2</v>
      </c>
      <c r="E43" s="9">
        <v>345</v>
      </c>
      <c r="F43" s="9">
        <v>391.7</v>
      </c>
      <c r="G43" s="9">
        <v>328.2</v>
      </c>
      <c r="H43" s="9">
        <v>304.39999999999998</v>
      </c>
      <c r="I43" s="9">
        <v>365.7</v>
      </c>
      <c r="J43" s="9">
        <v>320.10000000000002</v>
      </c>
      <c r="K43" s="9">
        <v>280.60000000000002</v>
      </c>
      <c r="L43" s="9">
        <v>285</v>
      </c>
      <c r="M43" s="9" t="s">
        <v>28</v>
      </c>
    </row>
  </sheetData>
  <mergeCells count="1">
    <mergeCell ref="A1:M1"/>
  </mergeCells>
  <conditionalFormatting sqref="A3:A50">
    <cfRule type="expression" dxfId="0" priority="1">
      <formula>B$26=""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Magyarországi adatok</vt:lpstr>
      <vt:lpstr>EU-s adatok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balint</dc:creator>
  <cp:lastModifiedBy>O365 felhasználó</cp:lastModifiedBy>
  <dcterms:created xsi:type="dcterms:W3CDTF">2026-09-27T17:06:49Z</dcterms:created>
  <dcterms:modified xsi:type="dcterms:W3CDTF">2026-09-27T17:29:42Z</dcterms:modified>
</cp:coreProperties>
</file>