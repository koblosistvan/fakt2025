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AKT\excel\"/>
    </mc:Choice>
  </mc:AlternateContent>
  <xr:revisionPtr revIDLastSave="0" documentId="13_ncr:1_{260D43D7-EA64-4FD2-BD69-A98BCBCD1110}" xr6:coauthVersionLast="36" xr6:coauthVersionMax="36" xr10:uidLastSave="{00000000-0000-0000-0000-000000000000}"/>
  <bookViews>
    <workbookView xWindow="0" yWindow="0" windowWidth="21600" windowHeight="9405" xr2:uid="{4C34A1B2-222C-46AC-B021-0FE23D45351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A27" i="1" l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31" i="1"/>
  <c r="D31" i="1"/>
  <c r="E31" i="1"/>
  <c r="F31" i="1"/>
  <c r="G31" i="1"/>
  <c r="H31" i="1"/>
  <c r="B32" i="1"/>
  <c r="C32" i="1"/>
  <c r="D32" i="1"/>
  <c r="E32" i="1"/>
  <c r="F32" i="1"/>
  <c r="G32" i="1"/>
  <c r="H32" i="1"/>
  <c r="B33" i="1"/>
  <c r="C33" i="1"/>
  <c r="D33" i="1"/>
  <c r="E33" i="1"/>
  <c r="F33" i="1"/>
  <c r="G33" i="1"/>
  <c r="H33" i="1"/>
  <c r="B34" i="1"/>
  <c r="C34" i="1"/>
  <c r="D34" i="1"/>
  <c r="E34" i="1"/>
  <c r="F34" i="1"/>
  <c r="G34" i="1"/>
  <c r="H34" i="1"/>
  <c r="B35" i="1"/>
  <c r="C35" i="1"/>
  <c r="D35" i="1"/>
  <c r="E35" i="1"/>
  <c r="F35" i="1"/>
  <c r="G35" i="1"/>
  <c r="H35" i="1"/>
  <c r="B36" i="1"/>
  <c r="C36" i="1"/>
  <c r="D36" i="1"/>
  <c r="E36" i="1"/>
  <c r="F36" i="1"/>
  <c r="G36" i="1"/>
  <c r="H36" i="1"/>
  <c r="B37" i="1"/>
  <c r="C37" i="1"/>
  <c r="D37" i="1"/>
  <c r="E37" i="1"/>
  <c r="F37" i="1"/>
  <c r="G37" i="1"/>
  <c r="H37" i="1"/>
  <c r="B38" i="1"/>
  <c r="C38" i="1"/>
  <c r="D38" i="1"/>
  <c r="E38" i="1"/>
  <c r="F38" i="1"/>
  <c r="G38" i="1"/>
  <c r="H38" i="1"/>
  <c r="B39" i="1"/>
  <c r="C39" i="1"/>
  <c r="D39" i="1"/>
  <c r="E39" i="1"/>
  <c r="F39" i="1"/>
  <c r="G39" i="1"/>
  <c r="H39" i="1"/>
  <c r="B40" i="1"/>
  <c r="C40" i="1"/>
  <c r="D40" i="1"/>
  <c r="E40" i="1"/>
  <c r="F40" i="1"/>
  <c r="G40" i="1"/>
  <c r="H40" i="1"/>
  <c r="B41" i="1"/>
  <c r="C41" i="1"/>
  <c r="D41" i="1"/>
  <c r="E41" i="1"/>
  <c r="F41" i="1"/>
  <c r="G41" i="1"/>
  <c r="H41" i="1"/>
  <c r="B42" i="1"/>
  <c r="C42" i="1"/>
  <c r="D42" i="1"/>
  <c r="E42" i="1"/>
  <c r="F42" i="1"/>
  <c r="G42" i="1"/>
  <c r="H42" i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C26" i="1"/>
  <c r="D26" i="1"/>
  <c r="E26" i="1"/>
  <c r="F26" i="1"/>
  <c r="G26" i="1"/>
  <c r="H26" i="1"/>
  <c r="B2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<sst xmlns="http://schemas.openxmlformats.org/spreadsheetml/2006/main" count="23" uniqueCount="15">
  <si>
    <t>Év</t>
  </si>
  <si>
    <t>Java</t>
  </si>
  <si>
    <t>Python</t>
  </si>
  <si>
    <t>C/C++</t>
  </si>
  <si>
    <t>C#</t>
  </si>
  <si>
    <t>Javascript</t>
  </si>
  <si>
    <t>PHP</t>
  </si>
  <si>
    <t>R</t>
  </si>
  <si>
    <t>I.hely</t>
  </si>
  <si>
    <t>I.helyezett</t>
  </si>
  <si>
    <t>II:hely</t>
  </si>
  <si>
    <t>II.helyezett</t>
  </si>
  <si>
    <t>III.hely</t>
  </si>
  <si>
    <t>III.helyezett</t>
  </si>
  <si>
    <t>Változás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</si>
</sst>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6">
    <dxf>
      <fill>
        <patternFill>
          <bgColor rgb="FFC00000"/>
        </patternFill>
      </fill>
    </dxf>
    <dxf>
      <font>
        <color theme="0"/>
      </font>
      <fill>
        <patternFill patternType="solid">
          <fgColor theme="0"/>
          <bgColor theme="9"/>
        </patternFill>
      </fill>
    </dxf>
    <dxf>
      <fill>
        <patternFill>
          <bgColor rgb="FFC00000"/>
        </patternFill>
      </fill>
    </dxf>
    <dxf>
      <font>
        <color theme="0"/>
      </font>
      <fill>
        <patternFill patternType="solid">
          <fgColor theme="0"/>
          <bgColor theme="9"/>
        </patternFill>
      </fill>
    </dxf>
    <dxf>
      <font>
        <color theme="0"/>
      </font>
      <fill>
        <patternFill patternType="solid">
          <fgColor theme="0"/>
          <bgColor theme="9"/>
        </patternFill>
      </fill>
    </dxf>
    <dxf>
      <font>
        <color theme="9"/>
      </font>
      <fill>
        <patternFill>
          <f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2BFA-E562-4626-8C25-E2A76811DC9C}">
  <dimension ref="A1:R44"/>
  <sheetViews>
    <sheetView tabSelected="1" workbookViewId="0">
      <selection activeCell="M2" activeCellId="1" sqref="K2:K21 M2:M21"/>
    </sheetView>
  </sheetViews>
  <sheetFormatPr defaultRowHeight="15" x14ac:dyDescent="0.25"/>
  <cols>
    <col min="10" max="10" width="10.28515625" bestFit="1" customWidth="1"/>
    <col min="12" max="12" width="11.7109375" customWidth="1"/>
    <col min="14" max="14" width="11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25">
      <c r="A2">
        <v>2005</v>
      </c>
      <c r="B2" s="1">
        <v>0.29599999999999999</v>
      </c>
      <c r="C2" s="1">
        <v>2.9000000000000001E-2</v>
      </c>
      <c r="D2" s="1">
        <v>9.7000000000000003E-2</v>
      </c>
      <c r="E2" s="1">
        <v>5.3999999999999999E-2</v>
      </c>
      <c r="F2" s="1">
        <v>8.1000000000000003E-2</v>
      </c>
      <c r="G2" s="1">
        <v>0.19800000000000001</v>
      </c>
      <c r="H2" s="1">
        <v>4.0000000000000001E-3</v>
      </c>
      <c r="I2" s="1">
        <f>MAX($B2:$H2)</f>
        <v>0.29599999999999999</v>
      </c>
      <c r="K2" s="1">
        <f>LARGE($B2:$H2,2)</f>
        <v>0.19800000000000001</v>
      </c>
      <c r="M2" s="1">
        <f>LARGE(B2:H2,3)</f>
        <v>9.7000000000000003E-2</v>
      </c>
      <c r="R2" s="1"/>
    </row>
    <row r="3" spans="1:18" x14ac:dyDescent="0.25">
      <c r="A3">
        <v>2006</v>
      </c>
      <c r="B3" s="1">
        <v>0.29699999999999999</v>
      </c>
      <c r="C3" s="1">
        <v>0.04</v>
      </c>
      <c r="D3" s="1">
        <v>8.5000000000000006E-2</v>
      </c>
      <c r="E3" s="1">
        <v>6.3E-2</v>
      </c>
      <c r="F3" s="1">
        <v>0.08</v>
      </c>
      <c r="G3" s="1">
        <v>0.19700000000000001</v>
      </c>
      <c r="H3" s="1">
        <v>5.0000000000000001E-3</v>
      </c>
      <c r="I3" s="1">
        <f t="shared" ref="I3:I21" si="0">MAX($B3:$H3)</f>
        <v>0.29699999999999999</v>
      </c>
      <c r="K3" s="1">
        <f t="shared" ref="K3:K21" si="1">LARGE($B3:$H3,2)</f>
        <v>0.19700000000000001</v>
      </c>
      <c r="M3" s="1">
        <f t="shared" ref="M3:M21" si="2">LARGE(B3:H3,3)</f>
        <v>8.5000000000000006E-2</v>
      </c>
    </row>
    <row r="4" spans="1:18" x14ac:dyDescent="0.25">
      <c r="A4">
        <v>2007</v>
      </c>
      <c r="B4" s="1">
        <v>0.30099999999999999</v>
      </c>
      <c r="C4" s="1">
        <v>4.1000000000000002E-2</v>
      </c>
      <c r="D4" s="1">
        <v>8.1000000000000003E-2</v>
      </c>
      <c r="E4" s="1">
        <v>8.1000000000000003E-2</v>
      </c>
      <c r="F4" s="1">
        <v>8.4000000000000005E-2</v>
      </c>
      <c r="G4" s="1">
        <v>0.19900000000000001</v>
      </c>
      <c r="H4" s="1">
        <v>6.0000000000000001E-3</v>
      </c>
      <c r="I4" s="1">
        <f t="shared" si="0"/>
        <v>0.30099999999999999</v>
      </c>
      <c r="K4" s="1">
        <f t="shared" si="1"/>
        <v>0.19900000000000001</v>
      </c>
      <c r="M4" s="1">
        <f t="shared" si="2"/>
        <v>8.4000000000000005E-2</v>
      </c>
    </row>
    <row r="5" spans="1:18" x14ac:dyDescent="0.25">
      <c r="A5">
        <v>2008</v>
      </c>
      <c r="B5" s="1">
        <v>0.30399999999999999</v>
      </c>
      <c r="C5" s="1">
        <v>4.8000000000000001E-2</v>
      </c>
      <c r="D5" s="1">
        <v>0.08</v>
      </c>
      <c r="E5" s="1">
        <v>0.08</v>
      </c>
      <c r="F5" s="1">
        <v>8.1000000000000003E-2</v>
      </c>
      <c r="G5" s="1">
        <v>0.19600000000000001</v>
      </c>
      <c r="H5" s="1">
        <v>8.0000000000000002E-3</v>
      </c>
      <c r="I5" s="1">
        <f t="shared" si="0"/>
        <v>0.30399999999999999</v>
      </c>
      <c r="K5" s="1">
        <f t="shared" si="1"/>
        <v>0.19600000000000001</v>
      </c>
      <c r="M5" s="1">
        <f t="shared" si="2"/>
        <v>8.1000000000000003E-2</v>
      </c>
    </row>
    <row r="6" spans="1:18" x14ac:dyDescent="0.25">
      <c r="A6">
        <v>2009</v>
      </c>
      <c r="B6" s="1">
        <v>0.28199999999999997</v>
      </c>
      <c r="C6" s="1">
        <v>6.2E-2</v>
      </c>
      <c r="D6" s="1">
        <v>8.5000000000000006E-2</v>
      </c>
      <c r="E6" s="1">
        <v>7.8E-2</v>
      </c>
      <c r="F6" s="1">
        <v>0.08</v>
      </c>
      <c r="G6" s="1">
        <v>0.188</v>
      </c>
      <c r="H6" s="1">
        <v>8.9999999999999993E-3</v>
      </c>
      <c r="I6" s="1">
        <f t="shared" si="0"/>
        <v>0.28199999999999997</v>
      </c>
      <c r="K6" s="1">
        <f t="shared" si="1"/>
        <v>0.188</v>
      </c>
      <c r="M6" s="1">
        <f t="shared" si="2"/>
        <v>8.5000000000000006E-2</v>
      </c>
    </row>
    <row r="7" spans="1:18" x14ac:dyDescent="0.25">
      <c r="A7">
        <v>2010</v>
      </c>
      <c r="B7" s="1">
        <v>0.28100000000000003</v>
      </c>
      <c r="C7" s="1">
        <v>6.5000000000000002E-2</v>
      </c>
      <c r="D7" s="1">
        <v>0.108</v>
      </c>
      <c r="E7" s="1">
        <v>6.4000000000000001E-2</v>
      </c>
      <c r="F7" s="1">
        <v>7.3999999999999996E-2</v>
      </c>
      <c r="G7" s="1">
        <v>0.186</v>
      </c>
      <c r="H7" s="1">
        <v>1.0999999999999999E-2</v>
      </c>
      <c r="I7" s="1">
        <f t="shared" si="0"/>
        <v>0.28100000000000003</v>
      </c>
      <c r="K7" s="1">
        <f t="shared" si="1"/>
        <v>0.186</v>
      </c>
      <c r="M7" s="1">
        <f t="shared" si="2"/>
        <v>0.108</v>
      </c>
    </row>
    <row r="8" spans="1:18" x14ac:dyDescent="0.25">
      <c r="A8">
        <v>2011</v>
      </c>
      <c r="B8" s="1">
        <v>0.28199999999999997</v>
      </c>
      <c r="C8" s="1">
        <v>6.7000000000000004E-2</v>
      </c>
      <c r="D8" s="1">
        <v>0.122</v>
      </c>
      <c r="E8" s="1">
        <v>6.4000000000000001E-2</v>
      </c>
      <c r="F8" s="1">
        <v>6.8000000000000005E-2</v>
      </c>
      <c r="G8" s="1">
        <v>0.16200000000000001</v>
      </c>
      <c r="H8" s="1">
        <v>1.2999999999999999E-2</v>
      </c>
      <c r="I8" s="1">
        <f t="shared" si="0"/>
        <v>0.28199999999999997</v>
      </c>
      <c r="K8" s="1">
        <f t="shared" si="1"/>
        <v>0.16200000000000001</v>
      </c>
      <c r="M8" s="1">
        <f t="shared" si="2"/>
        <v>0.122</v>
      </c>
    </row>
    <row r="9" spans="1:18" x14ac:dyDescent="0.25">
      <c r="A9">
        <v>2012</v>
      </c>
      <c r="B9" s="1">
        <v>0.27600000000000002</v>
      </c>
      <c r="C9" s="1">
        <v>7.8E-2</v>
      </c>
      <c r="D9" s="1">
        <v>0.11899999999999999</v>
      </c>
      <c r="E9" s="1">
        <v>6.4000000000000001E-2</v>
      </c>
      <c r="F9" s="1">
        <v>7.1999999999999995E-2</v>
      </c>
      <c r="G9" s="1">
        <v>0.156</v>
      </c>
      <c r="H9" s="1">
        <v>1.4E-2</v>
      </c>
      <c r="I9" s="1">
        <f t="shared" si="0"/>
        <v>0.27600000000000002</v>
      </c>
      <c r="K9" s="1">
        <f t="shared" si="1"/>
        <v>0.156</v>
      </c>
      <c r="M9" s="1">
        <f t="shared" si="2"/>
        <v>0.11899999999999999</v>
      </c>
    </row>
    <row r="10" spans="1:18" x14ac:dyDescent="0.25">
      <c r="A10">
        <v>2013</v>
      </c>
      <c r="B10" s="1">
        <v>0.26500000000000001</v>
      </c>
      <c r="C10" s="1">
        <v>8.5000000000000006E-2</v>
      </c>
      <c r="D10" s="1">
        <v>8.6999999999999994E-2</v>
      </c>
      <c r="E10" s="1">
        <v>9.5000000000000001E-2</v>
      </c>
      <c r="F10" s="1">
        <v>7.0999999999999994E-2</v>
      </c>
      <c r="G10" s="1">
        <v>0.14199999999999999</v>
      </c>
      <c r="H10" s="1">
        <v>1.9E-2</v>
      </c>
      <c r="I10" s="1">
        <f t="shared" si="0"/>
        <v>0.26500000000000001</v>
      </c>
      <c r="K10" s="1">
        <f t="shared" si="1"/>
        <v>0.14199999999999999</v>
      </c>
      <c r="M10" s="1">
        <f t="shared" si="2"/>
        <v>9.5000000000000001E-2</v>
      </c>
    </row>
    <row r="11" spans="1:18" x14ac:dyDescent="0.25">
      <c r="A11">
        <v>2014</v>
      </c>
      <c r="B11" s="1">
        <v>0.26200000000000001</v>
      </c>
      <c r="C11" s="1">
        <v>9.9000000000000005E-2</v>
      </c>
      <c r="D11" s="1">
        <v>8.1000000000000003E-2</v>
      </c>
      <c r="E11" s="1">
        <v>9.7000000000000003E-2</v>
      </c>
      <c r="F11" s="1">
        <v>7.2999999999999995E-2</v>
      </c>
      <c r="G11" s="1">
        <v>0.13100000000000001</v>
      </c>
      <c r="H11" s="1">
        <v>2.1999999999999999E-2</v>
      </c>
      <c r="I11" s="1">
        <f t="shared" si="0"/>
        <v>0.26200000000000001</v>
      </c>
      <c r="K11" s="1">
        <f t="shared" si="1"/>
        <v>0.13100000000000001</v>
      </c>
      <c r="M11" s="1">
        <f t="shared" si="2"/>
        <v>9.9000000000000005E-2</v>
      </c>
    </row>
    <row r="12" spans="1:18" x14ac:dyDescent="0.25">
      <c r="A12">
        <v>2015</v>
      </c>
      <c r="B12" s="1">
        <v>0.25600000000000001</v>
      </c>
      <c r="C12" s="1">
        <v>0.106</v>
      </c>
      <c r="D12" s="1">
        <v>0.08</v>
      </c>
      <c r="E12" s="1">
        <v>9.1999999999999998E-2</v>
      </c>
      <c r="F12" s="1">
        <v>7.2999999999999995E-2</v>
      </c>
      <c r="G12" s="1">
        <v>0.11899999999999999</v>
      </c>
      <c r="H12" s="1">
        <v>2.5999999999999999E-2</v>
      </c>
      <c r="I12" s="1">
        <f t="shared" si="0"/>
        <v>0.25600000000000001</v>
      </c>
      <c r="K12" s="1">
        <f t="shared" si="1"/>
        <v>0.11899999999999999</v>
      </c>
      <c r="M12" s="1">
        <f t="shared" si="2"/>
        <v>0.106</v>
      </c>
    </row>
    <row r="13" spans="1:18" x14ac:dyDescent="0.25">
      <c r="A13">
        <v>2016</v>
      </c>
      <c r="B13" s="1">
        <v>0.24</v>
      </c>
      <c r="C13" s="1">
        <v>0.123</v>
      </c>
      <c r="D13" s="1">
        <v>7.6999999999999999E-2</v>
      </c>
      <c r="E13" s="1">
        <v>8.8999999999999996E-2</v>
      </c>
      <c r="F13" s="1">
        <v>7.5999999999999998E-2</v>
      </c>
      <c r="G13" s="1">
        <v>0.111</v>
      </c>
      <c r="H13" s="1">
        <v>0.03</v>
      </c>
      <c r="I13" s="1">
        <f t="shared" si="0"/>
        <v>0.24</v>
      </c>
      <c r="K13" s="1">
        <f t="shared" si="1"/>
        <v>0.123</v>
      </c>
      <c r="M13" s="1">
        <f t="shared" si="2"/>
        <v>0.111</v>
      </c>
    </row>
    <row r="14" spans="1:18" x14ac:dyDescent="0.25">
      <c r="A14">
        <v>2017</v>
      </c>
      <c r="B14" s="1">
        <v>0.22900000000000001</v>
      </c>
      <c r="C14" s="1">
        <v>0.152</v>
      </c>
      <c r="D14" s="1">
        <v>7.4999999999999997E-2</v>
      </c>
      <c r="E14" s="1">
        <v>8.5999999999999993E-2</v>
      </c>
      <c r="F14" s="1">
        <v>0.08</v>
      </c>
      <c r="G14" s="1">
        <v>0.10100000000000001</v>
      </c>
      <c r="H14" s="1">
        <v>3.5000000000000003E-2</v>
      </c>
      <c r="I14" s="1">
        <f t="shared" si="0"/>
        <v>0.22900000000000001</v>
      </c>
      <c r="K14" s="1">
        <f t="shared" si="1"/>
        <v>0.152</v>
      </c>
      <c r="M14" s="1">
        <f t="shared" si="2"/>
        <v>0.10100000000000001</v>
      </c>
    </row>
    <row r="15" spans="1:18" x14ac:dyDescent="0.25">
      <c r="A15">
        <v>2018</v>
      </c>
      <c r="B15" s="1">
        <v>0.20100000000000001</v>
      </c>
      <c r="C15" s="1">
        <v>0.22</v>
      </c>
      <c r="D15" s="1">
        <v>6.5000000000000002E-2</v>
      </c>
      <c r="E15" s="1">
        <v>7.8E-2</v>
      </c>
      <c r="F15" s="1">
        <v>8.2000000000000003E-2</v>
      </c>
      <c r="G15" s="1">
        <v>8.3000000000000004E-2</v>
      </c>
      <c r="H15" s="1">
        <v>4.2000000000000003E-2</v>
      </c>
      <c r="I15" s="1">
        <f t="shared" si="0"/>
        <v>0.22</v>
      </c>
      <c r="K15" s="1">
        <f t="shared" si="1"/>
        <v>0.20100000000000001</v>
      </c>
      <c r="M15" s="1">
        <f t="shared" si="2"/>
        <v>8.3000000000000004E-2</v>
      </c>
    </row>
    <row r="16" spans="1:18" x14ac:dyDescent="0.25">
      <c r="A16">
        <v>2019</v>
      </c>
      <c r="B16" s="1">
        <v>0.21</v>
      </c>
      <c r="C16" s="1">
        <v>0.25</v>
      </c>
      <c r="D16" s="1">
        <v>6.0999999999999999E-2</v>
      </c>
      <c r="E16" s="1">
        <v>7.3999999999999996E-2</v>
      </c>
      <c r="F16" s="1">
        <v>8.1000000000000003E-2</v>
      </c>
      <c r="G16" s="1">
        <v>7.1999999999999995E-2</v>
      </c>
      <c r="H16" s="1">
        <v>3.9E-2</v>
      </c>
      <c r="I16" s="1">
        <f t="shared" si="0"/>
        <v>0.25</v>
      </c>
      <c r="K16" s="1">
        <f t="shared" si="1"/>
        <v>0.21</v>
      </c>
      <c r="M16" s="1">
        <f t="shared" si="2"/>
        <v>8.1000000000000003E-2</v>
      </c>
    </row>
    <row r="17" spans="1:13" x14ac:dyDescent="0.25">
      <c r="A17">
        <v>2020</v>
      </c>
      <c r="B17" s="1">
        <v>0.185</v>
      </c>
      <c r="C17" s="1">
        <v>0.28699999999999998</v>
      </c>
      <c r="D17" s="1">
        <v>5.8999999999999997E-2</v>
      </c>
      <c r="E17" s="1">
        <v>7.0999999999999994E-2</v>
      </c>
      <c r="F17" s="1">
        <v>0.08</v>
      </c>
      <c r="G17" s="1">
        <v>6.0999999999999999E-2</v>
      </c>
      <c r="H17" s="1">
        <v>3.6999999999999998E-2</v>
      </c>
      <c r="I17" s="1">
        <f t="shared" si="0"/>
        <v>0.28699999999999998</v>
      </c>
      <c r="K17" s="1">
        <f t="shared" si="1"/>
        <v>0.185</v>
      </c>
      <c r="M17" s="1">
        <f t="shared" si="2"/>
        <v>0.08</v>
      </c>
    </row>
    <row r="18" spans="1:13" x14ac:dyDescent="0.25">
      <c r="A18">
        <v>2021</v>
      </c>
      <c r="B18" s="1">
        <v>0.16700000000000001</v>
      </c>
      <c r="C18" s="1">
        <v>0.30199999999999999</v>
      </c>
      <c r="D18" s="1">
        <v>6.2E-2</v>
      </c>
      <c r="E18" s="1">
        <v>6.5000000000000002E-2</v>
      </c>
      <c r="F18" s="1">
        <v>8.4000000000000005E-2</v>
      </c>
      <c r="G18" s="1">
        <v>0.06</v>
      </c>
      <c r="H18" s="1">
        <v>3.7999999999999999E-2</v>
      </c>
      <c r="I18" s="1">
        <f t="shared" si="0"/>
        <v>0.30199999999999999</v>
      </c>
      <c r="K18" s="1">
        <f t="shared" si="1"/>
        <v>0.16700000000000001</v>
      </c>
      <c r="M18" s="1">
        <f t="shared" si="2"/>
        <v>8.4000000000000005E-2</v>
      </c>
    </row>
    <row r="19" spans="1:13" x14ac:dyDescent="0.25">
      <c r="A19">
        <v>2022</v>
      </c>
      <c r="B19" s="1">
        <v>0.18099999999999999</v>
      </c>
      <c r="C19" s="1">
        <v>0.28799999999999998</v>
      </c>
      <c r="D19" s="1">
        <v>7.2999999999999995E-2</v>
      </c>
      <c r="E19" s="1">
        <v>7.2999999999999995E-2</v>
      </c>
      <c r="F19" s="1">
        <v>9.0999999999999998E-2</v>
      </c>
      <c r="G19" s="1">
        <v>6.0999999999999999E-2</v>
      </c>
      <c r="H19" s="1">
        <v>4.2000000000000003E-2</v>
      </c>
      <c r="I19" s="1">
        <f t="shared" si="0"/>
        <v>0.28799999999999998</v>
      </c>
      <c r="K19" s="1">
        <f t="shared" si="1"/>
        <v>0.18099999999999999</v>
      </c>
      <c r="M19" s="1">
        <f t="shared" si="2"/>
        <v>9.0999999999999998E-2</v>
      </c>
    </row>
    <row r="20" spans="1:13" x14ac:dyDescent="0.25">
      <c r="A20">
        <v>2023</v>
      </c>
      <c r="B20" s="1">
        <v>0.16600000000000001</v>
      </c>
      <c r="C20" s="1">
        <v>0.27500000000000002</v>
      </c>
      <c r="D20" s="1">
        <v>6.8000000000000005E-2</v>
      </c>
      <c r="E20" s="1">
        <v>6.9000000000000006E-2</v>
      </c>
      <c r="F20" s="1">
        <v>9.6000000000000002E-2</v>
      </c>
      <c r="G20" s="1">
        <v>5.1999999999999998E-2</v>
      </c>
      <c r="H20" s="1">
        <v>0.04</v>
      </c>
      <c r="I20" s="1">
        <f t="shared" si="0"/>
        <v>0.27500000000000002</v>
      </c>
      <c r="K20" s="1">
        <f t="shared" si="1"/>
        <v>0.16600000000000001</v>
      </c>
      <c r="M20" s="1">
        <f t="shared" si="2"/>
        <v>9.6000000000000002E-2</v>
      </c>
    </row>
    <row r="21" spans="1:13" x14ac:dyDescent="0.25">
      <c r="A21">
        <v>2024</v>
      </c>
      <c r="B21" s="1">
        <v>0.157</v>
      </c>
      <c r="C21" s="1">
        <v>0.28100000000000003</v>
      </c>
      <c r="D21" s="1">
        <v>6.6000000000000003E-2</v>
      </c>
      <c r="E21" s="1">
        <v>6.6000000000000003E-2</v>
      </c>
      <c r="F21" s="1">
        <v>8.8999999999999996E-2</v>
      </c>
      <c r="G21" s="1">
        <v>4.4999999999999998E-2</v>
      </c>
      <c r="H21" s="1">
        <v>4.5999999999999999E-2</v>
      </c>
      <c r="I21" s="1">
        <f t="shared" si="0"/>
        <v>0.28100000000000003</v>
      </c>
      <c r="K21" s="1">
        <f t="shared" si="1"/>
        <v>0.157</v>
      </c>
      <c r="M21" s="1">
        <f t="shared" si="2"/>
        <v>8.8999999999999996E-2</v>
      </c>
    </row>
    <row r="25" spans="1:13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</row>
    <row r="26" spans="1:13" x14ac:dyDescent="0.25">
      <c r="A26" t="str">
        <f>$A2&amp; "/"&amp;RIGHT($A3,2)</f>
        <v>2005/06</v>
      </c>
      <c r="B26" s="1">
        <f>B3-B2</f>
        <v>1.0000000000000009E-3</v>
      </c>
      <c r="C26" s="1">
        <f t="shared" ref="C26:H26" si="3">C3-C2</f>
        <v>1.0999999999999999E-2</v>
      </c>
      <c r="D26" s="1">
        <f t="shared" si="3"/>
        <v>-1.1999999999999997E-2</v>
      </c>
      <c r="E26" s="1">
        <f t="shared" si="3"/>
        <v>9.0000000000000011E-3</v>
      </c>
      <c r="F26" s="1">
        <f t="shared" si="3"/>
        <v>-1.0000000000000009E-3</v>
      </c>
      <c r="G26" s="1">
        <f t="shared" si="3"/>
        <v>-1.0000000000000009E-3</v>
      </c>
      <c r="H26" s="1">
        <f t="shared" si="3"/>
        <v>1E-3</v>
      </c>
    </row>
    <row r="27" spans="1:13" x14ac:dyDescent="0.25">
      <c r="A27" t="str">
        <f t="shared" ref="A27:A44" si="4">$A3&amp; "/"&amp;RIGHT($A4,2)</f>
        <v>2006/07</v>
      </c>
      <c r="B27" s="1">
        <f t="shared" ref="B27:H27" si="5">B4-B3</f>
        <v>4.0000000000000036E-3</v>
      </c>
      <c r="C27" s="1">
        <f t="shared" si="5"/>
        <v>1.0000000000000009E-3</v>
      </c>
      <c r="D27" s="1">
        <f t="shared" si="5"/>
        <v>-4.0000000000000036E-3</v>
      </c>
      <c r="E27" s="1">
        <f t="shared" si="5"/>
        <v>1.8000000000000002E-2</v>
      </c>
      <c r="F27" s="1">
        <f t="shared" si="5"/>
        <v>4.0000000000000036E-3</v>
      </c>
      <c r="G27" s="1">
        <f t="shared" si="5"/>
        <v>2.0000000000000018E-3</v>
      </c>
      <c r="H27" s="1">
        <f t="shared" si="5"/>
        <v>1E-3</v>
      </c>
    </row>
    <row r="28" spans="1:13" x14ac:dyDescent="0.25">
      <c r="A28" t="str">
        <f t="shared" si="4"/>
        <v>2007/08</v>
      </c>
      <c r="B28" s="1">
        <f t="shared" ref="B28:H28" si="6">B5-B4</f>
        <v>3.0000000000000027E-3</v>
      </c>
      <c r="C28" s="1">
        <f t="shared" si="6"/>
        <v>6.9999999999999993E-3</v>
      </c>
      <c r="D28" s="1">
        <f t="shared" si="6"/>
        <v>-1.0000000000000009E-3</v>
      </c>
      <c r="E28" s="1">
        <f t="shared" si="6"/>
        <v>-1.0000000000000009E-3</v>
      </c>
      <c r="F28" s="1">
        <f t="shared" si="6"/>
        <v>-3.0000000000000027E-3</v>
      </c>
      <c r="G28" s="1">
        <f t="shared" si="6"/>
        <v>-3.0000000000000027E-3</v>
      </c>
      <c r="H28" s="1">
        <f t="shared" si="6"/>
        <v>2E-3</v>
      </c>
    </row>
    <row r="29" spans="1:13" x14ac:dyDescent="0.25">
      <c r="A29" t="str">
        <f t="shared" si="4"/>
        <v>2008/09</v>
      </c>
      <c r="B29" s="1">
        <f t="shared" ref="B29:H29" si="7">B6-B5</f>
        <v>-2.200000000000002E-2</v>
      </c>
      <c r="C29" s="1">
        <f t="shared" si="7"/>
        <v>1.3999999999999999E-2</v>
      </c>
      <c r="D29" s="1">
        <f t="shared" si="7"/>
        <v>5.0000000000000044E-3</v>
      </c>
      <c r="E29" s="1">
        <f t="shared" si="7"/>
        <v>-2.0000000000000018E-3</v>
      </c>
      <c r="F29" s="1">
        <f t="shared" si="7"/>
        <v>-1.0000000000000009E-3</v>
      </c>
      <c r="G29" s="1">
        <f t="shared" si="7"/>
        <v>-8.0000000000000071E-3</v>
      </c>
      <c r="H29" s="1">
        <f t="shared" si="7"/>
        <v>9.9999999999999915E-4</v>
      </c>
    </row>
    <row r="30" spans="1:13" x14ac:dyDescent="0.25">
      <c r="A30" t="str">
        <f t="shared" si="4"/>
        <v>2009/10</v>
      </c>
      <c r="B30" s="1">
        <f t="shared" ref="B30:H30" si="8">B7-B6</f>
        <v>-9.9999999999994538E-4</v>
      </c>
      <c r="C30" s="1">
        <f t="shared" si="8"/>
        <v>3.0000000000000027E-3</v>
      </c>
      <c r="D30" s="1">
        <f t="shared" si="8"/>
        <v>2.2999999999999993E-2</v>
      </c>
      <c r="E30" s="1">
        <f t="shared" si="8"/>
        <v>-1.3999999999999999E-2</v>
      </c>
      <c r="F30" s="1">
        <f t="shared" si="8"/>
        <v>-6.0000000000000053E-3</v>
      </c>
      <c r="G30" s="1">
        <f t="shared" si="8"/>
        <v>-2.0000000000000018E-3</v>
      </c>
      <c r="H30" s="1">
        <f t="shared" si="8"/>
        <v>2E-3</v>
      </c>
    </row>
    <row r="31" spans="1:13" x14ac:dyDescent="0.25">
      <c r="A31" t="str">
        <f t="shared" si="4"/>
        <v>2010/11</v>
      </c>
      <c r="B31" s="1">
        <f t="shared" ref="B31:H31" si="9">B8-B7</f>
        <v>9.9999999999994538E-4</v>
      </c>
      <c r="C31" s="1">
        <f t="shared" si="9"/>
        <v>2.0000000000000018E-3</v>
      </c>
      <c r="D31" s="1">
        <f t="shared" si="9"/>
        <v>1.3999999999999999E-2</v>
      </c>
      <c r="E31" s="1">
        <f t="shared" si="9"/>
        <v>0</v>
      </c>
      <c r="F31" s="1">
        <f t="shared" si="9"/>
        <v>-5.9999999999999915E-3</v>
      </c>
      <c r="G31" s="1">
        <f t="shared" si="9"/>
        <v>-2.3999999999999994E-2</v>
      </c>
      <c r="H31" s="1">
        <f t="shared" si="9"/>
        <v>2E-3</v>
      </c>
    </row>
    <row r="32" spans="1:13" x14ac:dyDescent="0.25">
      <c r="A32" t="str">
        <f t="shared" si="4"/>
        <v>2011/12</v>
      </c>
      <c r="B32" s="1">
        <f t="shared" ref="B32:H32" si="10">B9-B8</f>
        <v>-5.9999999999999498E-3</v>
      </c>
      <c r="C32" s="1">
        <f t="shared" si="10"/>
        <v>1.0999999999999996E-2</v>
      </c>
      <c r="D32" s="1">
        <f t="shared" si="10"/>
        <v>-3.0000000000000027E-3</v>
      </c>
      <c r="E32" s="1">
        <f t="shared" si="10"/>
        <v>0</v>
      </c>
      <c r="F32" s="1">
        <f t="shared" si="10"/>
        <v>3.9999999999999897E-3</v>
      </c>
      <c r="G32" s="1">
        <f t="shared" si="10"/>
        <v>-6.0000000000000053E-3</v>
      </c>
      <c r="H32" s="1">
        <f t="shared" si="10"/>
        <v>1.0000000000000009E-3</v>
      </c>
    </row>
    <row r="33" spans="1:8" x14ac:dyDescent="0.25">
      <c r="A33" t="str">
        <f t="shared" si="4"/>
        <v>2012/13</v>
      </c>
      <c r="B33" s="1">
        <f t="shared" ref="B33:H33" si="11">B10-B9</f>
        <v>-1.100000000000001E-2</v>
      </c>
      <c r="C33" s="1">
        <f t="shared" si="11"/>
        <v>7.0000000000000062E-3</v>
      </c>
      <c r="D33" s="1">
        <f t="shared" si="11"/>
        <v>-3.2000000000000001E-2</v>
      </c>
      <c r="E33" s="1">
        <f t="shared" si="11"/>
        <v>3.1E-2</v>
      </c>
      <c r="F33" s="1">
        <f t="shared" si="11"/>
        <v>-1.0000000000000009E-3</v>
      </c>
      <c r="G33" s="1">
        <f t="shared" si="11"/>
        <v>-1.4000000000000012E-2</v>
      </c>
      <c r="H33" s="1">
        <f t="shared" si="11"/>
        <v>4.9999999999999992E-3</v>
      </c>
    </row>
    <row r="34" spans="1:8" x14ac:dyDescent="0.25">
      <c r="A34" t="str">
        <f t="shared" si="4"/>
        <v>2013/14</v>
      </c>
      <c r="B34" s="1">
        <f t="shared" ref="B34:H34" si="12">B11-B10</f>
        <v>-3.0000000000000027E-3</v>
      </c>
      <c r="C34" s="1">
        <f t="shared" si="12"/>
        <v>1.3999999999999999E-2</v>
      </c>
      <c r="D34" s="1">
        <f t="shared" si="12"/>
        <v>-5.9999999999999915E-3</v>
      </c>
      <c r="E34" s="1">
        <f t="shared" si="12"/>
        <v>2.0000000000000018E-3</v>
      </c>
      <c r="F34" s="1">
        <f t="shared" si="12"/>
        <v>2.0000000000000018E-3</v>
      </c>
      <c r="G34" s="1">
        <f t="shared" si="12"/>
        <v>-1.0999999999999982E-2</v>
      </c>
      <c r="H34" s="1">
        <f t="shared" si="12"/>
        <v>2.9999999999999992E-3</v>
      </c>
    </row>
    <row r="35" spans="1:8" x14ac:dyDescent="0.25">
      <c r="A35" t="str">
        <f t="shared" si="4"/>
        <v>2014/15</v>
      </c>
      <c r="B35" s="1">
        <f t="shared" ref="B35:H35" si="13">B12-B11</f>
        <v>-6.0000000000000053E-3</v>
      </c>
      <c r="C35" s="1">
        <f t="shared" si="13"/>
        <v>6.9999999999999923E-3</v>
      </c>
      <c r="D35" s="1">
        <f t="shared" si="13"/>
        <v>-1.0000000000000009E-3</v>
      </c>
      <c r="E35" s="1">
        <f t="shared" si="13"/>
        <v>-5.0000000000000044E-3</v>
      </c>
      <c r="F35" s="1">
        <f t="shared" si="13"/>
        <v>0</v>
      </c>
      <c r="G35" s="1">
        <f t="shared" si="13"/>
        <v>-1.2000000000000011E-2</v>
      </c>
      <c r="H35" s="1">
        <f t="shared" si="13"/>
        <v>4.0000000000000001E-3</v>
      </c>
    </row>
    <row r="36" spans="1:8" x14ac:dyDescent="0.25">
      <c r="A36" t="str">
        <f t="shared" si="4"/>
        <v>2015/16</v>
      </c>
      <c r="B36" s="1">
        <f t="shared" ref="B36:H36" si="14">B13-B12</f>
        <v>-1.6000000000000014E-2</v>
      </c>
      <c r="C36" s="1">
        <f t="shared" si="14"/>
        <v>1.7000000000000001E-2</v>
      </c>
      <c r="D36" s="1">
        <f t="shared" si="14"/>
        <v>-3.0000000000000027E-3</v>
      </c>
      <c r="E36" s="1">
        <f t="shared" si="14"/>
        <v>-3.0000000000000027E-3</v>
      </c>
      <c r="F36" s="1">
        <f t="shared" si="14"/>
        <v>3.0000000000000027E-3</v>
      </c>
      <c r="G36" s="1">
        <f t="shared" si="14"/>
        <v>-7.9999999999999932E-3</v>
      </c>
      <c r="H36" s="1">
        <f t="shared" si="14"/>
        <v>4.0000000000000001E-3</v>
      </c>
    </row>
    <row r="37" spans="1:8" x14ac:dyDescent="0.25">
      <c r="A37" t="str">
        <f t="shared" si="4"/>
        <v>2016/17</v>
      </c>
      <c r="B37" s="1">
        <f t="shared" ref="B37:H37" si="15">B14-B13</f>
        <v>-1.0999999999999982E-2</v>
      </c>
      <c r="C37" s="1">
        <f t="shared" si="15"/>
        <v>2.8999999999999998E-2</v>
      </c>
      <c r="D37" s="1">
        <f t="shared" si="15"/>
        <v>-2.0000000000000018E-3</v>
      </c>
      <c r="E37" s="1">
        <f t="shared" si="15"/>
        <v>-3.0000000000000027E-3</v>
      </c>
      <c r="F37" s="1">
        <f t="shared" si="15"/>
        <v>4.0000000000000036E-3</v>
      </c>
      <c r="G37" s="1">
        <f t="shared" si="15"/>
        <v>-9.999999999999995E-3</v>
      </c>
      <c r="H37" s="1">
        <f t="shared" si="15"/>
        <v>5.0000000000000044E-3</v>
      </c>
    </row>
    <row r="38" spans="1:8" x14ac:dyDescent="0.25">
      <c r="A38" t="str">
        <f t="shared" si="4"/>
        <v>2017/18</v>
      </c>
      <c r="B38" s="1">
        <f t="shared" ref="B38:H38" si="16">B15-B14</f>
        <v>-2.7999999999999997E-2</v>
      </c>
      <c r="C38" s="1">
        <f t="shared" si="16"/>
        <v>6.8000000000000005E-2</v>
      </c>
      <c r="D38" s="1">
        <f t="shared" si="16"/>
        <v>-9.999999999999995E-3</v>
      </c>
      <c r="E38" s="1">
        <f t="shared" si="16"/>
        <v>-7.9999999999999932E-3</v>
      </c>
      <c r="F38" s="1">
        <f t="shared" si="16"/>
        <v>2.0000000000000018E-3</v>
      </c>
      <c r="G38" s="1">
        <f t="shared" si="16"/>
        <v>-1.8000000000000002E-2</v>
      </c>
      <c r="H38" s="1">
        <f t="shared" si="16"/>
        <v>6.9999999999999993E-3</v>
      </c>
    </row>
    <row r="39" spans="1:8" x14ac:dyDescent="0.25">
      <c r="A39" t="str">
        <f t="shared" si="4"/>
        <v>2018/19</v>
      </c>
      <c r="B39" s="1">
        <f t="shared" ref="B39:H39" si="17">B16-B15</f>
        <v>8.9999999999999802E-3</v>
      </c>
      <c r="C39" s="1">
        <f t="shared" si="17"/>
        <v>0.03</v>
      </c>
      <c r="D39" s="1">
        <f t="shared" si="17"/>
        <v>-4.0000000000000036E-3</v>
      </c>
      <c r="E39" s="1">
        <f t="shared" si="17"/>
        <v>-4.0000000000000036E-3</v>
      </c>
      <c r="F39" s="1">
        <f t="shared" si="17"/>
        <v>-1.0000000000000009E-3</v>
      </c>
      <c r="G39" s="1">
        <f t="shared" si="17"/>
        <v>-1.100000000000001E-2</v>
      </c>
      <c r="H39" s="1">
        <f t="shared" si="17"/>
        <v>-3.0000000000000027E-3</v>
      </c>
    </row>
    <row r="40" spans="1:8" x14ac:dyDescent="0.25">
      <c r="A40" t="str">
        <f t="shared" si="4"/>
        <v>2019/20</v>
      </c>
      <c r="B40" s="1">
        <f t="shared" ref="B40:H40" si="18">B17-B16</f>
        <v>-2.4999999999999994E-2</v>
      </c>
      <c r="C40" s="1">
        <f t="shared" si="18"/>
        <v>3.6999999999999977E-2</v>
      </c>
      <c r="D40" s="1">
        <f t="shared" si="18"/>
        <v>-2.0000000000000018E-3</v>
      </c>
      <c r="E40" s="1">
        <f t="shared" si="18"/>
        <v>-3.0000000000000027E-3</v>
      </c>
      <c r="F40" s="1">
        <f t="shared" si="18"/>
        <v>-1.0000000000000009E-3</v>
      </c>
      <c r="G40" s="1">
        <f t="shared" si="18"/>
        <v>-1.0999999999999996E-2</v>
      </c>
      <c r="H40" s="1">
        <f t="shared" si="18"/>
        <v>-2.0000000000000018E-3</v>
      </c>
    </row>
    <row r="41" spans="1:8" x14ac:dyDescent="0.25">
      <c r="A41" t="str">
        <f t="shared" si="4"/>
        <v>2020/21</v>
      </c>
      <c r="B41" s="1">
        <f t="shared" ref="B41:H41" si="19">B18-B17</f>
        <v>-1.7999999999999988E-2</v>
      </c>
      <c r="C41" s="1">
        <f t="shared" si="19"/>
        <v>1.5000000000000013E-2</v>
      </c>
      <c r="D41" s="1">
        <f t="shared" si="19"/>
        <v>3.0000000000000027E-3</v>
      </c>
      <c r="E41" s="1">
        <f t="shared" si="19"/>
        <v>-5.9999999999999915E-3</v>
      </c>
      <c r="F41" s="1">
        <f t="shared" si="19"/>
        <v>4.0000000000000036E-3</v>
      </c>
      <c r="G41" s="1">
        <f t="shared" si="19"/>
        <v>-1.0000000000000009E-3</v>
      </c>
      <c r="H41" s="1">
        <f t="shared" si="19"/>
        <v>1.0000000000000009E-3</v>
      </c>
    </row>
    <row r="42" spans="1:8" x14ac:dyDescent="0.25">
      <c r="A42" t="str">
        <f t="shared" si="4"/>
        <v>2021/22</v>
      </c>
      <c r="B42" s="1">
        <f t="shared" ref="B42:H42" si="20">B19-B18</f>
        <v>1.3999999999999985E-2</v>
      </c>
      <c r="C42" s="1">
        <f t="shared" si="20"/>
        <v>-1.4000000000000012E-2</v>
      </c>
      <c r="D42" s="1">
        <f t="shared" si="20"/>
        <v>1.0999999999999996E-2</v>
      </c>
      <c r="E42" s="1">
        <f t="shared" si="20"/>
        <v>7.9999999999999932E-3</v>
      </c>
      <c r="F42" s="1">
        <f t="shared" si="20"/>
        <v>6.9999999999999923E-3</v>
      </c>
      <c r="G42" s="1">
        <f t="shared" si="20"/>
        <v>1.0000000000000009E-3</v>
      </c>
      <c r="H42" s="1">
        <f t="shared" si="20"/>
        <v>4.0000000000000036E-3</v>
      </c>
    </row>
    <row r="43" spans="1:8" x14ac:dyDescent="0.25">
      <c r="A43" t="str">
        <f t="shared" si="4"/>
        <v>2022/23</v>
      </c>
      <c r="B43" s="1">
        <f t="shared" ref="B43:H43" si="21">B20-B19</f>
        <v>-1.4999999999999986E-2</v>
      </c>
      <c r="C43" s="1">
        <f t="shared" si="21"/>
        <v>-1.2999999999999956E-2</v>
      </c>
      <c r="D43" s="1">
        <f t="shared" si="21"/>
        <v>-4.9999999999999906E-3</v>
      </c>
      <c r="E43" s="1">
        <f t="shared" si="21"/>
        <v>-3.9999999999999897E-3</v>
      </c>
      <c r="F43" s="1">
        <f t="shared" si="21"/>
        <v>5.0000000000000044E-3</v>
      </c>
      <c r="G43" s="1">
        <f t="shared" si="21"/>
        <v>-9.0000000000000011E-3</v>
      </c>
      <c r="H43" s="1">
        <f t="shared" si="21"/>
        <v>-2.0000000000000018E-3</v>
      </c>
    </row>
    <row r="44" spans="1:8" x14ac:dyDescent="0.25">
      <c r="A44" t="str">
        <f t="shared" si="4"/>
        <v>2023/24</v>
      </c>
      <c r="B44" s="1">
        <f t="shared" ref="B44:H44" si="22">B21-B20</f>
        <v>-9.000000000000008E-3</v>
      </c>
      <c r="C44" s="1">
        <f t="shared" si="22"/>
        <v>6.0000000000000053E-3</v>
      </c>
      <c r="D44" s="1">
        <f t="shared" si="22"/>
        <v>-2.0000000000000018E-3</v>
      </c>
      <c r="E44" s="1">
        <f t="shared" si="22"/>
        <v>-3.0000000000000027E-3</v>
      </c>
      <c r="F44" s="1">
        <f t="shared" si="22"/>
        <v>-7.0000000000000062E-3</v>
      </c>
      <c r="G44" s="1">
        <f t="shared" si="22"/>
        <v>-6.9999999999999993E-3</v>
      </c>
      <c r="H44" s="1">
        <f t="shared" si="22"/>
        <v>5.9999999999999984E-3</v>
      </c>
    </row>
  </sheetData>
  <conditionalFormatting sqref="B26:H44">
    <cfRule type="cellIs" dxfId="3" priority="2" operator="greaterThanOrEqual">
      <formula>0.01</formula>
    </cfRule>
    <cfRule type="cellIs" dxfId="2" priority="1" operator="lessThanOrEqual">
      <formula>-0.01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Dobai Bálint</dc:creator>
  <cp:lastModifiedBy>Dobai Bálint</cp:lastModifiedBy>
  <dcterms:created xsi:type="dcterms:W3CDTF">2026-04-22T07:10:18Z</dcterms:created>
  <dcterms:modified xsi:type="dcterms:W3CDTF">2026-04-22T07:49:14Z</dcterms:modified>
</cp:coreProperties>
</file>